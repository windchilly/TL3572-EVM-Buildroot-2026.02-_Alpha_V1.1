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RK3572\RK3572发布资料\RK3572 Release File\V1.0\01_Official Release\01_Common Document\"/>
    </mc:Choice>
  </mc:AlternateContent>
  <bookViews>
    <workbookView xWindow="0" yWindow="0" windowWidth="21540" windowHeight="12390"/>
  </bookViews>
  <sheets>
    <sheet name="00.CoverPage" sheetId="2" r:id="rId1"/>
    <sheet name="01.Statement" sheetId="7" r:id="rId2"/>
    <sheet name="02.Revision History" sheetId="3" r:id="rId3"/>
    <sheet name="03.Description" sheetId="4" r:id="rId4"/>
    <sheet name="04.Ball Map" sheetId="5" r:id="rId5"/>
    <sheet name="05.PinOut List" sheetId="6" r:id="rId6"/>
    <sheet name="06.PinOut Information" sheetId="8" r:id="rId7"/>
  </sheets>
  <definedNames>
    <definedName name="_xlnm._FilterDatabase" localSheetId="4" hidden="1">'04.Ball Map'!$B$2:$AH$37</definedName>
    <definedName name="_xlnm._FilterDatabase" localSheetId="5" hidden="1">'05.PinOut List'!$A$2:$AT$549</definedName>
    <definedName name="_xlnm._FilterDatabase" localSheetId="6" hidden="1">'06.PinOut Information'!$A$2:$R$1638</definedName>
    <definedName name="_xlnm.Database" localSheetId="4" hidden="1">#REF!</definedName>
    <definedName name="_xlnm.Database" hidden="1">#REF!</definedName>
    <definedName name="IO_MUX_FOR_TRM" hidden="1">#REF!</definedName>
    <definedName name="IOMUX_SCHLIB" hidden="1">#REF!</definedName>
    <definedName name="PKG" localSheetId="4">#REF!</definedName>
    <definedName name="PKG">#REF!</definedName>
    <definedName name="RK3572BA1013" hidden="1">#REF!</definedName>
    <definedName name="RK3572BallAssign"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32" i="6" l="1" a="1"/>
  <c r="AD132" i="6" s="1"/>
  <c r="AE132" i="6" s="1"/>
  <c r="AD250" i="6"/>
  <c r="AD251" i="6"/>
  <c r="AD249" i="6"/>
  <c r="AE249" i="6" s="1"/>
  <c r="AD224" i="6"/>
  <c r="AE224" i="6" s="1"/>
  <c r="AD225" i="6"/>
  <c r="AE225" i="6" s="1"/>
  <c r="AD232" i="6"/>
  <c r="AE232" i="6" s="1"/>
  <c r="AD153" i="6" a="1"/>
  <c r="AD153" i="6" s="1"/>
  <c r="AE153" i="6" s="1"/>
  <c r="AD154" i="6" a="1"/>
  <c r="AD154" i="6" s="1"/>
  <c r="AE154" i="6" s="1"/>
  <c r="AD155" i="6" a="1"/>
  <c r="AD155" i="6" s="1"/>
  <c r="AE155" i="6" s="1"/>
  <c r="AD152" i="6" a="1"/>
  <c r="AD152" i="6" s="1"/>
  <c r="AE152" i="6" s="1"/>
  <c r="AD149" i="6" a="1"/>
  <c r="AD149" i="6" s="1"/>
  <c r="AE149" i="6" s="1"/>
  <c r="AD148" i="6" a="1"/>
  <c r="AD148" i="6" s="1"/>
  <c r="AE148" i="6" s="1"/>
  <c r="AD145" i="6" a="1"/>
  <c r="AD145" i="6" s="1"/>
  <c r="AE145" i="6" s="1"/>
  <c r="AD115" i="6" a="1"/>
  <c r="AD115" i="6" s="1"/>
  <c r="AE115" i="6" s="1"/>
  <c r="AD116" i="6" a="1"/>
  <c r="AD116" i="6" s="1"/>
  <c r="AE116" i="6" s="1"/>
  <c r="AD117" i="6" a="1"/>
  <c r="AD117" i="6" s="1"/>
  <c r="AE117" i="6" s="1"/>
  <c r="AD118" i="6" a="1"/>
  <c r="AD118" i="6" s="1"/>
  <c r="AE118" i="6" s="1"/>
  <c r="AD119" i="6" a="1"/>
  <c r="AD119" i="6" s="1"/>
  <c r="AE119" i="6" s="1"/>
  <c r="AD120" i="6" a="1"/>
  <c r="AD120" i="6" s="1"/>
  <c r="AE120" i="6" s="1"/>
  <c r="AD121" i="6" a="1"/>
  <c r="AD121" i="6" s="1"/>
  <c r="AE121" i="6" s="1"/>
  <c r="AD122" i="6" a="1"/>
  <c r="AD122" i="6" s="1"/>
  <c r="AE122" i="6" s="1"/>
  <c r="AD123" i="6" a="1"/>
  <c r="AD123" i="6" s="1"/>
  <c r="AE123" i="6" s="1"/>
  <c r="AD124" i="6" a="1"/>
  <c r="AD124" i="6" s="1"/>
  <c r="AE124" i="6" s="1"/>
  <c r="AD125" i="6" a="1"/>
  <c r="AD125" i="6" s="1"/>
  <c r="AE125" i="6" s="1"/>
  <c r="AD126" i="6" a="1"/>
  <c r="AD126" i="6" s="1"/>
  <c r="AD127" i="6" a="1"/>
  <c r="AD127" i="6" s="1"/>
  <c r="AD128" i="6" a="1"/>
  <c r="AD128" i="6" s="1"/>
  <c r="AE128" i="6" s="1"/>
  <c r="AD129" i="6" a="1"/>
  <c r="AD129" i="6" s="1"/>
  <c r="AE129" i="6" s="1"/>
  <c r="AD130" i="6" a="1"/>
  <c r="AD130" i="6" s="1"/>
  <c r="AE130" i="6" s="1"/>
  <c r="AD131" i="6" a="1"/>
  <c r="AD131" i="6" s="1"/>
  <c r="AE131" i="6" s="1"/>
  <c r="AD133" i="6" a="1"/>
  <c r="AD133" i="6" s="1"/>
  <c r="AE133" i="6" s="1"/>
  <c r="AD134" i="6" a="1"/>
  <c r="AD134" i="6" s="1"/>
  <c r="AD135" i="6" a="1"/>
  <c r="AD135" i="6" s="1"/>
  <c r="AD136" i="6" a="1"/>
  <c r="AD136" i="6" s="1"/>
  <c r="AE136" i="6" s="1"/>
  <c r="AD137" i="6" a="1"/>
  <c r="AD137" i="6" s="1"/>
  <c r="AE137" i="6" s="1"/>
  <c r="AD138" i="6" a="1"/>
  <c r="AD138" i="6" s="1"/>
  <c r="AD139" i="6" a="1"/>
  <c r="AD139" i="6" s="1"/>
  <c r="AD140" i="6" a="1"/>
  <c r="AD140" i="6" s="1"/>
  <c r="AD141" i="6" a="1"/>
  <c r="AD141" i="6" s="1"/>
  <c r="AD142" i="6" a="1"/>
  <c r="AD142" i="6" s="1"/>
  <c r="AE142" i="6" s="1"/>
  <c r="AD143" i="6" a="1"/>
  <c r="AD143" i="6" s="1"/>
  <c r="AE143" i="6" s="1"/>
  <c r="AD144" i="6" a="1"/>
  <c r="AD144" i="6" s="1"/>
  <c r="AE144" i="6" s="1"/>
  <c r="AD146" i="6" a="1"/>
  <c r="AD146" i="6" s="1"/>
  <c r="AE146" i="6" s="1"/>
  <c r="AD147" i="6" a="1"/>
  <c r="AD147" i="6" s="1"/>
  <c r="AE147" i="6" s="1"/>
  <c r="AD150" i="6" a="1"/>
  <c r="AD150" i="6" s="1"/>
  <c r="AE150" i="6" s="1"/>
  <c r="AD151" i="6" a="1"/>
  <c r="AD151" i="6" s="1"/>
  <c r="AE151" i="6" s="1"/>
  <c r="AD157" i="6" a="1"/>
  <c r="AD157" i="6" s="1"/>
  <c r="AE157" i="6" s="1"/>
  <c r="AD158" i="6" a="1"/>
  <c r="AD158" i="6" s="1"/>
  <c r="AE158" i="6" s="1"/>
  <c r="AD159" i="6" a="1"/>
  <c r="AD159" i="6" s="1"/>
  <c r="AE159" i="6" s="1"/>
  <c r="AD160" i="6" a="1"/>
  <c r="AD160" i="6" s="1"/>
  <c r="AE160" i="6" s="1"/>
  <c r="AD161" i="6" a="1"/>
  <c r="AD161" i="6" s="1"/>
  <c r="AE161" i="6" s="1"/>
  <c r="AD162" i="6" a="1"/>
  <c r="AD162" i="6" s="1"/>
  <c r="AE162" i="6" s="1"/>
  <c r="AD163" i="6" a="1"/>
  <c r="AD163" i="6" s="1"/>
  <c r="AE163" i="6" s="1"/>
  <c r="AD164" i="6" a="1"/>
  <c r="AD164" i="6" s="1"/>
  <c r="AE164" i="6" s="1"/>
  <c r="AD165" i="6" a="1"/>
  <c r="AD165" i="6" s="1"/>
  <c r="AE165" i="6" s="1"/>
  <c r="AD166" i="6" a="1"/>
  <c r="AD166" i="6" s="1"/>
  <c r="AE166" i="6" s="1"/>
  <c r="AD167" i="6" a="1"/>
  <c r="AD167" i="6" s="1"/>
  <c r="AE167" i="6" s="1"/>
  <c r="AD168" i="6" a="1"/>
  <c r="AD168" i="6" s="1"/>
  <c r="AE168" i="6" s="1"/>
  <c r="AD169" i="6" a="1"/>
  <c r="AD169" i="6" s="1"/>
  <c r="AE169" i="6" s="1"/>
  <c r="AD170" i="6" a="1"/>
  <c r="AD170" i="6" s="1"/>
  <c r="AE170" i="6" s="1"/>
  <c r="AD171" i="6" a="1"/>
  <c r="AD171" i="6" s="1"/>
  <c r="AE171" i="6" s="1"/>
  <c r="AD172" i="6" a="1"/>
  <c r="AD172" i="6" s="1"/>
  <c r="AE172" i="6" s="1"/>
  <c r="AD173" i="6" a="1"/>
  <c r="AD173" i="6" s="1"/>
  <c r="AE173" i="6" s="1"/>
  <c r="AD174" i="6" a="1"/>
  <c r="AD174" i="6" s="1"/>
  <c r="AE174" i="6" s="1"/>
  <c r="AD179" i="6" a="1"/>
  <c r="AD179" i="6" s="1"/>
  <c r="AE179" i="6" s="1"/>
  <c r="AD180" i="6" a="1"/>
  <c r="AD180" i="6" s="1"/>
  <c r="AE180" i="6" s="1"/>
  <c r="AD181" i="6" a="1"/>
  <c r="AD181" i="6" s="1"/>
  <c r="AE181" i="6" s="1"/>
  <c r="AD182" i="6" a="1"/>
  <c r="AD182" i="6" s="1"/>
  <c r="AE182" i="6" s="1"/>
  <c r="AD183" i="6" a="1"/>
  <c r="AD183" i="6" s="1"/>
  <c r="AE183" i="6" s="1"/>
  <c r="AD184" i="6" a="1"/>
  <c r="AD184" i="6" s="1"/>
  <c r="AE184" i="6" s="1"/>
  <c r="AD185" i="6" a="1"/>
  <c r="AD185" i="6" s="1"/>
  <c r="AE185" i="6" s="1"/>
  <c r="AD186" i="6" a="1"/>
  <c r="AD186" i="6" s="1"/>
  <c r="AE186" i="6" s="1"/>
  <c r="AD187" i="6" a="1"/>
  <c r="AD187" i="6" s="1"/>
  <c r="AE187" i="6" s="1"/>
  <c r="AD188" i="6" a="1"/>
  <c r="AD188" i="6" s="1"/>
  <c r="AE188" i="6" s="1"/>
  <c r="AD189" i="6" a="1"/>
  <c r="AD189" i="6" s="1"/>
  <c r="AE189" i="6" s="1"/>
  <c r="AD190" i="6" a="1"/>
  <c r="AD190" i="6" s="1"/>
  <c r="AE190" i="6" s="1"/>
  <c r="AD193" i="6" a="1"/>
  <c r="AD193" i="6" s="1"/>
  <c r="AE193" i="6" s="1"/>
  <c r="AD194" i="6" a="1"/>
  <c r="AD194" i="6" s="1"/>
  <c r="AE194" i="6" s="1"/>
  <c r="AD195" i="6" a="1"/>
  <c r="AD195" i="6" s="1"/>
  <c r="AE195" i="6" s="1"/>
  <c r="AD196" i="6" a="1"/>
  <c r="AD196" i="6" s="1"/>
  <c r="AE196" i="6" s="1"/>
  <c r="AD197" i="6" a="1"/>
  <c r="AD197" i="6" s="1"/>
  <c r="AE197" i="6" s="1"/>
  <c r="AD198" i="6" a="1"/>
  <c r="AD198" i="6" s="1"/>
  <c r="AE198" i="6" s="1"/>
  <c r="AD199" i="6" a="1"/>
  <c r="AD199" i="6" s="1"/>
  <c r="AE199" i="6" s="1"/>
  <c r="AD200" i="6" a="1"/>
  <c r="AD200" i="6" s="1"/>
  <c r="AE200" i="6" s="1"/>
  <c r="AD201" i="6" a="1"/>
  <c r="AD201" i="6" s="1"/>
  <c r="AE201" i="6" s="1"/>
  <c r="AD202" i="6" a="1"/>
  <c r="AD202" i="6" s="1"/>
  <c r="AE202" i="6" s="1"/>
  <c r="AD203" i="6" a="1"/>
  <c r="AD203" i="6" s="1"/>
  <c r="AE203" i="6" s="1"/>
  <c r="AD204" i="6" a="1"/>
  <c r="AD204" i="6" s="1"/>
  <c r="AE204" i="6" s="1"/>
  <c r="AD205" i="6" a="1"/>
  <c r="AD205" i="6" s="1"/>
  <c r="AE205" i="6" s="1"/>
  <c r="AD206" i="6" a="1"/>
  <c r="AD206" i="6" s="1"/>
  <c r="AE206" i="6" s="1"/>
  <c r="AD207" i="6" a="1"/>
  <c r="AD207" i="6" s="1"/>
  <c r="AE207" i="6" s="1"/>
  <c r="AD208" i="6" a="1"/>
  <c r="AD208" i="6" s="1"/>
  <c r="AE208" i="6" s="1"/>
  <c r="AD209" i="6" a="1"/>
  <c r="AD209" i="6" s="1"/>
  <c r="AE209" i="6" s="1"/>
  <c r="AD210" i="6" a="1"/>
  <c r="AD210" i="6" s="1"/>
  <c r="AE210" i="6" s="1"/>
  <c r="AD211" i="6" a="1"/>
  <c r="AD211" i="6" s="1"/>
  <c r="AE211" i="6" s="1"/>
  <c r="AD214" i="6" a="1"/>
  <c r="AD214" i="6" s="1"/>
  <c r="AE214" i="6" s="1"/>
  <c r="AD215" i="6" a="1"/>
  <c r="AD215" i="6" s="1"/>
  <c r="AE215" i="6" s="1"/>
  <c r="AD216" i="6" a="1"/>
  <c r="AD216" i="6" s="1"/>
  <c r="AE216" i="6" s="1"/>
  <c r="AD217" i="6" a="1"/>
  <c r="AD217" i="6" s="1"/>
  <c r="AE217" i="6" s="1"/>
  <c r="AD218" i="6" a="1"/>
  <c r="AD218" i="6" s="1"/>
  <c r="AE218" i="6" s="1"/>
  <c r="AD219" i="6" a="1"/>
  <c r="AD219" i="6" s="1"/>
  <c r="AE219" i="6" s="1"/>
  <c r="AD220" i="6" a="1"/>
  <c r="AD220" i="6" s="1"/>
  <c r="AE220" i="6" s="1"/>
  <c r="AD221" i="6" a="1"/>
  <c r="AD221" i="6" s="1"/>
  <c r="AE221" i="6" s="1"/>
  <c r="AD222" i="6" a="1"/>
  <c r="AD222" i="6" s="1"/>
  <c r="AE222" i="6" s="1"/>
  <c r="AD223" i="6" a="1"/>
  <c r="AD223" i="6" s="1"/>
  <c r="AE223" i="6" s="1"/>
  <c r="AD228" i="6" a="1"/>
  <c r="AD228" i="6" s="1"/>
  <c r="AE228" i="6" s="1"/>
  <c r="AD229" i="6" a="1"/>
  <c r="AD229" i="6" s="1"/>
  <c r="AE229" i="6" s="1"/>
  <c r="AD230" i="6" a="1"/>
  <c r="AD230" i="6" s="1"/>
  <c r="AE230" i="6" s="1"/>
  <c r="AD231" i="6" a="1"/>
  <c r="AD231" i="6" s="1"/>
  <c r="AE231" i="6" s="1"/>
  <c r="AD233" i="6" a="1"/>
  <c r="AD233" i="6" s="1"/>
  <c r="AE233" i="6" s="1"/>
  <c r="AD234" i="6" a="1"/>
  <c r="AD234" i="6" s="1"/>
  <c r="AE234" i="6" s="1"/>
  <c r="AD235" i="6" a="1"/>
  <c r="AD235" i="6" s="1"/>
  <c r="AE235" i="6" s="1"/>
  <c r="AD236" i="6" a="1"/>
  <c r="AD236" i="6" s="1"/>
  <c r="AE236" i="6" s="1"/>
  <c r="AD237" i="6" a="1"/>
  <c r="AD237" i="6" s="1"/>
  <c r="AE237" i="6" s="1"/>
  <c r="AD238" i="6" a="1"/>
  <c r="AD238" i="6" s="1"/>
  <c r="AE238" i="6" s="1"/>
  <c r="AD239" i="6" a="1"/>
  <c r="AD239" i="6" s="1"/>
  <c r="AE239" i="6" s="1"/>
  <c r="AD240" i="6" a="1"/>
  <c r="AD240" i="6" s="1"/>
  <c r="AE240" i="6" s="1"/>
  <c r="AD241" i="6" a="1"/>
  <c r="AD241" i="6" s="1"/>
  <c r="AE241" i="6" s="1"/>
  <c r="AD242" i="6" a="1"/>
  <c r="AD242" i="6" s="1"/>
  <c r="AE242" i="6" s="1"/>
  <c r="AD243" i="6" a="1"/>
  <c r="AD243" i="6" s="1"/>
  <c r="AE243" i="6" s="1"/>
  <c r="AD244" i="6" a="1"/>
  <c r="AD244" i="6" s="1"/>
  <c r="AE244" i="6" s="1"/>
  <c r="AD245" i="6" a="1"/>
  <c r="AD245" i="6" s="1"/>
  <c r="AE245" i="6" s="1"/>
  <c r="AD246" i="6" a="1"/>
  <c r="AD246" i="6" s="1"/>
  <c r="AE246" i="6" s="1"/>
  <c r="AD247" i="6" a="1"/>
  <c r="AD247" i="6" s="1"/>
  <c r="AE247" i="6" s="1"/>
  <c r="AD248" i="6" a="1"/>
  <c r="AD248" i="6" s="1"/>
  <c r="AE248" i="6" s="1"/>
  <c r="AE250" i="6"/>
  <c r="AE251" i="6"/>
  <c r="AD252" i="6" a="1"/>
  <c r="AD252" i="6" s="1"/>
  <c r="AE252" i="6" s="1"/>
  <c r="AD253" i="6" a="1"/>
  <c r="AD253" i="6" s="1"/>
  <c r="AE253" i="6" s="1"/>
  <c r="AD254" i="6" a="1"/>
  <c r="AD254" i="6" s="1"/>
  <c r="AE254" i="6" s="1"/>
  <c r="AD255" i="6" a="1"/>
  <c r="AD255" i="6" s="1"/>
  <c r="AE255" i="6" s="1"/>
  <c r="AD256" i="6" a="1"/>
  <c r="AD256" i="6" s="1"/>
  <c r="AE256" i="6" s="1"/>
  <c r="AD257" i="6" a="1"/>
  <c r="AD257" i="6" s="1"/>
  <c r="AE257" i="6" s="1"/>
  <c r="AD261" i="6" a="1"/>
  <c r="AD261" i="6" s="1"/>
  <c r="AE261" i="6" s="1"/>
  <c r="AD262" i="6" a="1"/>
  <c r="AD262" i="6" s="1"/>
  <c r="AE262" i="6" s="1"/>
  <c r="AD263" i="6" a="1"/>
  <c r="AD263" i="6" s="1"/>
  <c r="AE263" i="6" s="1"/>
  <c r="AD264" i="6" a="1"/>
  <c r="AD264" i="6" s="1"/>
  <c r="AE264" i="6" s="1"/>
  <c r="AD265" i="6" a="1"/>
  <c r="AD265" i="6" s="1"/>
  <c r="AE265" i="6" s="1"/>
  <c r="AD266" i="6" a="1"/>
  <c r="AD266" i="6" s="1"/>
  <c r="AE266" i="6" s="1"/>
  <c r="AD267" i="6" a="1"/>
  <c r="AD267" i="6" s="1"/>
  <c r="AE267" i="6" s="1"/>
  <c r="AD268" i="6" a="1"/>
  <c r="AD268" i="6" s="1"/>
  <c r="AE268" i="6" s="1"/>
  <c r="AD114" i="6" a="1"/>
  <c r="AD114" i="6" s="1"/>
  <c r="AE114" i="6" s="1"/>
  <c r="AF114" i="6"/>
  <c r="AG114" i="6"/>
  <c r="AH114" i="6"/>
  <c r="AI114" i="6"/>
  <c r="AJ114" i="6"/>
  <c r="AK114" i="6"/>
  <c r="AL114" i="6"/>
  <c r="AM114" i="6"/>
  <c r="AN114" i="6"/>
  <c r="AO114" i="6"/>
  <c r="AP114" i="6"/>
  <c r="AQ114" i="6"/>
  <c r="AR114" i="6"/>
  <c r="AS114" i="6"/>
  <c r="AF115" i="6"/>
  <c r="AG115" i="6"/>
  <c r="AH115" i="6"/>
  <c r="AI115" i="6"/>
  <c r="AJ115" i="6"/>
  <c r="AK115" i="6"/>
  <c r="AL115" i="6"/>
  <c r="AM115" i="6"/>
  <c r="AN115" i="6"/>
  <c r="AO115" i="6"/>
  <c r="AP115" i="6"/>
  <c r="AQ115" i="6"/>
  <c r="AR115" i="6"/>
  <c r="AS115" i="6"/>
  <c r="AF116" i="6"/>
  <c r="AG116" i="6"/>
  <c r="AH116" i="6"/>
  <c r="AI116" i="6"/>
  <c r="AJ116" i="6"/>
  <c r="AK116" i="6"/>
  <c r="AL116" i="6"/>
  <c r="AM116" i="6"/>
  <c r="AN116" i="6"/>
  <c r="AO116" i="6"/>
  <c r="AP116" i="6"/>
  <c r="AQ116" i="6"/>
  <c r="AR116" i="6"/>
  <c r="AS116" i="6"/>
  <c r="AF117" i="6"/>
  <c r="AG117" i="6"/>
  <c r="AH117" i="6"/>
  <c r="AI117" i="6"/>
  <c r="AJ117" i="6"/>
  <c r="AK117" i="6"/>
  <c r="AL117" i="6"/>
  <c r="AM117" i="6"/>
  <c r="AN117" i="6"/>
  <c r="AO117" i="6"/>
  <c r="AP117" i="6"/>
  <c r="AQ117" i="6"/>
  <c r="AR117" i="6"/>
  <c r="AS117" i="6"/>
  <c r="AF118" i="6"/>
  <c r="AG118" i="6"/>
  <c r="AH118" i="6"/>
  <c r="AI118" i="6"/>
  <c r="AJ118" i="6"/>
  <c r="AK118" i="6"/>
  <c r="AL118" i="6"/>
  <c r="AM118" i="6"/>
  <c r="AN118" i="6"/>
  <c r="AO118" i="6"/>
  <c r="AP118" i="6"/>
  <c r="AQ118" i="6"/>
  <c r="AR118" i="6"/>
  <c r="AS118" i="6"/>
  <c r="AF119" i="6"/>
  <c r="AG119" i="6"/>
  <c r="AH119" i="6"/>
  <c r="AI119" i="6"/>
  <c r="AJ119" i="6"/>
  <c r="AK119" i="6"/>
  <c r="AL119" i="6"/>
  <c r="AM119" i="6"/>
  <c r="AN119" i="6"/>
  <c r="AO119" i="6"/>
  <c r="AP119" i="6"/>
  <c r="AQ119" i="6"/>
  <c r="AR119" i="6"/>
  <c r="AS119" i="6"/>
  <c r="AF120" i="6"/>
  <c r="AG120" i="6"/>
  <c r="AH120" i="6"/>
  <c r="AI120" i="6"/>
  <c r="AJ120" i="6"/>
  <c r="AK120" i="6"/>
  <c r="AL120" i="6"/>
  <c r="AM120" i="6"/>
  <c r="AN120" i="6"/>
  <c r="AO120" i="6"/>
  <c r="AP120" i="6"/>
  <c r="AQ120" i="6"/>
  <c r="AR120" i="6"/>
  <c r="AS120" i="6"/>
  <c r="AF121" i="6"/>
  <c r="AG121" i="6"/>
  <c r="AH121" i="6"/>
  <c r="AI121" i="6"/>
  <c r="AJ121" i="6"/>
  <c r="AK121" i="6"/>
  <c r="AL121" i="6"/>
  <c r="AM121" i="6"/>
  <c r="AN121" i="6"/>
  <c r="AO121" i="6"/>
  <c r="AP121" i="6"/>
  <c r="AQ121" i="6"/>
  <c r="AR121" i="6"/>
  <c r="AS121" i="6"/>
  <c r="AF122" i="6"/>
  <c r="AG122" i="6"/>
  <c r="AH122" i="6"/>
  <c r="AI122" i="6"/>
  <c r="AJ122" i="6"/>
  <c r="AK122" i="6"/>
  <c r="AL122" i="6"/>
  <c r="AM122" i="6"/>
  <c r="AN122" i="6"/>
  <c r="AO122" i="6"/>
  <c r="AP122" i="6"/>
  <c r="AQ122" i="6"/>
  <c r="AR122" i="6"/>
  <c r="AS122" i="6"/>
  <c r="AF123" i="6"/>
  <c r="AG123" i="6"/>
  <c r="AH123" i="6"/>
  <c r="AI123" i="6"/>
  <c r="AJ123" i="6"/>
  <c r="AK123" i="6"/>
  <c r="AL123" i="6"/>
  <c r="AM123" i="6"/>
  <c r="AN123" i="6"/>
  <c r="AO123" i="6"/>
  <c r="AP123" i="6"/>
  <c r="AQ123" i="6"/>
  <c r="AR123" i="6"/>
  <c r="AS123" i="6"/>
  <c r="AF124" i="6"/>
  <c r="AG124" i="6"/>
  <c r="AH124" i="6"/>
  <c r="AI124" i="6"/>
  <c r="AJ124" i="6"/>
  <c r="AK124" i="6"/>
  <c r="AL124" i="6"/>
  <c r="AM124" i="6"/>
  <c r="AN124" i="6"/>
  <c r="AO124" i="6"/>
  <c r="AP124" i="6"/>
  <c r="AQ124" i="6"/>
  <c r="AR124" i="6"/>
  <c r="AS124" i="6"/>
  <c r="AF125" i="6"/>
  <c r="AG125" i="6"/>
  <c r="AH125" i="6"/>
  <c r="AI125" i="6"/>
  <c r="AJ125" i="6"/>
  <c r="AK125" i="6"/>
  <c r="AL125" i="6"/>
  <c r="AM125" i="6"/>
  <c r="AN125" i="6"/>
  <c r="AO125" i="6"/>
  <c r="AP125" i="6"/>
  <c r="AQ125" i="6"/>
  <c r="AR125" i="6"/>
  <c r="AS125" i="6"/>
  <c r="AF126" i="6"/>
  <c r="AG126" i="6"/>
  <c r="AH126" i="6"/>
  <c r="AI126" i="6"/>
  <c r="AJ126" i="6"/>
  <c r="AK126" i="6"/>
  <c r="AL126" i="6"/>
  <c r="AM126" i="6"/>
  <c r="AN126" i="6"/>
  <c r="AO126" i="6"/>
  <c r="AP126" i="6"/>
  <c r="AQ126" i="6"/>
  <c r="AR126" i="6"/>
  <c r="AS126" i="6"/>
  <c r="AF127" i="6"/>
  <c r="AG127" i="6"/>
  <c r="AH127" i="6"/>
  <c r="AI127" i="6"/>
  <c r="AJ127" i="6"/>
  <c r="AK127" i="6"/>
  <c r="AL127" i="6"/>
  <c r="AM127" i="6"/>
  <c r="AN127" i="6"/>
  <c r="AO127" i="6"/>
  <c r="AP127" i="6"/>
  <c r="AQ127" i="6"/>
  <c r="AR127" i="6"/>
  <c r="AS127" i="6"/>
  <c r="AF128" i="6"/>
  <c r="AG128" i="6"/>
  <c r="AH128" i="6"/>
  <c r="AI128" i="6"/>
  <c r="AJ128" i="6"/>
  <c r="AK128" i="6"/>
  <c r="AL128" i="6"/>
  <c r="AM128" i="6"/>
  <c r="AN128" i="6"/>
  <c r="AO128" i="6"/>
  <c r="AP128" i="6"/>
  <c r="AQ128" i="6"/>
  <c r="AR128" i="6"/>
  <c r="AS128" i="6"/>
  <c r="AF129" i="6"/>
  <c r="AG129" i="6"/>
  <c r="AH129" i="6"/>
  <c r="AI129" i="6"/>
  <c r="AJ129" i="6"/>
  <c r="AK129" i="6"/>
  <c r="AL129" i="6"/>
  <c r="AM129" i="6"/>
  <c r="AN129" i="6"/>
  <c r="AO129" i="6"/>
  <c r="AP129" i="6"/>
  <c r="AQ129" i="6"/>
  <c r="AR129" i="6"/>
  <c r="AS129" i="6"/>
  <c r="AF130" i="6"/>
  <c r="AG130" i="6"/>
  <c r="AH130" i="6"/>
  <c r="AI130" i="6"/>
  <c r="AJ130" i="6"/>
  <c r="AK130" i="6"/>
  <c r="AL130" i="6"/>
  <c r="AM130" i="6"/>
  <c r="AN130" i="6"/>
  <c r="AO130" i="6"/>
  <c r="AP130" i="6"/>
  <c r="AQ130" i="6"/>
  <c r="AR130" i="6"/>
  <c r="AS130" i="6"/>
  <c r="AF131" i="6"/>
  <c r="AG131" i="6"/>
  <c r="AH131" i="6"/>
  <c r="AI131" i="6"/>
  <c r="AJ131" i="6"/>
  <c r="AK131" i="6"/>
  <c r="AL131" i="6"/>
  <c r="AM131" i="6"/>
  <c r="AN131" i="6"/>
  <c r="AO131" i="6"/>
  <c r="AP131" i="6"/>
  <c r="AQ131" i="6"/>
  <c r="AR131" i="6"/>
  <c r="AS131" i="6"/>
  <c r="AF132" i="6"/>
  <c r="AG132" i="6"/>
  <c r="AH132" i="6"/>
  <c r="AI132" i="6"/>
  <c r="AJ132" i="6"/>
  <c r="AK132" i="6"/>
  <c r="AL132" i="6"/>
  <c r="AM132" i="6"/>
  <c r="AN132" i="6"/>
  <c r="AO132" i="6"/>
  <c r="AP132" i="6"/>
  <c r="AQ132" i="6"/>
  <c r="AR132" i="6"/>
  <c r="AS132" i="6"/>
  <c r="AF133" i="6"/>
  <c r="AG133" i="6"/>
  <c r="AH133" i="6"/>
  <c r="AI133" i="6"/>
  <c r="AJ133" i="6"/>
  <c r="AK133" i="6"/>
  <c r="AL133" i="6"/>
  <c r="AM133" i="6"/>
  <c r="AN133" i="6"/>
  <c r="AO133" i="6"/>
  <c r="AP133" i="6"/>
  <c r="AQ133" i="6"/>
  <c r="AR133" i="6"/>
  <c r="AS133" i="6"/>
  <c r="AF134" i="6"/>
  <c r="AG134" i="6"/>
  <c r="AH134" i="6"/>
  <c r="AI134" i="6"/>
  <c r="AJ134" i="6"/>
  <c r="AK134" i="6"/>
  <c r="AL134" i="6"/>
  <c r="AM134" i="6"/>
  <c r="AN134" i="6"/>
  <c r="AO134" i="6"/>
  <c r="AP134" i="6"/>
  <c r="AQ134" i="6"/>
  <c r="AR134" i="6"/>
  <c r="AS134" i="6"/>
  <c r="AF135" i="6"/>
  <c r="AG135" i="6"/>
  <c r="AH135" i="6"/>
  <c r="AI135" i="6"/>
  <c r="AJ135" i="6"/>
  <c r="AK135" i="6"/>
  <c r="AL135" i="6"/>
  <c r="AM135" i="6"/>
  <c r="AN135" i="6"/>
  <c r="AO135" i="6"/>
  <c r="AP135" i="6"/>
  <c r="AQ135" i="6"/>
  <c r="AR135" i="6"/>
  <c r="AS135" i="6"/>
  <c r="AF136" i="6"/>
  <c r="AG136" i="6"/>
  <c r="AH136" i="6"/>
  <c r="AI136" i="6"/>
  <c r="AJ136" i="6"/>
  <c r="AK136" i="6"/>
  <c r="AL136" i="6"/>
  <c r="AM136" i="6"/>
  <c r="AN136" i="6"/>
  <c r="AO136" i="6"/>
  <c r="AP136" i="6"/>
  <c r="AQ136" i="6"/>
  <c r="AR136" i="6"/>
  <c r="AS136" i="6"/>
  <c r="AF137" i="6"/>
  <c r="AG137" i="6"/>
  <c r="AH137" i="6"/>
  <c r="AI137" i="6"/>
  <c r="AJ137" i="6"/>
  <c r="AK137" i="6"/>
  <c r="AL137" i="6"/>
  <c r="AM137" i="6"/>
  <c r="AN137" i="6"/>
  <c r="AO137" i="6"/>
  <c r="AP137" i="6"/>
  <c r="AQ137" i="6"/>
  <c r="AR137" i="6"/>
  <c r="AS137" i="6"/>
  <c r="AF138" i="6"/>
  <c r="AG138" i="6"/>
  <c r="AH138" i="6"/>
  <c r="AI138" i="6"/>
  <c r="AJ138" i="6"/>
  <c r="AK138" i="6"/>
  <c r="AL138" i="6"/>
  <c r="AM138" i="6"/>
  <c r="AN138" i="6"/>
  <c r="AO138" i="6"/>
  <c r="AP138" i="6"/>
  <c r="AQ138" i="6"/>
  <c r="AR138" i="6"/>
  <c r="AS138" i="6"/>
  <c r="AF139" i="6"/>
  <c r="AG139" i="6"/>
  <c r="AH139" i="6"/>
  <c r="AI139" i="6"/>
  <c r="AJ139" i="6"/>
  <c r="AK139" i="6"/>
  <c r="AL139" i="6"/>
  <c r="AM139" i="6"/>
  <c r="AN139" i="6"/>
  <c r="AO139" i="6"/>
  <c r="AP139" i="6"/>
  <c r="AQ139" i="6"/>
  <c r="AR139" i="6"/>
  <c r="AS139" i="6"/>
  <c r="AF140" i="6"/>
  <c r="AG140" i="6"/>
  <c r="AH140" i="6"/>
  <c r="AI140" i="6"/>
  <c r="AJ140" i="6"/>
  <c r="AK140" i="6"/>
  <c r="AL140" i="6"/>
  <c r="AM140" i="6"/>
  <c r="AN140" i="6"/>
  <c r="AO140" i="6"/>
  <c r="AP140" i="6"/>
  <c r="AQ140" i="6"/>
  <c r="AR140" i="6"/>
  <c r="AS140" i="6"/>
  <c r="AF141" i="6"/>
  <c r="AG141" i="6"/>
  <c r="AH141" i="6"/>
  <c r="AI141" i="6"/>
  <c r="AJ141" i="6"/>
  <c r="AK141" i="6"/>
  <c r="AL141" i="6"/>
  <c r="AM141" i="6"/>
  <c r="AN141" i="6"/>
  <c r="AO141" i="6"/>
  <c r="AP141" i="6"/>
  <c r="AQ141" i="6"/>
  <c r="AR141" i="6"/>
  <c r="AS141" i="6"/>
  <c r="AF142" i="6"/>
  <c r="AG142" i="6"/>
  <c r="AH142" i="6"/>
  <c r="AI142" i="6"/>
  <c r="AJ142" i="6"/>
  <c r="AK142" i="6"/>
  <c r="AL142" i="6"/>
  <c r="AM142" i="6"/>
  <c r="AN142" i="6"/>
  <c r="AO142" i="6"/>
  <c r="AP142" i="6"/>
  <c r="AQ142" i="6"/>
  <c r="AR142" i="6"/>
  <c r="AS142" i="6"/>
  <c r="AF143" i="6"/>
  <c r="AG143" i="6"/>
  <c r="AH143" i="6"/>
  <c r="AI143" i="6"/>
  <c r="AJ143" i="6"/>
  <c r="AK143" i="6"/>
  <c r="AL143" i="6"/>
  <c r="AM143" i="6"/>
  <c r="AN143" i="6"/>
  <c r="AO143" i="6"/>
  <c r="AP143" i="6"/>
  <c r="AQ143" i="6"/>
  <c r="AR143" i="6"/>
  <c r="AS143" i="6"/>
  <c r="AF144" i="6"/>
  <c r="AG144" i="6"/>
  <c r="AH144" i="6"/>
  <c r="AI144" i="6"/>
  <c r="AJ144" i="6"/>
  <c r="AK144" i="6"/>
  <c r="AL144" i="6"/>
  <c r="AM144" i="6"/>
  <c r="AN144" i="6"/>
  <c r="AO144" i="6"/>
  <c r="AP144" i="6"/>
  <c r="AQ144" i="6"/>
  <c r="AR144" i="6"/>
  <c r="AS144" i="6"/>
  <c r="AF145" i="6"/>
  <c r="AG145" i="6"/>
  <c r="AH145" i="6"/>
  <c r="AI145" i="6"/>
  <c r="AJ145" i="6"/>
  <c r="AK145" i="6"/>
  <c r="AL145" i="6"/>
  <c r="AM145" i="6"/>
  <c r="AN145" i="6"/>
  <c r="AO145" i="6"/>
  <c r="AP145" i="6"/>
  <c r="AQ145" i="6"/>
  <c r="AR145" i="6"/>
  <c r="AS145" i="6"/>
  <c r="AF146" i="6"/>
  <c r="AG146" i="6"/>
  <c r="AH146" i="6"/>
  <c r="AI146" i="6"/>
  <c r="AJ146" i="6"/>
  <c r="AK146" i="6"/>
  <c r="AL146" i="6"/>
  <c r="AM146" i="6"/>
  <c r="AN146" i="6"/>
  <c r="AO146" i="6"/>
  <c r="AP146" i="6"/>
  <c r="AQ146" i="6"/>
  <c r="AR146" i="6"/>
  <c r="AS146" i="6"/>
  <c r="AF147" i="6"/>
  <c r="AG147" i="6"/>
  <c r="AH147" i="6"/>
  <c r="AI147" i="6"/>
  <c r="AJ147" i="6"/>
  <c r="AK147" i="6"/>
  <c r="AL147" i="6"/>
  <c r="AM147" i="6"/>
  <c r="AN147" i="6"/>
  <c r="AO147" i="6"/>
  <c r="AP147" i="6"/>
  <c r="AQ147" i="6"/>
  <c r="AR147" i="6"/>
  <c r="AS147" i="6"/>
  <c r="AF148" i="6"/>
  <c r="AG148" i="6"/>
  <c r="AH148" i="6"/>
  <c r="AI148" i="6"/>
  <c r="AJ148" i="6"/>
  <c r="AK148" i="6"/>
  <c r="AL148" i="6"/>
  <c r="AM148" i="6"/>
  <c r="AN148" i="6"/>
  <c r="AO148" i="6"/>
  <c r="AP148" i="6"/>
  <c r="AQ148" i="6"/>
  <c r="AR148" i="6"/>
  <c r="AS148" i="6"/>
  <c r="AF149" i="6"/>
  <c r="AG149" i="6"/>
  <c r="AH149" i="6"/>
  <c r="AI149" i="6"/>
  <c r="AJ149" i="6"/>
  <c r="AK149" i="6"/>
  <c r="AL149" i="6"/>
  <c r="AM149" i="6"/>
  <c r="AN149" i="6"/>
  <c r="AO149" i="6"/>
  <c r="AP149" i="6"/>
  <c r="AQ149" i="6"/>
  <c r="AR149" i="6"/>
  <c r="AS149" i="6"/>
  <c r="AF150" i="6"/>
  <c r="AG150" i="6"/>
  <c r="AH150" i="6"/>
  <c r="AI150" i="6"/>
  <c r="AJ150" i="6"/>
  <c r="AK150" i="6"/>
  <c r="AL150" i="6"/>
  <c r="AM150" i="6"/>
  <c r="AN150" i="6"/>
  <c r="AO150" i="6"/>
  <c r="AP150" i="6"/>
  <c r="AQ150" i="6"/>
  <c r="AR150" i="6"/>
  <c r="AS150" i="6"/>
  <c r="AF151" i="6"/>
  <c r="AG151" i="6"/>
  <c r="AH151" i="6"/>
  <c r="AI151" i="6"/>
  <c r="AJ151" i="6"/>
  <c r="AK151" i="6"/>
  <c r="AL151" i="6"/>
  <c r="AM151" i="6"/>
  <c r="AN151" i="6"/>
  <c r="AO151" i="6"/>
  <c r="AP151" i="6"/>
  <c r="AQ151" i="6"/>
  <c r="AR151" i="6"/>
  <c r="AS151" i="6"/>
  <c r="AF152" i="6"/>
  <c r="AG152" i="6"/>
  <c r="AH152" i="6"/>
  <c r="AI152" i="6"/>
  <c r="AJ152" i="6"/>
  <c r="AK152" i="6"/>
  <c r="AL152" i="6"/>
  <c r="AM152" i="6"/>
  <c r="AN152" i="6"/>
  <c r="AO152" i="6"/>
  <c r="AP152" i="6"/>
  <c r="AQ152" i="6"/>
  <c r="AR152" i="6"/>
  <c r="AS152" i="6"/>
  <c r="AF153" i="6"/>
  <c r="AG153" i="6"/>
  <c r="AH153" i="6"/>
  <c r="AI153" i="6"/>
  <c r="AJ153" i="6"/>
  <c r="AK153" i="6"/>
  <c r="AL153" i="6"/>
  <c r="AM153" i="6"/>
  <c r="AN153" i="6"/>
  <c r="AO153" i="6"/>
  <c r="AP153" i="6"/>
  <c r="AQ153" i="6"/>
  <c r="AR153" i="6"/>
  <c r="AS153" i="6"/>
  <c r="AF154" i="6"/>
  <c r="AG154" i="6"/>
  <c r="AH154" i="6"/>
  <c r="AI154" i="6"/>
  <c r="AJ154" i="6"/>
  <c r="AK154" i="6"/>
  <c r="AL154" i="6"/>
  <c r="AM154" i="6"/>
  <c r="AN154" i="6"/>
  <c r="AO154" i="6"/>
  <c r="AP154" i="6"/>
  <c r="AQ154" i="6"/>
  <c r="AR154" i="6"/>
  <c r="AS154" i="6"/>
  <c r="AF155" i="6"/>
  <c r="AG155" i="6"/>
  <c r="AH155" i="6"/>
  <c r="AI155" i="6"/>
  <c r="AJ155" i="6"/>
  <c r="AK155" i="6"/>
  <c r="AL155" i="6"/>
  <c r="AM155" i="6"/>
  <c r="AN155" i="6"/>
  <c r="AO155" i="6"/>
  <c r="AP155" i="6"/>
  <c r="AQ155" i="6"/>
  <c r="AR155" i="6"/>
  <c r="AS155" i="6"/>
  <c r="AF156" i="6"/>
  <c r="AG156" i="6"/>
  <c r="AH156" i="6"/>
  <c r="AI156" i="6"/>
  <c r="AJ156" i="6"/>
  <c r="AK156" i="6"/>
  <c r="AL156" i="6"/>
  <c r="AM156" i="6"/>
  <c r="AN156" i="6"/>
  <c r="AO156" i="6"/>
  <c r="AP156" i="6"/>
  <c r="AQ156" i="6"/>
  <c r="AR156" i="6"/>
  <c r="AS156" i="6"/>
  <c r="AF157" i="6"/>
  <c r="AG157" i="6"/>
  <c r="AH157" i="6"/>
  <c r="AI157" i="6"/>
  <c r="AJ157" i="6"/>
  <c r="AK157" i="6"/>
  <c r="AL157" i="6"/>
  <c r="AM157" i="6"/>
  <c r="AN157" i="6"/>
  <c r="AO157" i="6"/>
  <c r="AP157" i="6"/>
  <c r="AQ157" i="6"/>
  <c r="AR157" i="6"/>
  <c r="AS157" i="6"/>
  <c r="AF158" i="6"/>
  <c r="AG158" i="6"/>
  <c r="AH158" i="6"/>
  <c r="AI158" i="6"/>
  <c r="AJ158" i="6"/>
  <c r="AK158" i="6"/>
  <c r="AL158" i="6"/>
  <c r="AM158" i="6"/>
  <c r="AN158" i="6"/>
  <c r="AO158" i="6"/>
  <c r="AP158" i="6"/>
  <c r="AQ158" i="6"/>
  <c r="AR158" i="6"/>
  <c r="AS158" i="6"/>
  <c r="AF159" i="6"/>
  <c r="AG159" i="6"/>
  <c r="AH159" i="6"/>
  <c r="AI159" i="6"/>
  <c r="AJ159" i="6"/>
  <c r="AK159" i="6"/>
  <c r="AL159" i="6"/>
  <c r="AM159" i="6"/>
  <c r="AN159" i="6"/>
  <c r="AO159" i="6"/>
  <c r="AP159" i="6"/>
  <c r="AQ159" i="6"/>
  <c r="AR159" i="6"/>
  <c r="AS159" i="6"/>
  <c r="AF160" i="6"/>
  <c r="AG160" i="6"/>
  <c r="AH160" i="6"/>
  <c r="AI160" i="6"/>
  <c r="AJ160" i="6"/>
  <c r="AK160" i="6"/>
  <c r="AL160" i="6"/>
  <c r="AM160" i="6"/>
  <c r="AN160" i="6"/>
  <c r="AO160" i="6"/>
  <c r="AP160" i="6"/>
  <c r="AQ160" i="6"/>
  <c r="AR160" i="6"/>
  <c r="AS160" i="6"/>
  <c r="AF161" i="6"/>
  <c r="AG161" i="6"/>
  <c r="AH161" i="6"/>
  <c r="AI161" i="6"/>
  <c r="AJ161" i="6"/>
  <c r="AK161" i="6"/>
  <c r="AL161" i="6"/>
  <c r="AM161" i="6"/>
  <c r="AN161" i="6"/>
  <c r="AO161" i="6"/>
  <c r="AP161" i="6"/>
  <c r="AQ161" i="6"/>
  <c r="AR161" i="6"/>
  <c r="AS161" i="6"/>
  <c r="AF162" i="6"/>
  <c r="AG162" i="6"/>
  <c r="AH162" i="6"/>
  <c r="AI162" i="6"/>
  <c r="AJ162" i="6"/>
  <c r="AK162" i="6"/>
  <c r="AL162" i="6"/>
  <c r="AM162" i="6"/>
  <c r="AN162" i="6"/>
  <c r="AO162" i="6"/>
  <c r="AP162" i="6"/>
  <c r="AQ162" i="6"/>
  <c r="AR162" i="6"/>
  <c r="AS162" i="6"/>
  <c r="AF163" i="6"/>
  <c r="AG163" i="6"/>
  <c r="AH163" i="6"/>
  <c r="AI163" i="6"/>
  <c r="AJ163" i="6"/>
  <c r="AK163" i="6"/>
  <c r="AL163" i="6"/>
  <c r="AM163" i="6"/>
  <c r="AN163" i="6"/>
  <c r="AO163" i="6"/>
  <c r="AP163" i="6"/>
  <c r="AQ163" i="6"/>
  <c r="AR163" i="6"/>
  <c r="AS163" i="6"/>
  <c r="AF164" i="6"/>
  <c r="AG164" i="6"/>
  <c r="AH164" i="6"/>
  <c r="AI164" i="6"/>
  <c r="AJ164" i="6"/>
  <c r="AK164" i="6"/>
  <c r="AL164" i="6"/>
  <c r="AM164" i="6"/>
  <c r="AN164" i="6"/>
  <c r="AO164" i="6"/>
  <c r="AP164" i="6"/>
  <c r="AQ164" i="6"/>
  <c r="AR164" i="6"/>
  <c r="AS164" i="6"/>
  <c r="AF165" i="6"/>
  <c r="AG165" i="6"/>
  <c r="AH165" i="6"/>
  <c r="AI165" i="6"/>
  <c r="AJ165" i="6"/>
  <c r="AK165" i="6"/>
  <c r="AL165" i="6"/>
  <c r="AM165" i="6"/>
  <c r="AN165" i="6"/>
  <c r="AO165" i="6"/>
  <c r="AP165" i="6"/>
  <c r="AQ165" i="6"/>
  <c r="AR165" i="6"/>
  <c r="AS165" i="6"/>
  <c r="AF166" i="6"/>
  <c r="AG166" i="6"/>
  <c r="AH166" i="6"/>
  <c r="AI166" i="6"/>
  <c r="AJ166" i="6"/>
  <c r="AK166" i="6"/>
  <c r="AL166" i="6"/>
  <c r="AM166" i="6"/>
  <c r="AN166" i="6"/>
  <c r="AO166" i="6"/>
  <c r="AP166" i="6"/>
  <c r="AQ166" i="6"/>
  <c r="AR166" i="6"/>
  <c r="AS166" i="6"/>
  <c r="AF167" i="6"/>
  <c r="AG167" i="6"/>
  <c r="AH167" i="6"/>
  <c r="AI167" i="6"/>
  <c r="AJ167" i="6"/>
  <c r="AK167" i="6"/>
  <c r="AL167" i="6"/>
  <c r="AM167" i="6"/>
  <c r="AN167" i="6"/>
  <c r="AO167" i="6"/>
  <c r="AP167" i="6"/>
  <c r="AQ167" i="6"/>
  <c r="AR167" i="6"/>
  <c r="AS167" i="6"/>
  <c r="AF168" i="6"/>
  <c r="AG168" i="6"/>
  <c r="AH168" i="6"/>
  <c r="AI168" i="6"/>
  <c r="AJ168" i="6"/>
  <c r="AK168" i="6"/>
  <c r="AL168" i="6"/>
  <c r="AM168" i="6"/>
  <c r="AN168" i="6"/>
  <c r="AO168" i="6"/>
  <c r="AP168" i="6"/>
  <c r="AQ168" i="6"/>
  <c r="AR168" i="6"/>
  <c r="AS168" i="6"/>
  <c r="AF169" i="6"/>
  <c r="AG169" i="6"/>
  <c r="AH169" i="6"/>
  <c r="AI169" i="6"/>
  <c r="AJ169" i="6"/>
  <c r="AK169" i="6"/>
  <c r="AL169" i="6"/>
  <c r="AM169" i="6"/>
  <c r="AN169" i="6"/>
  <c r="AO169" i="6"/>
  <c r="AP169" i="6"/>
  <c r="AQ169" i="6"/>
  <c r="AR169" i="6"/>
  <c r="AS169" i="6"/>
  <c r="AF170" i="6"/>
  <c r="AG170" i="6"/>
  <c r="AH170" i="6"/>
  <c r="AI170" i="6"/>
  <c r="AJ170" i="6"/>
  <c r="AK170" i="6"/>
  <c r="AL170" i="6"/>
  <c r="AM170" i="6"/>
  <c r="AN170" i="6"/>
  <c r="AO170" i="6"/>
  <c r="AP170" i="6"/>
  <c r="AQ170" i="6"/>
  <c r="AR170" i="6"/>
  <c r="AS170" i="6"/>
  <c r="AF171" i="6"/>
  <c r="AG171" i="6"/>
  <c r="AH171" i="6"/>
  <c r="AI171" i="6"/>
  <c r="AJ171" i="6"/>
  <c r="AK171" i="6"/>
  <c r="AL171" i="6"/>
  <c r="AM171" i="6"/>
  <c r="AN171" i="6"/>
  <c r="AO171" i="6"/>
  <c r="AP171" i="6"/>
  <c r="AQ171" i="6"/>
  <c r="AR171" i="6"/>
  <c r="AS171" i="6"/>
  <c r="AF172" i="6"/>
  <c r="AG172" i="6"/>
  <c r="AH172" i="6"/>
  <c r="AI172" i="6"/>
  <c r="AJ172" i="6"/>
  <c r="AK172" i="6"/>
  <c r="AL172" i="6"/>
  <c r="AM172" i="6"/>
  <c r="AN172" i="6"/>
  <c r="AO172" i="6"/>
  <c r="AP172" i="6"/>
  <c r="AQ172" i="6"/>
  <c r="AR172" i="6"/>
  <c r="AS172" i="6"/>
  <c r="AF173" i="6"/>
  <c r="AG173" i="6"/>
  <c r="AH173" i="6"/>
  <c r="AI173" i="6"/>
  <c r="AJ173" i="6"/>
  <c r="AK173" i="6"/>
  <c r="AL173" i="6"/>
  <c r="AM173" i="6"/>
  <c r="AN173" i="6"/>
  <c r="AO173" i="6"/>
  <c r="AP173" i="6"/>
  <c r="AQ173" i="6"/>
  <c r="AR173" i="6"/>
  <c r="AS173" i="6"/>
  <c r="AF174" i="6"/>
  <c r="AG174" i="6"/>
  <c r="AH174" i="6"/>
  <c r="AI174" i="6"/>
  <c r="AJ174" i="6"/>
  <c r="AK174" i="6"/>
  <c r="AL174" i="6"/>
  <c r="AM174" i="6"/>
  <c r="AN174" i="6"/>
  <c r="AO174" i="6"/>
  <c r="AP174" i="6"/>
  <c r="AQ174" i="6"/>
  <c r="AR174" i="6"/>
  <c r="AS174" i="6"/>
  <c r="AF175" i="6"/>
  <c r="AG175" i="6"/>
  <c r="AH175" i="6"/>
  <c r="AI175" i="6"/>
  <c r="AJ175" i="6"/>
  <c r="AK175" i="6"/>
  <c r="AL175" i="6"/>
  <c r="AM175" i="6"/>
  <c r="AN175" i="6"/>
  <c r="AO175" i="6"/>
  <c r="AP175" i="6"/>
  <c r="AQ175" i="6"/>
  <c r="AR175" i="6"/>
  <c r="AS175" i="6"/>
  <c r="AF176" i="6"/>
  <c r="AG176" i="6"/>
  <c r="AH176" i="6"/>
  <c r="AI176" i="6"/>
  <c r="AJ176" i="6"/>
  <c r="AK176" i="6"/>
  <c r="AL176" i="6"/>
  <c r="AM176" i="6"/>
  <c r="AN176" i="6"/>
  <c r="AO176" i="6"/>
  <c r="AP176" i="6"/>
  <c r="AQ176" i="6"/>
  <c r="AR176" i="6"/>
  <c r="AS176" i="6"/>
  <c r="AF177" i="6"/>
  <c r="AG177" i="6"/>
  <c r="AH177" i="6"/>
  <c r="AI177" i="6"/>
  <c r="AJ177" i="6"/>
  <c r="AK177" i="6"/>
  <c r="AL177" i="6"/>
  <c r="AM177" i="6"/>
  <c r="AN177" i="6"/>
  <c r="AO177" i="6"/>
  <c r="AP177" i="6"/>
  <c r="AQ177" i="6"/>
  <c r="AR177" i="6"/>
  <c r="AS177" i="6"/>
  <c r="AF178" i="6"/>
  <c r="AG178" i="6"/>
  <c r="AH178" i="6"/>
  <c r="AI178" i="6"/>
  <c r="AJ178" i="6"/>
  <c r="AK178" i="6"/>
  <c r="AL178" i="6"/>
  <c r="AM178" i="6"/>
  <c r="AN178" i="6"/>
  <c r="AO178" i="6"/>
  <c r="AP178" i="6"/>
  <c r="AQ178" i="6"/>
  <c r="AR178" i="6"/>
  <c r="AS178" i="6"/>
  <c r="AF179" i="6"/>
  <c r="AG179" i="6"/>
  <c r="AH179" i="6"/>
  <c r="AI179" i="6"/>
  <c r="AJ179" i="6"/>
  <c r="AK179" i="6"/>
  <c r="AL179" i="6"/>
  <c r="AM179" i="6"/>
  <c r="AN179" i="6"/>
  <c r="AO179" i="6"/>
  <c r="AP179" i="6"/>
  <c r="AQ179" i="6"/>
  <c r="AR179" i="6"/>
  <c r="AS179" i="6"/>
  <c r="AF180" i="6"/>
  <c r="AG180" i="6"/>
  <c r="AH180" i="6"/>
  <c r="AI180" i="6"/>
  <c r="AJ180" i="6"/>
  <c r="AK180" i="6"/>
  <c r="AL180" i="6"/>
  <c r="AM180" i="6"/>
  <c r="AN180" i="6"/>
  <c r="AO180" i="6"/>
  <c r="AP180" i="6"/>
  <c r="AQ180" i="6"/>
  <c r="AR180" i="6"/>
  <c r="AS180" i="6"/>
  <c r="AF181" i="6"/>
  <c r="AG181" i="6"/>
  <c r="AH181" i="6"/>
  <c r="AI181" i="6"/>
  <c r="AJ181" i="6"/>
  <c r="AK181" i="6"/>
  <c r="AL181" i="6"/>
  <c r="AM181" i="6"/>
  <c r="AN181" i="6"/>
  <c r="AO181" i="6"/>
  <c r="AP181" i="6"/>
  <c r="AQ181" i="6"/>
  <c r="AR181" i="6"/>
  <c r="AS181" i="6"/>
  <c r="AF182" i="6"/>
  <c r="AG182" i="6"/>
  <c r="AH182" i="6"/>
  <c r="AI182" i="6"/>
  <c r="AJ182" i="6"/>
  <c r="AK182" i="6"/>
  <c r="AL182" i="6"/>
  <c r="AM182" i="6"/>
  <c r="AN182" i="6"/>
  <c r="AO182" i="6"/>
  <c r="AP182" i="6"/>
  <c r="AQ182" i="6"/>
  <c r="AR182" i="6"/>
  <c r="AS182" i="6"/>
  <c r="AF183" i="6"/>
  <c r="AG183" i="6"/>
  <c r="AH183" i="6"/>
  <c r="AI183" i="6"/>
  <c r="AJ183" i="6"/>
  <c r="AK183" i="6"/>
  <c r="AL183" i="6"/>
  <c r="AM183" i="6"/>
  <c r="AN183" i="6"/>
  <c r="AO183" i="6"/>
  <c r="AP183" i="6"/>
  <c r="AQ183" i="6"/>
  <c r="AR183" i="6"/>
  <c r="AS183" i="6"/>
  <c r="AF184" i="6"/>
  <c r="AG184" i="6"/>
  <c r="AH184" i="6"/>
  <c r="AI184" i="6"/>
  <c r="AJ184" i="6"/>
  <c r="AK184" i="6"/>
  <c r="AL184" i="6"/>
  <c r="AM184" i="6"/>
  <c r="AN184" i="6"/>
  <c r="AO184" i="6"/>
  <c r="AP184" i="6"/>
  <c r="AQ184" i="6"/>
  <c r="AR184" i="6"/>
  <c r="AS184" i="6"/>
  <c r="AF185" i="6"/>
  <c r="AG185" i="6"/>
  <c r="AH185" i="6"/>
  <c r="AI185" i="6"/>
  <c r="AJ185" i="6"/>
  <c r="AK185" i="6"/>
  <c r="AL185" i="6"/>
  <c r="AM185" i="6"/>
  <c r="AN185" i="6"/>
  <c r="AO185" i="6"/>
  <c r="AP185" i="6"/>
  <c r="AQ185" i="6"/>
  <c r="AR185" i="6"/>
  <c r="AS185" i="6"/>
  <c r="AF186" i="6"/>
  <c r="AG186" i="6"/>
  <c r="AH186" i="6"/>
  <c r="AI186" i="6"/>
  <c r="AJ186" i="6"/>
  <c r="AK186" i="6"/>
  <c r="AL186" i="6"/>
  <c r="AM186" i="6"/>
  <c r="AN186" i="6"/>
  <c r="AO186" i="6"/>
  <c r="AP186" i="6"/>
  <c r="AQ186" i="6"/>
  <c r="AR186" i="6"/>
  <c r="AS186" i="6"/>
  <c r="AF187" i="6"/>
  <c r="AG187" i="6"/>
  <c r="AH187" i="6"/>
  <c r="AI187" i="6"/>
  <c r="AJ187" i="6"/>
  <c r="AK187" i="6"/>
  <c r="AL187" i="6"/>
  <c r="AM187" i="6"/>
  <c r="AN187" i="6"/>
  <c r="AO187" i="6"/>
  <c r="AP187" i="6"/>
  <c r="AQ187" i="6"/>
  <c r="AR187" i="6"/>
  <c r="AS187" i="6"/>
  <c r="AF188" i="6"/>
  <c r="AG188" i="6"/>
  <c r="AH188" i="6"/>
  <c r="AI188" i="6"/>
  <c r="AJ188" i="6"/>
  <c r="AK188" i="6"/>
  <c r="AL188" i="6"/>
  <c r="AM188" i="6"/>
  <c r="AN188" i="6"/>
  <c r="AO188" i="6"/>
  <c r="AP188" i="6"/>
  <c r="AQ188" i="6"/>
  <c r="AR188" i="6"/>
  <c r="AS188" i="6"/>
  <c r="AF189" i="6"/>
  <c r="AG189" i="6"/>
  <c r="AH189" i="6"/>
  <c r="AI189" i="6"/>
  <c r="AJ189" i="6"/>
  <c r="AK189" i="6"/>
  <c r="AL189" i="6"/>
  <c r="AM189" i="6"/>
  <c r="AN189" i="6"/>
  <c r="AO189" i="6"/>
  <c r="AP189" i="6"/>
  <c r="AQ189" i="6"/>
  <c r="AR189" i="6"/>
  <c r="AS189" i="6"/>
  <c r="AF190" i="6"/>
  <c r="AG190" i="6"/>
  <c r="AH190" i="6"/>
  <c r="AI190" i="6"/>
  <c r="AJ190" i="6"/>
  <c r="AK190" i="6"/>
  <c r="AL190" i="6"/>
  <c r="AM190" i="6"/>
  <c r="AN190" i="6"/>
  <c r="AO190" i="6"/>
  <c r="AP190" i="6"/>
  <c r="AQ190" i="6"/>
  <c r="AR190" i="6"/>
  <c r="AS190" i="6"/>
  <c r="AF191" i="6"/>
  <c r="AG191" i="6"/>
  <c r="AH191" i="6"/>
  <c r="AI191" i="6"/>
  <c r="AJ191" i="6"/>
  <c r="AK191" i="6"/>
  <c r="AL191" i="6"/>
  <c r="AM191" i="6"/>
  <c r="AN191" i="6"/>
  <c r="AO191" i="6"/>
  <c r="AP191" i="6"/>
  <c r="AQ191" i="6"/>
  <c r="AR191" i="6"/>
  <c r="AS191" i="6"/>
  <c r="AF192" i="6"/>
  <c r="AG192" i="6"/>
  <c r="AH192" i="6"/>
  <c r="AI192" i="6"/>
  <c r="AJ192" i="6"/>
  <c r="AK192" i="6"/>
  <c r="AL192" i="6"/>
  <c r="AM192" i="6"/>
  <c r="AN192" i="6"/>
  <c r="AO192" i="6"/>
  <c r="AP192" i="6"/>
  <c r="AQ192" i="6"/>
  <c r="AR192" i="6"/>
  <c r="AS192" i="6"/>
  <c r="AF193" i="6"/>
  <c r="AG193" i="6"/>
  <c r="AH193" i="6"/>
  <c r="AI193" i="6"/>
  <c r="AJ193" i="6"/>
  <c r="AK193" i="6"/>
  <c r="AL193" i="6"/>
  <c r="AM193" i="6"/>
  <c r="AN193" i="6"/>
  <c r="AO193" i="6"/>
  <c r="AP193" i="6"/>
  <c r="AQ193" i="6"/>
  <c r="AR193" i="6"/>
  <c r="AS193" i="6"/>
  <c r="AF194" i="6"/>
  <c r="AG194" i="6"/>
  <c r="AH194" i="6"/>
  <c r="AI194" i="6"/>
  <c r="AJ194" i="6"/>
  <c r="AK194" i="6"/>
  <c r="AL194" i="6"/>
  <c r="AM194" i="6"/>
  <c r="AN194" i="6"/>
  <c r="AO194" i="6"/>
  <c r="AP194" i="6"/>
  <c r="AQ194" i="6"/>
  <c r="AR194" i="6"/>
  <c r="AS194" i="6"/>
  <c r="AF195" i="6"/>
  <c r="AG195" i="6"/>
  <c r="AH195" i="6"/>
  <c r="AI195" i="6"/>
  <c r="AJ195" i="6"/>
  <c r="AK195" i="6"/>
  <c r="AL195" i="6"/>
  <c r="AM195" i="6"/>
  <c r="AN195" i="6"/>
  <c r="AO195" i="6"/>
  <c r="AP195" i="6"/>
  <c r="AQ195" i="6"/>
  <c r="AR195" i="6"/>
  <c r="AS195" i="6"/>
  <c r="AF196" i="6"/>
  <c r="AG196" i="6"/>
  <c r="AH196" i="6"/>
  <c r="AI196" i="6"/>
  <c r="AJ196" i="6"/>
  <c r="AK196" i="6"/>
  <c r="AL196" i="6"/>
  <c r="AM196" i="6"/>
  <c r="AN196" i="6"/>
  <c r="AO196" i="6"/>
  <c r="AP196" i="6"/>
  <c r="AQ196" i="6"/>
  <c r="AR196" i="6"/>
  <c r="AS196" i="6"/>
  <c r="AF197" i="6"/>
  <c r="AG197" i="6"/>
  <c r="AH197" i="6"/>
  <c r="AI197" i="6"/>
  <c r="AJ197" i="6"/>
  <c r="AK197" i="6"/>
  <c r="AL197" i="6"/>
  <c r="AM197" i="6"/>
  <c r="AN197" i="6"/>
  <c r="AO197" i="6"/>
  <c r="AP197" i="6"/>
  <c r="AQ197" i="6"/>
  <c r="AR197" i="6"/>
  <c r="AS197" i="6"/>
  <c r="AF198" i="6"/>
  <c r="AG198" i="6"/>
  <c r="AH198" i="6"/>
  <c r="AI198" i="6"/>
  <c r="AJ198" i="6"/>
  <c r="AK198" i="6"/>
  <c r="AL198" i="6"/>
  <c r="AM198" i="6"/>
  <c r="AN198" i="6"/>
  <c r="AO198" i="6"/>
  <c r="AP198" i="6"/>
  <c r="AQ198" i="6"/>
  <c r="AR198" i="6"/>
  <c r="AS198" i="6"/>
  <c r="AF199" i="6"/>
  <c r="AG199" i="6"/>
  <c r="AH199" i="6"/>
  <c r="AI199" i="6"/>
  <c r="AJ199" i="6"/>
  <c r="AK199" i="6"/>
  <c r="AL199" i="6"/>
  <c r="AM199" i="6"/>
  <c r="AN199" i="6"/>
  <c r="AO199" i="6"/>
  <c r="AP199" i="6"/>
  <c r="AQ199" i="6"/>
  <c r="AR199" i="6"/>
  <c r="AS199" i="6"/>
  <c r="AF200" i="6"/>
  <c r="AG200" i="6"/>
  <c r="AH200" i="6"/>
  <c r="AI200" i="6"/>
  <c r="AJ200" i="6"/>
  <c r="AK200" i="6"/>
  <c r="AL200" i="6"/>
  <c r="AM200" i="6"/>
  <c r="AN200" i="6"/>
  <c r="AO200" i="6"/>
  <c r="AP200" i="6"/>
  <c r="AQ200" i="6"/>
  <c r="AR200" i="6"/>
  <c r="AS200" i="6"/>
  <c r="AF201" i="6"/>
  <c r="AG201" i="6"/>
  <c r="AH201" i="6"/>
  <c r="AI201" i="6"/>
  <c r="AJ201" i="6"/>
  <c r="AK201" i="6"/>
  <c r="AL201" i="6"/>
  <c r="AM201" i="6"/>
  <c r="AN201" i="6"/>
  <c r="AO201" i="6"/>
  <c r="AP201" i="6"/>
  <c r="AQ201" i="6"/>
  <c r="AR201" i="6"/>
  <c r="AS201" i="6"/>
  <c r="AF202" i="6"/>
  <c r="AG202" i="6"/>
  <c r="AH202" i="6"/>
  <c r="AI202" i="6"/>
  <c r="AJ202" i="6"/>
  <c r="AK202" i="6"/>
  <c r="AL202" i="6"/>
  <c r="AM202" i="6"/>
  <c r="AN202" i="6"/>
  <c r="AO202" i="6"/>
  <c r="AP202" i="6"/>
  <c r="AQ202" i="6"/>
  <c r="AR202" i="6"/>
  <c r="AS202" i="6"/>
  <c r="AF203" i="6"/>
  <c r="AG203" i="6"/>
  <c r="AH203" i="6"/>
  <c r="AI203" i="6"/>
  <c r="AJ203" i="6"/>
  <c r="AK203" i="6"/>
  <c r="AL203" i="6"/>
  <c r="AM203" i="6"/>
  <c r="AN203" i="6"/>
  <c r="AO203" i="6"/>
  <c r="AP203" i="6"/>
  <c r="AQ203" i="6"/>
  <c r="AR203" i="6"/>
  <c r="AS203" i="6"/>
  <c r="AF204" i="6"/>
  <c r="AG204" i="6"/>
  <c r="AH204" i="6"/>
  <c r="AI204" i="6"/>
  <c r="AJ204" i="6"/>
  <c r="AK204" i="6"/>
  <c r="AL204" i="6"/>
  <c r="AM204" i="6"/>
  <c r="AN204" i="6"/>
  <c r="AO204" i="6"/>
  <c r="AP204" i="6"/>
  <c r="AQ204" i="6"/>
  <c r="AR204" i="6"/>
  <c r="AS204" i="6"/>
  <c r="AF205" i="6"/>
  <c r="AG205" i="6"/>
  <c r="AH205" i="6"/>
  <c r="AI205" i="6"/>
  <c r="AJ205" i="6"/>
  <c r="AK205" i="6"/>
  <c r="AL205" i="6"/>
  <c r="AM205" i="6"/>
  <c r="AN205" i="6"/>
  <c r="AO205" i="6"/>
  <c r="AP205" i="6"/>
  <c r="AQ205" i="6"/>
  <c r="AR205" i="6"/>
  <c r="AS205" i="6"/>
  <c r="AF206" i="6"/>
  <c r="AG206" i="6"/>
  <c r="AH206" i="6"/>
  <c r="AI206" i="6"/>
  <c r="AJ206" i="6"/>
  <c r="AK206" i="6"/>
  <c r="AL206" i="6"/>
  <c r="AM206" i="6"/>
  <c r="AN206" i="6"/>
  <c r="AO206" i="6"/>
  <c r="AP206" i="6"/>
  <c r="AQ206" i="6"/>
  <c r="AR206" i="6"/>
  <c r="AS206" i="6"/>
  <c r="AF207" i="6"/>
  <c r="AG207" i="6"/>
  <c r="AH207" i="6"/>
  <c r="AI207" i="6"/>
  <c r="AJ207" i="6"/>
  <c r="AK207" i="6"/>
  <c r="AL207" i="6"/>
  <c r="AM207" i="6"/>
  <c r="AN207" i="6"/>
  <c r="AO207" i="6"/>
  <c r="AP207" i="6"/>
  <c r="AQ207" i="6"/>
  <c r="AR207" i="6"/>
  <c r="AS207" i="6"/>
  <c r="AF208" i="6"/>
  <c r="AG208" i="6"/>
  <c r="AH208" i="6"/>
  <c r="AI208" i="6"/>
  <c r="AJ208" i="6"/>
  <c r="AK208" i="6"/>
  <c r="AL208" i="6"/>
  <c r="AM208" i="6"/>
  <c r="AN208" i="6"/>
  <c r="AO208" i="6"/>
  <c r="AP208" i="6"/>
  <c r="AQ208" i="6"/>
  <c r="AR208" i="6"/>
  <c r="AS208" i="6"/>
  <c r="AF209" i="6"/>
  <c r="AG209" i="6"/>
  <c r="AH209" i="6"/>
  <c r="AI209" i="6"/>
  <c r="AJ209" i="6"/>
  <c r="AK209" i="6"/>
  <c r="AL209" i="6"/>
  <c r="AM209" i="6"/>
  <c r="AN209" i="6"/>
  <c r="AO209" i="6"/>
  <c r="AP209" i="6"/>
  <c r="AQ209" i="6"/>
  <c r="AR209" i="6"/>
  <c r="AS209" i="6"/>
  <c r="AF210" i="6"/>
  <c r="AG210" i="6"/>
  <c r="AH210" i="6"/>
  <c r="AI210" i="6"/>
  <c r="AJ210" i="6"/>
  <c r="AK210" i="6"/>
  <c r="AL210" i="6"/>
  <c r="AM210" i="6"/>
  <c r="AN210" i="6"/>
  <c r="AO210" i="6"/>
  <c r="AP210" i="6"/>
  <c r="AQ210" i="6"/>
  <c r="AR210" i="6"/>
  <c r="AS210" i="6"/>
  <c r="AF212" i="6"/>
  <c r="AG212" i="6"/>
  <c r="AH212" i="6"/>
  <c r="AI212" i="6"/>
  <c r="AJ212" i="6"/>
  <c r="AK212" i="6"/>
  <c r="AL212" i="6"/>
  <c r="AM212" i="6"/>
  <c r="AN212" i="6"/>
  <c r="AO212" i="6"/>
  <c r="AP212" i="6"/>
  <c r="AQ212" i="6"/>
  <c r="AR212" i="6"/>
  <c r="AS212" i="6"/>
  <c r="AF213" i="6"/>
  <c r="AG213" i="6"/>
  <c r="AH213" i="6"/>
  <c r="AI213" i="6"/>
  <c r="AJ213" i="6"/>
  <c r="AK213" i="6"/>
  <c r="AL213" i="6"/>
  <c r="AM213" i="6"/>
  <c r="AN213" i="6"/>
  <c r="AO213" i="6"/>
  <c r="AP213" i="6"/>
  <c r="AQ213" i="6"/>
  <c r="AR213" i="6"/>
  <c r="AS213" i="6"/>
  <c r="AF214" i="6"/>
  <c r="AG214" i="6"/>
  <c r="AH214" i="6"/>
  <c r="AI214" i="6"/>
  <c r="AJ214" i="6"/>
  <c r="AK214" i="6"/>
  <c r="AL214" i="6"/>
  <c r="AM214" i="6"/>
  <c r="AN214" i="6"/>
  <c r="AO214" i="6"/>
  <c r="AP214" i="6"/>
  <c r="AQ214" i="6"/>
  <c r="AR214" i="6"/>
  <c r="AS214" i="6"/>
  <c r="AF215" i="6"/>
  <c r="AG215" i="6"/>
  <c r="AH215" i="6"/>
  <c r="AI215" i="6"/>
  <c r="AJ215" i="6"/>
  <c r="AK215" i="6"/>
  <c r="AL215" i="6"/>
  <c r="AM215" i="6"/>
  <c r="AN215" i="6"/>
  <c r="AO215" i="6"/>
  <c r="AP215" i="6"/>
  <c r="AQ215" i="6"/>
  <c r="AR215" i="6"/>
  <c r="AS215" i="6"/>
  <c r="AF216" i="6"/>
  <c r="AG216" i="6"/>
  <c r="AH216" i="6"/>
  <c r="AI216" i="6"/>
  <c r="AJ216" i="6"/>
  <c r="AK216" i="6"/>
  <c r="AL216" i="6"/>
  <c r="AM216" i="6"/>
  <c r="AN216" i="6"/>
  <c r="AO216" i="6"/>
  <c r="AP216" i="6"/>
  <c r="AQ216" i="6"/>
  <c r="AR216" i="6"/>
  <c r="AS216" i="6"/>
  <c r="AF217" i="6"/>
  <c r="AG217" i="6"/>
  <c r="AH217" i="6"/>
  <c r="AI217" i="6"/>
  <c r="AJ217" i="6"/>
  <c r="AK217" i="6"/>
  <c r="AL217" i="6"/>
  <c r="AM217" i="6"/>
  <c r="AN217" i="6"/>
  <c r="AO217" i="6"/>
  <c r="AP217" i="6"/>
  <c r="AQ217" i="6"/>
  <c r="AR217" i="6"/>
  <c r="AS217" i="6"/>
  <c r="AF218" i="6"/>
  <c r="AG218" i="6"/>
  <c r="AH218" i="6"/>
  <c r="AI218" i="6"/>
  <c r="AJ218" i="6"/>
  <c r="AK218" i="6"/>
  <c r="AL218" i="6"/>
  <c r="AM218" i="6"/>
  <c r="AN218" i="6"/>
  <c r="AO218" i="6"/>
  <c r="AP218" i="6"/>
  <c r="AQ218" i="6"/>
  <c r="AR218" i="6"/>
  <c r="AS218" i="6"/>
  <c r="AF219" i="6"/>
  <c r="AG219" i="6"/>
  <c r="AH219" i="6"/>
  <c r="AI219" i="6"/>
  <c r="AJ219" i="6"/>
  <c r="AK219" i="6"/>
  <c r="AL219" i="6"/>
  <c r="AM219" i="6"/>
  <c r="AN219" i="6"/>
  <c r="AO219" i="6"/>
  <c r="AP219" i="6"/>
  <c r="AQ219" i="6"/>
  <c r="AR219" i="6"/>
  <c r="AS219" i="6"/>
  <c r="AF220" i="6"/>
  <c r="AG220" i="6"/>
  <c r="AH220" i="6"/>
  <c r="AI220" i="6"/>
  <c r="AJ220" i="6"/>
  <c r="AK220" i="6"/>
  <c r="AL220" i="6"/>
  <c r="AM220" i="6"/>
  <c r="AN220" i="6"/>
  <c r="AO220" i="6"/>
  <c r="AP220" i="6"/>
  <c r="AQ220" i="6"/>
  <c r="AR220" i="6"/>
  <c r="AS220" i="6"/>
  <c r="AF221" i="6"/>
  <c r="AG221" i="6"/>
  <c r="AH221" i="6"/>
  <c r="AI221" i="6"/>
  <c r="AJ221" i="6"/>
  <c r="AK221" i="6"/>
  <c r="AL221" i="6"/>
  <c r="AM221" i="6"/>
  <c r="AN221" i="6"/>
  <c r="AO221" i="6"/>
  <c r="AP221" i="6"/>
  <c r="AQ221" i="6"/>
  <c r="AR221" i="6"/>
  <c r="AS221" i="6"/>
  <c r="AF222" i="6"/>
  <c r="AG222" i="6"/>
  <c r="AH222" i="6"/>
  <c r="AI222" i="6"/>
  <c r="AJ222" i="6"/>
  <c r="AK222" i="6"/>
  <c r="AL222" i="6"/>
  <c r="AM222" i="6"/>
  <c r="AN222" i="6"/>
  <c r="AO222" i="6"/>
  <c r="AP222" i="6"/>
  <c r="AQ222" i="6"/>
  <c r="AR222" i="6"/>
  <c r="AS222" i="6"/>
  <c r="AF223" i="6"/>
  <c r="AG223" i="6"/>
  <c r="AH223" i="6"/>
  <c r="AI223" i="6"/>
  <c r="AJ223" i="6"/>
  <c r="AK223" i="6"/>
  <c r="AL223" i="6"/>
  <c r="AM223" i="6"/>
  <c r="AN223" i="6"/>
  <c r="AO223" i="6"/>
  <c r="AP223" i="6"/>
  <c r="AQ223" i="6"/>
  <c r="AR223" i="6"/>
  <c r="AS223" i="6"/>
  <c r="AF224" i="6"/>
  <c r="AG224" i="6"/>
  <c r="AH224" i="6"/>
  <c r="AI224" i="6"/>
  <c r="AJ224" i="6"/>
  <c r="AK224" i="6"/>
  <c r="AL224" i="6"/>
  <c r="AM224" i="6"/>
  <c r="AN224" i="6"/>
  <c r="AO224" i="6"/>
  <c r="AP224" i="6"/>
  <c r="AQ224" i="6"/>
  <c r="AR224" i="6"/>
  <c r="AS224" i="6"/>
  <c r="AF225" i="6"/>
  <c r="AG225" i="6"/>
  <c r="AH225" i="6"/>
  <c r="AI225" i="6"/>
  <c r="AJ225" i="6"/>
  <c r="AK225" i="6"/>
  <c r="AL225" i="6"/>
  <c r="AM225" i="6"/>
  <c r="AN225" i="6"/>
  <c r="AO225" i="6"/>
  <c r="AP225" i="6"/>
  <c r="AQ225" i="6"/>
  <c r="AR225" i="6"/>
  <c r="AS225" i="6"/>
  <c r="AF226" i="6"/>
  <c r="AG226" i="6"/>
  <c r="AH226" i="6"/>
  <c r="AI226" i="6"/>
  <c r="AJ226" i="6"/>
  <c r="AK226" i="6"/>
  <c r="AL226" i="6"/>
  <c r="AM226" i="6"/>
  <c r="AN226" i="6"/>
  <c r="AO226" i="6"/>
  <c r="AP226" i="6"/>
  <c r="AQ226" i="6"/>
  <c r="AR226" i="6"/>
  <c r="AS226" i="6"/>
  <c r="AF227" i="6"/>
  <c r="AG227" i="6"/>
  <c r="AH227" i="6"/>
  <c r="AI227" i="6"/>
  <c r="AJ227" i="6"/>
  <c r="AK227" i="6"/>
  <c r="AL227" i="6"/>
  <c r="AM227" i="6"/>
  <c r="AN227" i="6"/>
  <c r="AO227" i="6"/>
  <c r="AP227" i="6"/>
  <c r="AQ227" i="6"/>
  <c r="AR227" i="6"/>
  <c r="AS227" i="6"/>
  <c r="AF228" i="6"/>
  <c r="AG228" i="6"/>
  <c r="AH228" i="6"/>
  <c r="AI228" i="6"/>
  <c r="AJ228" i="6"/>
  <c r="AK228" i="6"/>
  <c r="AL228" i="6"/>
  <c r="AM228" i="6"/>
  <c r="AN228" i="6"/>
  <c r="AO228" i="6"/>
  <c r="AP228" i="6"/>
  <c r="AQ228" i="6"/>
  <c r="AR228" i="6"/>
  <c r="AS228" i="6"/>
  <c r="AF229" i="6"/>
  <c r="AG229" i="6"/>
  <c r="AH229" i="6"/>
  <c r="AI229" i="6"/>
  <c r="AJ229" i="6"/>
  <c r="AK229" i="6"/>
  <c r="AL229" i="6"/>
  <c r="AM229" i="6"/>
  <c r="AN229" i="6"/>
  <c r="AO229" i="6"/>
  <c r="AP229" i="6"/>
  <c r="AQ229" i="6"/>
  <c r="AR229" i="6"/>
  <c r="AS229" i="6"/>
  <c r="AF230" i="6"/>
  <c r="AG230" i="6"/>
  <c r="AH230" i="6"/>
  <c r="AI230" i="6"/>
  <c r="AJ230" i="6"/>
  <c r="AK230" i="6"/>
  <c r="AL230" i="6"/>
  <c r="AM230" i="6"/>
  <c r="AN230" i="6"/>
  <c r="AO230" i="6"/>
  <c r="AP230" i="6"/>
  <c r="AQ230" i="6"/>
  <c r="AR230" i="6"/>
  <c r="AS230" i="6"/>
  <c r="AF231" i="6"/>
  <c r="AG231" i="6"/>
  <c r="AH231" i="6"/>
  <c r="AI231" i="6"/>
  <c r="AJ231" i="6"/>
  <c r="AK231" i="6"/>
  <c r="AL231" i="6"/>
  <c r="AM231" i="6"/>
  <c r="AN231" i="6"/>
  <c r="AO231" i="6"/>
  <c r="AP231" i="6"/>
  <c r="AQ231" i="6"/>
  <c r="AR231" i="6"/>
  <c r="AS231" i="6"/>
  <c r="AF232" i="6"/>
  <c r="AG232" i="6"/>
  <c r="AH232" i="6"/>
  <c r="AI232" i="6"/>
  <c r="AJ232" i="6"/>
  <c r="AK232" i="6"/>
  <c r="AL232" i="6"/>
  <c r="AM232" i="6"/>
  <c r="AN232" i="6"/>
  <c r="AO232" i="6"/>
  <c r="AP232" i="6"/>
  <c r="AQ232" i="6"/>
  <c r="AR232" i="6"/>
  <c r="AS232" i="6"/>
  <c r="AF233" i="6"/>
  <c r="AG233" i="6"/>
  <c r="AH233" i="6"/>
  <c r="AI233" i="6"/>
  <c r="AJ233" i="6"/>
  <c r="AK233" i="6"/>
  <c r="AL233" i="6"/>
  <c r="AM233" i="6"/>
  <c r="AN233" i="6"/>
  <c r="AO233" i="6"/>
  <c r="AP233" i="6"/>
  <c r="AQ233" i="6"/>
  <c r="AR233" i="6"/>
  <c r="AS233" i="6"/>
  <c r="AF234" i="6"/>
  <c r="AG234" i="6"/>
  <c r="AH234" i="6"/>
  <c r="AI234" i="6"/>
  <c r="AJ234" i="6"/>
  <c r="AK234" i="6"/>
  <c r="AL234" i="6"/>
  <c r="AM234" i="6"/>
  <c r="AN234" i="6"/>
  <c r="AO234" i="6"/>
  <c r="AP234" i="6"/>
  <c r="AQ234" i="6"/>
  <c r="AR234" i="6"/>
  <c r="AS234" i="6"/>
  <c r="AF235" i="6"/>
  <c r="AG235" i="6"/>
  <c r="AH235" i="6"/>
  <c r="AI235" i="6"/>
  <c r="AJ235" i="6"/>
  <c r="AK235" i="6"/>
  <c r="AL235" i="6"/>
  <c r="AM235" i="6"/>
  <c r="AN235" i="6"/>
  <c r="AO235" i="6"/>
  <c r="AP235" i="6"/>
  <c r="AQ235" i="6"/>
  <c r="AR235" i="6"/>
  <c r="AS235" i="6"/>
  <c r="AF236" i="6"/>
  <c r="AG236" i="6"/>
  <c r="AH236" i="6"/>
  <c r="AI236" i="6"/>
  <c r="AJ236" i="6"/>
  <c r="AK236" i="6"/>
  <c r="AL236" i="6"/>
  <c r="AM236" i="6"/>
  <c r="AN236" i="6"/>
  <c r="AO236" i="6"/>
  <c r="AP236" i="6"/>
  <c r="AQ236" i="6"/>
  <c r="AR236" i="6"/>
  <c r="AS236" i="6"/>
  <c r="AF237" i="6"/>
  <c r="AG237" i="6"/>
  <c r="AH237" i="6"/>
  <c r="AI237" i="6"/>
  <c r="AJ237" i="6"/>
  <c r="AK237" i="6"/>
  <c r="AL237" i="6"/>
  <c r="AM237" i="6"/>
  <c r="AN237" i="6"/>
  <c r="AO237" i="6"/>
  <c r="AP237" i="6"/>
  <c r="AQ237" i="6"/>
  <c r="AR237" i="6"/>
  <c r="AS237" i="6"/>
  <c r="AF238" i="6"/>
  <c r="AG238" i="6"/>
  <c r="AH238" i="6"/>
  <c r="AI238" i="6"/>
  <c r="AJ238" i="6"/>
  <c r="AK238" i="6"/>
  <c r="AL238" i="6"/>
  <c r="AM238" i="6"/>
  <c r="AN238" i="6"/>
  <c r="AO238" i="6"/>
  <c r="AP238" i="6"/>
  <c r="AQ238" i="6"/>
  <c r="AR238" i="6"/>
  <c r="AS238" i="6"/>
  <c r="AF239" i="6"/>
  <c r="AG239" i="6"/>
  <c r="AH239" i="6"/>
  <c r="AI239" i="6"/>
  <c r="AJ239" i="6"/>
  <c r="AK239" i="6"/>
  <c r="AL239" i="6"/>
  <c r="AM239" i="6"/>
  <c r="AN239" i="6"/>
  <c r="AO239" i="6"/>
  <c r="AP239" i="6"/>
  <c r="AQ239" i="6"/>
  <c r="AR239" i="6"/>
  <c r="AS239" i="6"/>
  <c r="AF240" i="6"/>
  <c r="AG240" i="6"/>
  <c r="AH240" i="6"/>
  <c r="AI240" i="6"/>
  <c r="AJ240" i="6"/>
  <c r="AK240" i="6"/>
  <c r="AL240" i="6"/>
  <c r="AM240" i="6"/>
  <c r="AN240" i="6"/>
  <c r="AO240" i="6"/>
  <c r="AP240" i="6"/>
  <c r="AQ240" i="6"/>
  <c r="AR240" i="6"/>
  <c r="AS240" i="6"/>
  <c r="AF241" i="6"/>
  <c r="AG241" i="6"/>
  <c r="AH241" i="6"/>
  <c r="AI241" i="6"/>
  <c r="AJ241" i="6"/>
  <c r="AK241" i="6"/>
  <c r="AL241" i="6"/>
  <c r="AM241" i="6"/>
  <c r="AN241" i="6"/>
  <c r="AO241" i="6"/>
  <c r="AP241" i="6"/>
  <c r="AQ241" i="6"/>
  <c r="AR241" i="6"/>
  <c r="AS241" i="6"/>
  <c r="AF242" i="6"/>
  <c r="AG242" i="6"/>
  <c r="AH242" i="6"/>
  <c r="AI242" i="6"/>
  <c r="AJ242" i="6"/>
  <c r="AK242" i="6"/>
  <c r="AL242" i="6"/>
  <c r="AM242" i="6"/>
  <c r="AN242" i="6"/>
  <c r="AO242" i="6"/>
  <c r="AP242" i="6"/>
  <c r="AQ242" i="6"/>
  <c r="AR242" i="6"/>
  <c r="AS242" i="6"/>
  <c r="AF243" i="6"/>
  <c r="AG243" i="6"/>
  <c r="AH243" i="6"/>
  <c r="AI243" i="6"/>
  <c r="AJ243" i="6"/>
  <c r="AK243" i="6"/>
  <c r="AL243" i="6"/>
  <c r="AM243" i="6"/>
  <c r="AN243" i="6"/>
  <c r="AO243" i="6"/>
  <c r="AP243" i="6"/>
  <c r="AQ243" i="6"/>
  <c r="AR243" i="6"/>
  <c r="AS243" i="6"/>
  <c r="AF244" i="6"/>
  <c r="AG244" i="6"/>
  <c r="AH244" i="6"/>
  <c r="AI244" i="6"/>
  <c r="AJ244" i="6"/>
  <c r="AK244" i="6"/>
  <c r="AL244" i="6"/>
  <c r="AM244" i="6"/>
  <c r="AN244" i="6"/>
  <c r="AO244" i="6"/>
  <c r="AP244" i="6"/>
  <c r="AQ244" i="6"/>
  <c r="AR244" i="6"/>
  <c r="AS244" i="6"/>
  <c r="AF245" i="6"/>
  <c r="AG245" i="6"/>
  <c r="AH245" i="6"/>
  <c r="AI245" i="6"/>
  <c r="AJ245" i="6"/>
  <c r="AK245" i="6"/>
  <c r="AL245" i="6"/>
  <c r="AM245" i="6"/>
  <c r="AN245" i="6"/>
  <c r="AO245" i="6"/>
  <c r="AP245" i="6"/>
  <c r="AQ245" i="6"/>
  <c r="AR245" i="6"/>
  <c r="AS245" i="6"/>
  <c r="AF246" i="6"/>
  <c r="AG246" i="6"/>
  <c r="AH246" i="6"/>
  <c r="AI246" i="6"/>
  <c r="AJ246" i="6"/>
  <c r="AK246" i="6"/>
  <c r="AL246" i="6"/>
  <c r="AM246" i="6"/>
  <c r="AN246" i="6"/>
  <c r="AO246" i="6"/>
  <c r="AP246" i="6"/>
  <c r="AQ246" i="6"/>
  <c r="AR246" i="6"/>
  <c r="AS246" i="6"/>
  <c r="AF247" i="6"/>
  <c r="AG247" i="6"/>
  <c r="AH247" i="6"/>
  <c r="AI247" i="6"/>
  <c r="AJ247" i="6"/>
  <c r="AK247" i="6"/>
  <c r="AL247" i="6"/>
  <c r="AM247" i="6"/>
  <c r="AN247" i="6"/>
  <c r="AO247" i="6"/>
  <c r="AP247" i="6"/>
  <c r="AQ247" i="6"/>
  <c r="AR247" i="6"/>
  <c r="AS247" i="6"/>
  <c r="AF248" i="6"/>
  <c r="AG248" i="6"/>
  <c r="AH248" i="6"/>
  <c r="AI248" i="6"/>
  <c r="AJ248" i="6"/>
  <c r="AK248" i="6"/>
  <c r="AL248" i="6"/>
  <c r="AM248" i="6"/>
  <c r="AN248" i="6"/>
  <c r="AO248" i="6"/>
  <c r="AP248" i="6"/>
  <c r="AQ248" i="6"/>
  <c r="AR248" i="6"/>
  <c r="AS248" i="6"/>
  <c r="AF249" i="6"/>
  <c r="AG249" i="6"/>
  <c r="AH249" i="6"/>
  <c r="AI249" i="6"/>
  <c r="AJ249" i="6"/>
  <c r="AK249" i="6"/>
  <c r="AL249" i="6"/>
  <c r="AM249" i="6"/>
  <c r="AN249" i="6"/>
  <c r="AO249" i="6"/>
  <c r="AP249" i="6"/>
  <c r="AQ249" i="6"/>
  <c r="AR249" i="6"/>
  <c r="AS249" i="6"/>
  <c r="AF250" i="6"/>
  <c r="AG250" i="6"/>
  <c r="AH250" i="6"/>
  <c r="AI250" i="6"/>
  <c r="AJ250" i="6"/>
  <c r="AK250" i="6"/>
  <c r="AL250" i="6"/>
  <c r="AM250" i="6"/>
  <c r="AN250" i="6"/>
  <c r="AO250" i="6"/>
  <c r="AP250" i="6"/>
  <c r="AQ250" i="6"/>
  <c r="AR250" i="6"/>
  <c r="AS250" i="6"/>
  <c r="AF251" i="6"/>
  <c r="AG251" i="6"/>
  <c r="AH251" i="6"/>
  <c r="AI251" i="6"/>
  <c r="AJ251" i="6"/>
  <c r="AK251" i="6"/>
  <c r="AL251" i="6"/>
  <c r="AM251" i="6"/>
  <c r="AN251" i="6"/>
  <c r="AO251" i="6"/>
  <c r="AP251" i="6"/>
  <c r="AQ251" i="6"/>
  <c r="AR251" i="6"/>
  <c r="AS251" i="6"/>
  <c r="AF252" i="6"/>
  <c r="AG252" i="6"/>
  <c r="AH252" i="6"/>
  <c r="AI252" i="6"/>
  <c r="AJ252" i="6"/>
  <c r="AK252" i="6"/>
  <c r="AL252" i="6"/>
  <c r="AM252" i="6"/>
  <c r="AN252" i="6"/>
  <c r="AO252" i="6"/>
  <c r="AP252" i="6"/>
  <c r="AQ252" i="6"/>
  <c r="AR252" i="6"/>
  <c r="AS252" i="6"/>
  <c r="AF253" i="6"/>
  <c r="AG253" i="6"/>
  <c r="AH253" i="6"/>
  <c r="AI253" i="6"/>
  <c r="AJ253" i="6"/>
  <c r="AK253" i="6"/>
  <c r="AL253" i="6"/>
  <c r="AM253" i="6"/>
  <c r="AN253" i="6"/>
  <c r="AO253" i="6"/>
  <c r="AP253" i="6"/>
  <c r="AQ253" i="6"/>
  <c r="AR253" i="6"/>
  <c r="AS253" i="6"/>
  <c r="AF254" i="6"/>
  <c r="AG254" i="6"/>
  <c r="AH254" i="6"/>
  <c r="AI254" i="6"/>
  <c r="AJ254" i="6"/>
  <c r="AK254" i="6"/>
  <c r="AL254" i="6"/>
  <c r="AM254" i="6"/>
  <c r="AN254" i="6"/>
  <c r="AO254" i="6"/>
  <c r="AP254" i="6"/>
  <c r="AQ254" i="6"/>
  <c r="AR254" i="6"/>
  <c r="AS254" i="6"/>
  <c r="AF255" i="6"/>
  <c r="AG255" i="6"/>
  <c r="AH255" i="6"/>
  <c r="AI255" i="6"/>
  <c r="AJ255" i="6"/>
  <c r="AK255" i="6"/>
  <c r="AL255" i="6"/>
  <c r="AM255" i="6"/>
  <c r="AN255" i="6"/>
  <c r="AO255" i="6"/>
  <c r="AP255" i="6"/>
  <c r="AQ255" i="6"/>
  <c r="AR255" i="6"/>
  <c r="AS255" i="6"/>
  <c r="AF256" i="6"/>
  <c r="AG256" i="6"/>
  <c r="AH256" i="6"/>
  <c r="AI256" i="6"/>
  <c r="AJ256" i="6"/>
  <c r="AK256" i="6"/>
  <c r="AL256" i="6"/>
  <c r="AM256" i="6"/>
  <c r="AN256" i="6"/>
  <c r="AO256" i="6"/>
  <c r="AP256" i="6"/>
  <c r="AQ256" i="6"/>
  <c r="AR256" i="6"/>
  <c r="AS256" i="6"/>
  <c r="AF257" i="6"/>
  <c r="AG257" i="6"/>
  <c r="AH257" i="6"/>
  <c r="AI257" i="6"/>
  <c r="AJ257" i="6"/>
  <c r="AK257" i="6"/>
  <c r="AL257" i="6"/>
  <c r="AM257" i="6"/>
  <c r="AN257" i="6"/>
  <c r="AO257" i="6"/>
  <c r="AP257" i="6"/>
  <c r="AQ257" i="6"/>
  <c r="AR257" i="6"/>
  <c r="AS257" i="6"/>
  <c r="AF258" i="6"/>
  <c r="AG258" i="6"/>
  <c r="AH258" i="6"/>
  <c r="AI258" i="6"/>
  <c r="AJ258" i="6"/>
  <c r="AK258" i="6"/>
  <c r="AL258" i="6"/>
  <c r="AM258" i="6"/>
  <c r="AN258" i="6"/>
  <c r="AO258" i="6"/>
  <c r="AP258" i="6"/>
  <c r="AQ258" i="6"/>
  <c r="AR258" i="6"/>
  <c r="AS258" i="6"/>
  <c r="AF259" i="6"/>
  <c r="AG259" i="6"/>
  <c r="AH259" i="6"/>
  <c r="AI259" i="6"/>
  <c r="AJ259" i="6"/>
  <c r="AK259" i="6"/>
  <c r="AL259" i="6"/>
  <c r="AM259" i="6"/>
  <c r="AN259" i="6"/>
  <c r="AO259" i="6"/>
  <c r="AP259" i="6"/>
  <c r="AQ259" i="6"/>
  <c r="AR259" i="6"/>
  <c r="AS259" i="6"/>
  <c r="AF260" i="6"/>
  <c r="AG260" i="6"/>
  <c r="AH260" i="6"/>
  <c r="AI260" i="6"/>
  <c r="AJ260" i="6"/>
  <c r="AK260" i="6"/>
  <c r="AL260" i="6"/>
  <c r="AM260" i="6"/>
  <c r="AN260" i="6"/>
  <c r="AO260" i="6"/>
  <c r="AP260" i="6"/>
  <c r="AQ260" i="6"/>
  <c r="AR260" i="6"/>
  <c r="AS260" i="6"/>
  <c r="AF261" i="6"/>
  <c r="AG261" i="6"/>
  <c r="AH261" i="6"/>
  <c r="AI261" i="6"/>
  <c r="AJ261" i="6"/>
  <c r="AK261" i="6"/>
  <c r="AL261" i="6"/>
  <c r="AM261" i="6"/>
  <c r="AN261" i="6"/>
  <c r="AO261" i="6"/>
  <c r="AP261" i="6"/>
  <c r="AQ261" i="6"/>
  <c r="AR261" i="6"/>
  <c r="AS261" i="6"/>
  <c r="AF262" i="6"/>
  <c r="AG262" i="6"/>
  <c r="AH262" i="6"/>
  <c r="AI262" i="6"/>
  <c r="AJ262" i="6"/>
  <c r="AK262" i="6"/>
  <c r="AL262" i="6"/>
  <c r="AM262" i="6"/>
  <c r="AN262" i="6"/>
  <c r="AO262" i="6"/>
  <c r="AP262" i="6"/>
  <c r="AQ262" i="6"/>
  <c r="AR262" i="6"/>
  <c r="AS262" i="6"/>
  <c r="AF263" i="6"/>
  <c r="AG263" i="6"/>
  <c r="AH263" i="6"/>
  <c r="AI263" i="6"/>
  <c r="AJ263" i="6"/>
  <c r="AK263" i="6"/>
  <c r="AL263" i="6"/>
  <c r="AM263" i="6"/>
  <c r="AN263" i="6"/>
  <c r="AO263" i="6"/>
  <c r="AP263" i="6"/>
  <c r="AQ263" i="6"/>
  <c r="AR263" i="6"/>
  <c r="AS263" i="6"/>
  <c r="AF264" i="6"/>
  <c r="AG264" i="6"/>
  <c r="AH264" i="6"/>
  <c r="AI264" i="6"/>
  <c r="AJ264" i="6"/>
  <c r="AK264" i="6"/>
  <c r="AL264" i="6"/>
  <c r="AM264" i="6"/>
  <c r="AN264" i="6"/>
  <c r="AO264" i="6"/>
  <c r="AP264" i="6"/>
  <c r="AQ264" i="6"/>
  <c r="AR264" i="6"/>
  <c r="AS264" i="6"/>
  <c r="AF265" i="6"/>
  <c r="AG265" i="6"/>
  <c r="AH265" i="6"/>
  <c r="AI265" i="6"/>
  <c r="AJ265" i="6"/>
  <c r="AK265" i="6"/>
  <c r="AL265" i="6"/>
  <c r="AM265" i="6"/>
  <c r="AN265" i="6"/>
  <c r="AO265" i="6"/>
  <c r="AP265" i="6"/>
  <c r="AQ265" i="6"/>
  <c r="AR265" i="6"/>
  <c r="AS265" i="6"/>
  <c r="AF266" i="6"/>
  <c r="AG266" i="6"/>
  <c r="AH266" i="6"/>
  <c r="AI266" i="6"/>
  <c r="AJ266" i="6"/>
  <c r="AK266" i="6"/>
  <c r="AL266" i="6"/>
  <c r="AM266" i="6"/>
  <c r="AN266" i="6"/>
  <c r="AO266" i="6"/>
  <c r="AP266" i="6"/>
  <c r="AQ266" i="6"/>
  <c r="AR266" i="6"/>
  <c r="AS266" i="6"/>
  <c r="AF267" i="6"/>
  <c r="AG267" i="6"/>
  <c r="AH267" i="6"/>
  <c r="AI267" i="6"/>
  <c r="AJ267" i="6"/>
  <c r="AK267" i="6"/>
  <c r="AL267" i="6"/>
  <c r="AM267" i="6"/>
  <c r="AN267" i="6"/>
  <c r="AO267" i="6"/>
  <c r="AP267" i="6"/>
  <c r="AQ267" i="6"/>
  <c r="AR267" i="6"/>
  <c r="AS267" i="6"/>
  <c r="AF268" i="6"/>
  <c r="AG268" i="6"/>
  <c r="AH268" i="6"/>
  <c r="AI268" i="6"/>
  <c r="AJ268" i="6"/>
  <c r="AK268" i="6"/>
  <c r="AL268" i="6"/>
  <c r="AM268" i="6"/>
  <c r="AN268" i="6"/>
  <c r="AO268" i="6"/>
  <c r="AP268" i="6"/>
  <c r="AQ268" i="6"/>
  <c r="AR268" i="6"/>
  <c r="AS268" i="6"/>
  <c r="AD269" i="6"/>
  <c r="AE269" i="6"/>
  <c r="AF269" i="6"/>
  <c r="AG269" i="6"/>
  <c r="AH269" i="6"/>
  <c r="AI269" i="6"/>
  <c r="AJ269" i="6"/>
  <c r="AK269" i="6"/>
  <c r="AL269" i="6"/>
  <c r="AM269" i="6"/>
  <c r="AN269" i="6"/>
  <c r="AO269" i="6"/>
  <c r="AP269" i="6"/>
  <c r="AQ269" i="6"/>
  <c r="AR269" i="6"/>
  <c r="AS269" i="6"/>
  <c r="A1" i="5"/>
</calcChain>
</file>

<file path=xl/sharedStrings.xml><?xml version="1.0" encoding="utf-8"?>
<sst xmlns="http://schemas.openxmlformats.org/spreadsheetml/2006/main" count="14727" uniqueCount="5017">
  <si>
    <t>Rockchip Confidential</t>
  </si>
  <si>
    <t>RK3572</t>
    <phoneticPr fontId="6" type="noConversion"/>
  </si>
  <si>
    <t>Felix.ruan</t>
    <phoneticPr fontId="12" type="noConversion"/>
  </si>
  <si>
    <t>Revision Date</t>
  </si>
  <si>
    <t>Editor</t>
    <phoneticPr fontId="6" type="noConversion"/>
  </si>
  <si>
    <t>Description</t>
  </si>
  <si>
    <t>Revision</t>
  </si>
  <si>
    <t>Revision History</t>
  </si>
  <si>
    <t xml:space="preserve">Support 5V Tolerant Input ,Open Drain Output </t>
    <phoneticPr fontId="2" type="noConversion"/>
  </si>
  <si>
    <t>_od5V</t>
    <phoneticPr fontId="2" type="noConversion"/>
  </si>
  <si>
    <t xml:space="preserve">Support 5V Tolerant Input </t>
    <phoneticPr fontId="2" type="noConversion"/>
  </si>
  <si>
    <t>_5V</t>
    <phoneticPr fontId="2" type="noConversion"/>
  </si>
  <si>
    <t xml:space="preserve">Open Drain Output </t>
    <phoneticPr fontId="2" type="noConversion"/>
  </si>
  <si>
    <t>_od</t>
    <phoneticPr fontId="2" type="noConversion"/>
  </si>
  <si>
    <t>Default Tri-State</t>
    <phoneticPr fontId="2" type="noConversion"/>
  </si>
  <si>
    <t>_z</t>
    <phoneticPr fontId="2" type="noConversion"/>
  </si>
  <si>
    <t>Default Internal Pull-down</t>
    <phoneticPr fontId="2" type="noConversion"/>
  </si>
  <si>
    <t>_d</t>
    <phoneticPr fontId="12" type="noConversion"/>
  </si>
  <si>
    <t>Default Internal Pull-up</t>
    <phoneticPr fontId="2" type="noConversion"/>
  </si>
  <si>
    <t>_u</t>
    <phoneticPr fontId="12" type="noConversion"/>
  </si>
  <si>
    <t>Abbreviations Describtion</t>
    <phoneticPr fontId="2" type="noConversion"/>
  </si>
  <si>
    <t>high impedance</t>
    <phoneticPr fontId="2" type="noConversion"/>
  </si>
  <si>
    <t>High-z</t>
    <phoneticPr fontId="2" type="noConversion"/>
  </si>
  <si>
    <t>Internal Pull-down</t>
    <phoneticPr fontId="2" type="noConversion"/>
  </si>
  <si>
    <t>down</t>
    <phoneticPr fontId="2" type="noConversion"/>
  </si>
  <si>
    <t>Internal Pull-up</t>
    <phoneticPr fontId="2" type="noConversion"/>
  </si>
  <si>
    <t>up</t>
    <phoneticPr fontId="2" type="noConversion"/>
  </si>
  <si>
    <t>Pull-up/Pull-down control</t>
    <phoneticPr fontId="2" type="noConversion"/>
  </si>
  <si>
    <t>PU/PD control</t>
    <phoneticPr fontId="2" type="noConversion"/>
  </si>
  <si>
    <t>Analog Ground</t>
    <phoneticPr fontId="2" type="noConversion"/>
  </si>
  <si>
    <t>AG</t>
    <phoneticPr fontId="2" type="noConversion"/>
  </si>
  <si>
    <t>Ground</t>
    <phoneticPr fontId="2" type="noConversion"/>
  </si>
  <si>
    <t>G</t>
    <phoneticPr fontId="2" type="noConversion"/>
  </si>
  <si>
    <t>Analog Power Output</t>
    <phoneticPr fontId="2" type="noConversion"/>
  </si>
  <si>
    <t>APO</t>
    <phoneticPr fontId="2" type="noConversion"/>
  </si>
  <si>
    <t>Analog Power Supply</t>
    <phoneticPr fontId="2" type="noConversion"/>
  </si>
  <si>
    <t>API</t>
    <phoneticPr fontId="2" type="noConversion"/>
  </si>
  <si>
    <t>Power Output</t>
    <phoneticPr fontId="2" type="noConversion"/>
  </si>
  <si>
    <t>PO</t>
    <phoneticPr fontId="2" type="noConversion"/>
  </si>
  <si>
    <t>Power Supply</t>
    <phoneticPr fontId="2" type="noConversion"/>
  </si>
  <si>
    <t>PI</t>
    <phoneticPr fontId="2" type="noConversion"/>
  </si>
  <si>
    <t>Analog Input/Output</t>
    <phoneticPr fontId="2" type="noConversion"/>
  </si>
  <si>
    <t>AI/O</t>
    <phoneticPr fontId="2" type="noConversion"/>
  </si>
  <si>
    <t>Analog Output</t>
    <phoneticPr fontId="2" type="noConversion"/>
  </si>
  <si>
    <t>AO</t>
    <phoneticPr fontId="2" type="noConversion"/>
  </si>
  <si>
    <t>Analog Input</t>
    <phoneticPr fontId="2" type="noConversion"/>
  </si>
  <si>
    <t>AI</t>
    <phoneticPr fontId="2" type="noConversion"/>
  </si>
  <si>
    <t>Analog setting or filtering</t>
    <phoneticPr fontId="2" type="noConversion"/>
  </si>
  <si>
    <t>A</t>
    <phoneticPr fontId="2" type="noConversion"/>
  </si>
  <si>
    <t>Bidirection signal</t>
    <phoneticPr fontId="2" type="noConversion"/>
  </si>
  <si>
    <t>B</t>
    <phoneticPr fontId="2" type="noConversion"/>
  </si>
  <si>
    <t>Input/Output</t>
    <phoneticPr fontId="2" type="noConversion"/>
  </si>
  <si>
    <t>I/O</t>
    <phoneticPr fontId="2" type="noConversion"/>
  </si>
  <si>
    <t>Output</t>
    <phoneticPr fontId="2" type="noConversion"/>
  </si>
  <si>
    <t>O</t>
    <phoneticPr fontId="2" type="noConversion"/>
  </si>
  <si>
    <t>Input</t>
    <phoneticPr fontId="2" type="noConversion"/>
  </si>
  <si>
    <t>I</t>
    <phoneticPr fontId="2" type="noConversion"/>
  </si>
  <si>
    <t>Crystal Oscillator Drive Output</t>
    <phoneticPr fontId="12" type="noConversion"/>
  </si>
  <si>
    <t>CO</t>
    <phoneticPr fontId="12" type="noConversion"/>
  </si>
  <si>
    <t>Crystal Oscillator Input</t>
    <phoneticPr fontId="12" type="noConversion"/>
  </si>
  <si>
    <t>CI</t>
    <phoneticPr fontId="12" type="noConversion"/>
  </si>
  <si>
    <t>Description</t>
    <phoneticPr fontId="12" type="noConversion"/>
  </si>
  <si>
    <t>Symbol</t>
    <phoneticPr fontId="12" type="noConversion"/>
  </si>
  <si>
    <t>Pin Type Symbol Definitions</t>
    <phoneticPr fontId="2" type="noConversion"/>
  </si>
  <si>
    <r>
      <t xml:space="preserve">1. The </t>
    </r>
    <r>
      <rPr>
        <b/>
        <sz val="11"/>
        <color rgb="FF00B0F0"/>
        <rFont val="Verdana"/>
        <family val="2"/>
      </rPr>
      <t xml:space="preserve">Pin Information </t>
    </r>
    <r>
      <rPr>
        <sz val="11"/>
        <rFont val="Verdana"/>
        <family val="2"/>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11"/>
        <color rgb="FFFFC000"/>
        <rFont val="Verdana"/>
        <family val="2"/>
      </rPr>
      <t>Ball Map</t>
    </r>
    <r>
      <rPr>
        <sz val="11"/>
        <rFont val="Verdana"/>
        <family val="2"/>
      </rPr>
      <t xml:space="preserve"> sheet describes the ball position distribution.</t>
    </r>
    <phoneticPr fontId="2" type="noConversion"/>
  </si>
  <si>
    <t>Sheet Description</t>
    <phoneticPr fontId="2" type="noConversion"/>
  </si>
  <si>
    <t>、</t>
  </si>
  <si>
    <t>33</t>
  </si>
  <si>
    <t>32</t>
  </si>
  <si>
    <t>31</t>
  </si>
  <si>
    <t>30</t>
  </si>
  <si>
    <t>29</t>
  </si>
  <si>
    <t>28</t>
  </si>
  <si>
    <t>27</t>
  </si>
  <si>
    <t>26</t>
  </si>
  <si>
    <t>25</t>
  </si>
  <si>
    <t>24</t>
  </si>
  <si>
    <t>23</t>
  </si>
  <si>
    <t>22</t>
  </si>
  <si>
    <t>21</t>
  </si>
  <si>
    <t>20</t>
  </si>
  <si>
    <t>19</t>
  </si>
  <si>
    <t>18</t>
  </si>
  <si>
    <t>17</t>
  </si>
  <si>
    <t>16</t>
  </si>
  <si>
    <t>15</t>
  </si>
  <si>
    <t>14</t>
  </si>
  <si>
    <t>13</t>
  </si>
  <si>
    <t>12</t>
  </si>
  <si>
    <t>11</t>
  </si>
  <si>
    <t>10</t>
  </si>
  <si>
    <t>9</t>
  </si>
  <si>
    <t>8</t>
  </si>
  <si>
    <t>7</t>
  </si>
  <si>
    <t>6</t>
  </si>
  <si>
    <t>5</t>
  </si>
  <si>
    <t>4</t>
  </si>
  <si>
    <t>3</t>
  </si>
  <si>
    <t>2</t>
  </si>
  <si>
    <t>1</t>
  </si>
  <si>
    <t>AT</t>
  </si>
  <si>
    <t>VSS_19</t>
  </si>
  <si>
    <t>DSM_AUD_RP_M1/SAI3_LRCK_M2/VO_EBC_SDDO18/UART6_RTSN_M1/I2C2_SCL_M3/PWM2_CH0_M1/HDMI_TX_SCL_M0/CAN0_TX_M1/GPIO4_B2_d</t>
  </si>
  <si>
    <t>NP</t>
  </si>
  <si>
    <t>MIPI_DPHY_DSI_TX_D3P</t>
  </si>
  <si>
    <t>MIPI_DPHY_DSI_TX_D2P</t>
  </si>
  <si>
    <t>MIPI_DPHY_DSI_TX_CLKP</t>
  </si>
  <si>
    <t>MIPI_DPHY_DSI_TX_D1P</t>
  </si>
  <si>
    <t>HDMI_TX_D2N/EDP_TX_D2N</t>
  </si>
  <si>
    <t>HDMI_TX_D1P/EDP_TX_D1P</t>
  </si>
  <si>
    <t>HDMI_TX_D0N/EDP_TX_D0N</t>
  </si>
  <si>
    <t>HDMI_TX_D3P/EDP_TX_D3P</t>
  </si>
  <si>
    <t>ETH1_TXD1_M1/SDMMC1_TESTDATA_OUT_M0/DEBUG1_TEST_OUT/UART4_RX_M1/SPI2_MISO_M1/UART2_CTSN_M0/PCIE1_BUTTONRSTN/GPIO1_C5_d</t>
  </si>
  <si>
    <t>ETH1_TXD0_M1/SDMMC1_TESTCLK_OUT_M0/DEBUG0_TEST_OUT/UART4_TX_M1/SPI2_MOSI_M1/UART2_RTSN_M0/PCIE0_BUTTONRSTN/GPIO1_C4_d</t>
  </si>
  <si>
    <t>ETH1_TXD2_M1/SDMMC1_D3/SAI4_SDO_M1/EMMC_TESTDATA_OUT/FSPI0_TESTDATA_OUT/UART3_RTSN_M2/SPI1_CSN0_M0/PCIE0_WAKEN_M1/GPIO1_B7_d</t>
  </si>
  <si>
    <t>ETH1_RXCLK_M1/SDMMC1_D2/SAI4_SDI_M1/UART3_CTSN_M2/SPI1_MISO_M0/PCIE0_CLKREQN_M1/GPIO1_B6_d</t>
  </si>
  <si>
    <t>EMMC_D6/FSPI0_D6/SAI3_LRCK_M0/SPI0_MISO_M2/I2C9_SDA_M0/GPIO1_A6_u</t>
  </si>
  <si>
    <t>EMMC_D2/FSPI0_D2/SAI4_SDI3_M0/SAI4_SDO1_M0/UART7_TX_M1/GPIO1_A2_u</t>
  </si>
  <si>
    <t>EMMC_D3/FSPI0_D3/SAI4_SDI2_M0/SAI4_SDO2_M0/UART7_RX_M1/GPIO1_A3_u</t>
  </si>
  <si>
    <t>EMMC_D5/FSPI0_D5/SAI3_SCLK_M0/UART6_CTSN_M2/SPI0_MOSI_M2/I2C9_SCL_M0/GPIO1_A5_u</t>
  </si>
  <si>
    <t>LP4_DQ9_A/LP4x_DQ9_A/LP5_DQ9_A</t>
  </si>
  <si>
    <t>LP4_DQ14_A/LP4x_DQ14_A/LP5_DQ14_A</t>
  </si>
  <si>
    <t>LP4_DQ15_A/LP4x_DQ15_A/LP5_DQ15_A</t>
  </si>
  <si>
    <t>LP4_DQ12_A/LP4x_DQ12_A/LP5_DQ12_A</t>
  </si>
  <si>
    <t>VSS_18</t>
  </si>
  <si>
    <t>AR</t>
  </si>
  <si>
    <t>ISP_PRELIGHT_TRIG_M1/SAI3_SDO_M2/VO_EBC_SDDO20/UFS_TESTDATA0_OUT/UART9_TX_M0/SPI4_CSN0_M0/I2C7_SCL_M3/PWM2_CH6_M1/PCIE0_PERSTN_M3/GPIO4_B4_d</t>
  </si>
  <si>
    <t>DSM_AUD_RN_M1/SAI3_SCLK_M2/VO_EBC_SDDO19/UART6_CTSN_M1/I2C2_SDA_M3/PWM2_CH1_M1/HDMI_TX_SDA_M0/CAN0_RX_M1/GPIO4_B3_d</t>
  </si>
  <si>
    <t>VSS_17</t>
  </si>
  <si>
    <t>MIPI_DPHY_DSI_TX_D3N</t>
  </si>
  <si>
    <t>MIPI_DPHY_DSI_TX_D2N</t>
  </si>
  <si>
    <t>AVSS1_2</t>
  </si>
  <si>
    <t>MIPI_DPHY_DSI_TX_CLKN</t>
  </si>
  <si>
    <t>MIPI_DPHY_DSI_TX_D1N</t>
  </si>
  <si>
    <t>AVSS1_1</t>
  </si>
  <si>
    <t>HDMI_TX_D2P/EDP_TX_D2P</t>
  </si>
  <si>
    <t>HDMI_TX_D1N/EDP_TX_D1N</t>
  </si>
  <si>
    <t>AVSS1_0</t>
  </si>
  <si>
    <t>HDMI_TX_D0P/EDP_TX_D0P</t>
  </si>
  <si>
    <t>HDMI_TX_D3N/EDP_TX_D3N</t>
  </si>
  <si>
    <t>VSS_16</t>
  </si>
  <si>
    <t>ETH_CLK1_25M_OUT_M1/PDM_CLK1_M2/SPDIF_TX0_M1/CLK1_32K_OUT/UART7_CTSN_M0/SPI2_CLK_M1/I2C5_SDA_M1/CAN3_TX_M0/GPIO1_D5_d</t>
  </si>
  <si>
    <t>ETH1_PPSTRIG_M1/SDMMC1_DETN_M0/UART4_CTSN_M1/I2C6_SDA_M1/CAN2_TX_M1/SATA0_CPDET_M0/GPIO1_C3_d</t>
  </si>
  <si>
    <t>ETH1_TXD3_M1/SDMMC1_CMD/SAI4_SCLK_M1/PDM_SDI2_M2/UART3_TX_M2/SPI1_CSN1_M0/PWM0_CH0_M1/PCIE1_PERSTN_M1/GPIO1_C0_d</t>
  </si>
  <si>
    <t>ETH1_TXCLK_M1/SDMMC1_CLK/PDM_CLK0_M2/UART3_RX_M2/PCIE0_PERSTN_M1/GPIO1_C1_d</t>
  </si>
  <si>
    <t>ETH1_RXD2_M1/SDMMC1_D0/SAI4_MCLK_M1/SPI1_CLK_M0/I2C9_SDA_M1/PWM1_CH0_M1/PCIE1_CLKREQN_M1/GPIO1_B4_d</t>
  </si>
  <si>
    <t>ETH1_RXD3_M1/SDMMC1_D1/SAI4_LRCK_M1/SPI1_MOSI_M0/I2C9_SCL_M1/PWM1_CH1_M1/PCIE1_WAKEN_M1/GPIO1_B5_d</t>
  </si>
  <si>
    <t>EMMC_D7/FSPI0_D7/SAI3_SDI_M0/SAI4_SDO0_M0/SPI0_CLK_M2/GPIO1_A7_u</t>
  </si>
  <si>
    <t>EMMC_D1/FSPI0_D1/SAI4_LRCK_M0/UART7_CTSN_M1/I2C2_SDA_M1/GPIO1_A1_u</t>
  </si>
  <si>
    <t>EMMC_D0/FSPI0_D0/SAI4_SCLK_M0/UART7_RTSN_M1/I2C2_SCL_M1/GPIO1_A0_u</t>
  </si>
  <si>
    <t>EMMC_D4/FSPI0_D4/SAI3_MCLK_M0/SAI4_MCLK_M0/UART6_RTSN_M2/SPI0_CSN0_M2/GPIO1_A4_u</t>
  </si>
  <si>
    <t>EMMC_CLK/FSPI0_CLK/SAI4_SDI1_M0/SAI4_SDO3_M0/PWM2_CH7_M1/GPIO1_B1_d</t>
  </si>
  <si>
    <t>VSS_15</t>
  </si>
  <si>
    <t>LP4_DQ10_A/LP4x_DQ10_A/LP5_DQ10_A</t>
  </si>
  <si>
    <t>LP4_DQ11_A/LP4x_DQ11_A/LP5_DQ11_A</t>
  </si>
  <si>
    <t>LP4_DQ8_A/LP4x_DQ8_A/LP5_DQ8_A</t>
  </si>
  <si>
    <t>LP4_DMI1_A/LP4x_DMI1_A/LP5_DMI1_A</t>
  </si>
  <si>
    <t>LP4_DQ6_A/LP4x_DQ6_A/LP5_DQ6_A</t>
  </si>
  <si>
    <t>LP4_DQ5_A/LP4x_DQ5_A/LP5_DQ5_A</t>
  </si>
  <si>
    <t>AP</t>
  </si>
  <si>
    <t>VP1_SYNC_OUT/VO_EBC_SDDO22/SATA30_PORT1_ACTLED_M1/UFS_TESTDATA2_OUT/UART9_CTSN_M0/SPI4_MISO_M0/I2C6_SCL_M3/PWM2_CH2_M1/CAN1_TX_M1/PCIE1_CLKREQN_M3/GPIO4_B6_d</t>
  </si>
  <si>
    <t>ISP_FLASH_TRIGOUT_M1/VP0_SYNC_OUT/VO_EBC_SDDO21/SATA30_PORT0_ACTLED_M1/UFS_TESTDATA1_OUT/UART9_RX_M0/SPI4_MOSI_M0/I2C7_SDA_M3/PWM2_CH5_M1/PCIE1_WAKEN_M3/GPIO4_B5_d</t>
  </si>
  <si>
    <t>LP4_DQ7_A/LP4x_DQ7_A/LP5_DQ7_A</t>
  </si>
  <si>
    <t>AN</t>
  </si>
  <si>
    <t>VO_EBC_SDDO23/UFS_TESTDATA3_OUT/UART9_RTSN_M0/SPI4_CLK_M0/I2C6_SDA_M3/PWM2_CH3_M1/CAN1_RX_M1/PCIE1_PERSTN_M3/GPIO4_B7_d</t>
  </si>
  <si>
    <t>LP4_DMI0_A/LP4x_DMI0_A/LP5_DMI0_A</t>
  </si>
  <si>
    <t>LP4_DQ0_A/LP4x_DQ0_A/LP5_DQ0_A</t>
  </si>
  <si>
    <t>AM</t>
  </si>
  <si>
    <t>DSMC_CLKN/VO_LCDC_VSYNC/VO_EBC_SDCLK/SAI1_SDI3_M1/UART5_CTSN_M0/SPI3_MOSI_M1/PWM2_CH6_M2/GPIO3_D6_d</t>
  </si>
  <si>
    <t>CAM_CLK0_OUT_M0/DSMC_RESETN/VO_LCDC_CLK/VO_EBC_SDOE/SAI1_SDO1_M1/UART5_RTSN_M0/PWM2_CH7_M2/SATA1_MPSWIT_M1/GPIO3_D7_d</t>
  </si>
  <si>
    <t>LP4_DQ1_A/LP4x_DQ1_A/LP5_DQ1_A</t>
  </si>
  <si>
    <t>LP4_DQ4_A/LP4x_DQ4_A/LP5_DQ4_A</t>
  </si>
  <si>
    <t>AL</t>
  </si>
  <si>
    <t>ETH1_PTP_REFCLK_M0/DSMC_DATA6/VO_LCDC_D10/VO_EBC_SDDO10/SAI1_SDO2_M1/UART4_RX_M0/SPI2_MISO_M2/I2C5_SDA_M3/CAN0_RX_M3/GPIO3_C1_d</t>
  </si>
  <si>
    <t>DSMC_DATA0/VO_LCDC_DEN/VO_EBC_SDLE/SAI1_SDI1_M1/UART5_RX_M0/SPI3_CLK_M1/I2C3_SCL_M2/GPIO3_D4_d</t>
  </si>
  <si>
    <t>VSS_44</t>
  </si>
  <si>
    <t>SARADC_IN0_BOOT</t>
  </si>
  <si>
    <t>AVSS1_9</t>
  </si>
  <si>
    <t>AVSS1_8</t>
  </si>
  <si>
    <t>AVSS1_7</t>
  </si>
  <si>
    <t>AVSS1_6</t>
  </si>
  <si>
    <t>ETH1_RXD0_M1/PDM_SDI1_M2/DEBUG3_TEST_OUT/UART2_RX_M0/SPI2_CSN1_M1/I2C8_SDA_M1/HDMI_TX_SDA_M1/GPIO1_C7_d</t>
  </si>
  <si>
    <t>ETH1_RXD1_M1/SAI2_SDO_M0/DEBUG4_TEST_OUT/UART7_TX_M0/GPIO1_D0_d</t>
  </si>
  <si>
    <t>ETH1_PTP_REFCLK_M1/SPDIF_TX1_M1/SPDIF_RX1_TESTOUT/PWM1_CH2_M1/CAN3_RX_M0/SATA0_MPSWIT_M0/GPIO1_D6_d</t>
  </si>
  <si>
    <t>EMMC_RSTN/FSPI0_CSN0/EMMC_TESTCLK_OUT/UART6_RX_M2/I2C7_SDA_M0/PWM2_CH1_M0/MIPI_TE_M3/GPIO1_B3_u</t>
  </si>
  <si>
    <t>VSS_43</t>
  </si>
  <si>
    <t>VSS_42</t>
  </si>
  <si>
    <t>1AF</t>
    <phoneticPr fontId="12" type="noConversion"/>
  </si>
  <si>
    <t>VSS_14</t>
  </si>
  <si>
    <t>AK</t>
  </si>
  <si>
    <t>ETH1_PPSTRIG_M0/DSMC_DQS0/VO_LCDC_D12/VO_EBC_SDDO12/SAI1_SDI0_M1/UART2_RX_M2/UART9_CTSN_M1/I2C4_SDA_M3/CAN2_RX_M2/GPIO3_B7_d</t>
  </si>
  <si>
    <t>DSM_AUD_LN_M1/SAI3_SDI_M2/VO_EBC_SDDO17/UART6_RX_M1/EDP_TX_HPDIN_M0/I2C3_SDA_M3/PWM0_CH1_M1/HDMI_TX_HPDIN_M0/PCIE0_CLKREQN_M3/GPIO4_B1_d</t>
  </si>
  <si>
    <t>SARADC_IN2</t>
  </si>
  <si>
    <t>SARADC_IN5</t>
  </si>
  <si>
    <t>MIPI_DPHY_DSI_TX_D0P</t>
  </si>
  <si>
    <t>HDMI_TX_SBDP/EDP_TX_AUXP</t>
  </si>
  <si>
    <t>ETH1_PPSCLK_M1/SDMMC1_PWREN/UART4_RTSN_M1/I2C6_SCL_M1/CAN2_RX_M1/SATA0_CPPOD_M0/GPIO1_C2_d</t>
  </si>
  <si>
    <t>ETH1_MDIO_M1/SAI2_SDI_M0/DEBUG7_TEST_OUT/I3C0_SDA_M1/PWM1_CH4_M1/SATA1_MPSWIT_M0/GPIO1_D3_d</t>
  </si>
  <si>
    <t>ETH1_TXCTL_M1/PDM_SDI0_M2/DEBUG2_TEST_OUT/UART2_TX_M0/SPI2_CSN0_M1/I2C8_SCL_M1/HDMI_TX_SCL_M1/GPIO1_C6_d</t>
  </si>
  <si>
    <t>EMMC_CMD/FSPI0_CSN1/FSPI0_RST/FSPI0_TESTCLK_OUT/UART6_TX_M2/I2C7_SCL_M0/GPIO1_B0_u</t>
  </si>
  <si>
    <t>LP4_DQ13_A/LP4x_DQ13_A/LP5_DQ13_A</t>
  </si>
  <si>
    <t>1AE</t>
    <phoneticPr fontId="12" type="noConversion"/>
  </si>
  <si>
    <t>LP4_DQ2_A/LP4x_DQ2_A/LP5_DQ2_A</t>
  </si>
  <si>
    <t>LP4_DQ3_A/LP4x_DQ3_A/LP5_DQ3_A</t>
  </si>
  <si>
    <t>AJ</t>
  </si>
  <si>
    <t>DSMC_DATA3/VO_LCDC_D5/VO_EBC_SDDO5/UART8_TX_M0/SPI1_MOSI_M2/GPIO3_C6_d</t>
  </si>
  <si>
    <t>DSMC_DATA4/VO_LCDC_D6/VO_EBC_SDDO6/UART8_RX_M0/SPI1_MISO_M2/PWM2_CH2_M3/GPIO3_C5_d</t>
  </si>
  <si>
    <t>CAM_CLK1_OUT_M0/DSMC_INT0/VO_EBC_BORDER0/SAI1_SDO0_M1/SPDIF_RX0_M4/UART9_TX_M1/SPI1_CSN1_M2/I2C7_SCL_M2/MIPI_TE_M2/SATA1_CPPOD_M1/GPIO4_A0_d</t>
  </si>
  <si>
    <t>CAM_CLK2_OUT_M0/DSMC_INT2/VO_POST_EMPTY/VO_EBC_BORDER1/SAI1_LRCK_M1/SPDIF_TX0_M4/UART9_RX_M1/I2C7_SDA_M2/SATA1_CPDET_M1/GPIO4_A1_d</t>
  </si>
  <si>
    <t>DSM_AUD_LP_M1/SAI3_MCLK_M2/VO_EBC_SDDO16/UART6_TX_M1/SPI4_CSN1_M0/I2C3_SCL_M3/PWM1_CH5_M1/HDMI_TX_CEC_M0/PCIE0_WAKEN_M3/GPIO4_B0_d</t>
  </si>
  <si>
    <t>SARADC_IN1</t>
  </si>
  <si>
    <t>SARADC_IN4</t>
  </si>
  <si>
    <t>MIPI_DPHY_DSI_TX_D0N</t>
  </si>
  <si>
    <t>HDMI_TX_SBDN/EDP_TX_AUXN</t>
  </si>
  <si>
    <t>ETH1_RXCTL_M1/SAI2_SCLK_M0/DEBUG5_TEST_OUT/UART7_RX_M0/I3C0_SDA_PU_M1/SATA1_CPPOD_M0/GPIO1_D1_d</t>
  </si>
  <si>
    <t>ETH1_MDC_M1/SAI2_LRCK_M0/DEBUG6_TEST_OUT/I3C0_SCL_M1/PWM1_CH3_M1/SATA1_CPDET_M0/GPIO1_D2_d</t>
  </si>
  <si>
    <t>ETH1_MCLK_M1/SAI2_MCLK_M0/PDM_SDI3_M2/SPDIF_RX0_M1/UART7_RTSN_M0/I2C5_SCL_M1/PWM1_CH5_M3 /GPIO1_D4_d</t>
  </si>
  <si>
    <t>EMMC_STRB/FSPI0_DQS/SAI3_SDO_M0/SAI4_SDI0_M0/SPI0_CSN1_M2/GPIO1_B2_d</t>
  </si>
  <si>
    <t>LP4_DQS1P_A/LP4x_DQS1P_A/LP5_RDQS1P_A</t>
  </si>
  <si>
    <t>LP4_DQS1N_A/LP4x_DQS1N_A/LP5_RDQS1N_A</t>
  </si>
  <si>
    <t>VSS_41</t>
  </si>
  <si>
    <t>1AD</t>
    <phoneticPr fontId="12" type="noConversion"/>
  </si>
  <si>
    <t>LP4_A3_A/LP4x_A3_A/LP5_A3_A</t>
  </si>
  <si>
    <t>LP4_CSN1_A/LP4X_CSN1_A</t>
  </si>
  <si>
    <t>AH</t>
  </si>
  <si>
    <t>DSMC_DATA5/VO_LCDC_D7/VO_EBC_SDDO7/SAI2_MCLK_M1/UART4_TX_M0/SPI2_CSN0_M2/I2C5_SCL_M3/CAN0_TX_M3/SATA0_MPSWIT_M1/GPIO3_C4_d</t>
  </si>
  <si>
    <t>ETH1_PPSCLK_M0/DSMC_DATA7/VO_LCDC_D11/VO_EBC_SDDO11/SAI1_SDO3_M1/UART2_TX_M2/UART9_RTSN_M1/I2C4_SCL_M3/CAN2_TX_M2/GPIO3_C0_d</t>
  </si>
  <si>
    <t>SARADC_IN3</t>
  </si>
  <si>
    <t>AVSS1_5</t>
  </si>
  <si>
    <t>SARADC_IN6</t>
  </si>
  <si>
    <t>AVSS1_4</t>
  </si>
  <si>
    <t>AVSS1_3</t>
  </si>
  <si>
    <t>VSS_40</t>
  </si>
  <si>
    <t>VSS_39</t>
  </si>
  <si>
    <t>VSS_38</t>
  </si>
  <si>
    <t>1AC</t>
    <phoneticPr fontId="12" type="noConversion"/>
  </si>
  <si>
    <t>LP4_CSN0_A/LP4X_CSN0_A/LP5_A6_A</t>
  </si>
  <si>
    <t>AG</t>
  </si>
  <si>
    <t>ETH1_RXD1_M0/DSMC_DATA12/VO_LCDC_D18/VO_EBC_SDCE2/PDM_CLK0_M4/UART10_TX_M0/SPI4_CSN0_M1/PWM1_CH3_M3/GPIO3_B1_d</t>
  </si>
  <si>
    <t>ETH_CLK1_25M_OUT_M0/DSMC_RDYN/VO_LCDC_D23/VO_EBC_SDSHR/SAI1_SCLK_M1/UART1_CTSN_M2/SPI2_CLK_M2/PWM1_CH0_M2/GPIO3_A4_d</t>
  </si>
  <si>
    <t>ETH1_TESTRXD_OUT/DSMC_DATA1/VO_LCDC_D3/VO_EBC_SDDO3/UART8_CTSN_M0/SPI1_CSN0_M2/PWM2_CH3_M3/SATA0_CPDET_M1/GPIO3_D0_d</t>
  </si>
  <si>
    <t>ETH1_MCLK_M0/DSMC_CSN1/VO_LCDC_D19/VO_EBC_SDCE3/SAI1_MCLK_M1/UART10_RX_M0/SPI2_MOSI_M2/PWM0_CH0_M3/GPIO3_B0_z</t>
  </si>
  <si>
    <t>DSMC_CLKP/VO_LCDC_HSYNC/VO_EBC_GDCLK/SAI1_SDI2_M1/UART5_TX_M0/SPI3_MISO_M1/I2C3_SDA_M2/GPIO3_D5_d</t>
  </si>
  <si>
    <t>VSS_37</t>
  </si>
  <si>
    <t>LP5_WCK1N_A</t>
  </si>
  <si>
    <t>LP5_WCK1P_A</t>
  </si>
  <si>
    <t>VSS_36</t>
  </si>
  <si>
    <t>1AB</t>
    <phoneticPr fontId="12" type="noConversion"/>
  </si>
  <si>
    <t>VSS_13</t>
  </si>
  <si>
    <t>LP4_A2_A/LP4x_A2_A/LP5_A2_A</t>
  </si>
  <si>
    <t>AF</t>
  </si>
  <si>
    <t>ETH1_RXD3_M0/DSMC_CSN3/VO_LCDC_D1/VO_EBC_SDDO1/SAI2_SDI_M1/UART2_RTSN_M2/SPI4_CSN1_M1/PWM2_CH4_M3/GPIO3_D2_z</t>
  </si>
  <si>
    <t>ETH1_RXD2_M0/DSMC_CSN0/VO_LCDC_D0/VO_EBC_SDDO0/SAI2_SDO_M1/UART2_CTSN_M2/SPI3_CSN1_M1/PWM2_CH5_M3/GPIO3_D3_z</t>
  </si>
  <si>
    <t>1AA</t>
    <phoneticPr fontId="12" type="noConversion"/>
  </si>
  <si>
    <t>LP4_CKE0_A/LP4x_CKE0_A/LP5_CSN0_A</t>
  </si>
  <si>
    <t>LP4_A5_A/LP4x_A5_A/LP5_A5_A</t>
  </si>
  <si>
    <t>AE</t>
  </si>
  <si>
    <t>ETH1_TXD1_M0/DSMC_DATA9/VO_LCDC_D15/VO_EBC_SDDO15/SPDIF_RX0_M3/UART3_RTSN_M1/PWM1_CH4_M3/GPIO3_B4_d</t>
  </si>
  <si>
    <t>ETH1_TXD2_M0/DSMC_INT3/VO_LCDC_D8/VO_EBC_SDDO8/SAI2_LRCK_M1/DSMC_TESTDATA_OUT/UART4_CTSN_M0/SPI4_MOSI_M1/I2C9_SDA_M3/PWM2_CH1_M2/CAN3_TX_M2/GPIO3_C3_d</t>
  </si>
  <si>
    <t>ETH1_TXCLK_M0/DSMC_DQS1/VO_LCDC_D13/VO_EBC_SDDO13/SPDIF_TX1_M3/SPI3_CSN0_M1/PWM0_CH1_M2/GPIO3_B6_d</t>
  </si>
  <si>
    <t>ETH1_RXD0_M0/DSMC_DATA11/VO_LCDC_D17/VO_EBC_SDCE1/PDM_SDI1_M4/UART3_RX_M1/I2C8_SDA_M3/GPIO3_B2_d</t>
  </si>
  <si>
    <t>ETH1_RXCTL_M0/DSMC_DATA13/VO_LCDC_D20/VO_EBC_VCOM/PDM_CLK1_M4/UART1_TX_M2/UART10_RTSN_M0/GPIO3_A7_d</t>
  </si>
  <si>
    <t>ETH1_TXCTL_M0/DSMC_DATA10/VO_LCDC_D16/VO_EBC_SDCE0/PDM_SDI0_M4/UART3_TX_M1/I2C8_SCL_M3/GPIO3_B3_d</t>
  </si>
  <si>
    <t>VSS_107</t>
  </si>
  <si>
    <t>SARADC_IN7</t>
  </si>
  <si>
    <t>VSS_106</t>
  </si>
  <si>
    <t>MIPI_DPHY_AVDD0V75</t>
  </si>
  <si>
    <t>HDMI_TX_EDP_TX_AVDDIO1V8</t>
  </si>
  <si>
    <t>HDMI_TX_EDP_TX_AVDDCMN1V8</t>
  </si>
  <si>
    <t>HDMI_TX_EDP_TX_AVDDD0V75</t>
  </si>
  <si>
    <t>VCCIO3_VCC</t>
  </si>
  <si>
    <t>VSS_105</t>
  </si>
  <si>
    <t>VSS_104</t>
  </si>
  <si>
    <t>VCCIO0_VCC1V8</t>
  </si>
  <si>
    <t>VSS_103</t>
  </si>
  <si>
    <t>2P</t>
  </si>
  <si>
    <t>VSS_35</t>
  </si>
  <si>
    <t>LP4_DQS0N_A/LP4x_DQS0N_A/LP5_RDQS0N_A</t>
  </si>
  <si>
    <t>LP4_DQS0P_A/LP4x_DQS0P_A/LP5_RDQS0P_A</t>
  </si>
  <si>
    <t>VSS_34</t>
  </si>
  <si>
    <t>1Y</t>
    <phoneticPr fontId="12" type="noConversion"/>
  </si>
  <si>
    <t>LP4_A4_A/LP4x_A4_A/LP5_A4_A</t>
  </si>
  <si>
    <t>AD</t>
  </si>
  <si>
    <t>ETH1_TXD3_M0/DSMC_INT1/VO_LCDC_D9/VO_EBC_SDDO9/SAI2_SCLK_M1/DSMC_TESTCLK_OUT/UART4_RTSN_M0/SPI4_MISO_M1/I2C9_SCL_M3/PWM2_CH0_M2/CAN3_RX_M2/GPIO3_C2_d</t>
  </si>
  <si>
    <t>SARADC_AVDD1V8</t>
  </si>
  <si>
    <t>VSS_102</t>
  </si>
  <si>
    <t>VSS_101</t>
  </si>
  <si>
    <t>VSS_100</t>
  </si>
  <si>
    <t>MIPI_DPHY_AVDD1V8</t>
  </si>
  <si>
    <t>HDMI_TX_REXT/EDP_TX_REXT</t>
  </si>
  <si>
    <t>HDMI_TX_EDP_TX_AVDDC0V75</t>
  </si>
  <si>
    <t>VSS_99</t>
  </si>
  <si>
    <t>VSS_98</t>
  </si>
  <si>
    <t>VSS_97</t>
  </si>
  <si>
    <t>VSS_96</t>
  </si>
  <si>
    <t>VSS_95</t>
  </si>
  <si>
    <t>2N</t>
  </si>
  <si>
    <t>1W</t>
    <phoneticPr fontId="12" type="noConversion"/>
  </si>
  <si>
    <t>LP4_A1_A/LP4x_A1_A/LP5_A1_A</t>
  </si>
  <si>
    <t>LP4_A0_A/LP4x_A0_A/LP5_A0_A</t>
  </si>
  <si>
    <t>AC</t>
  </si>
  <si>
    <t>REF_CLK1_OUT/UART4_TX_M2/I2C1_SCL_M1/PWM1_CH0_M0/GPIO0_B4_d</t>
  </si>
  <si>
    <t>ETH1_TESTRXCLK_OUT/DSMC_DATA2/VO_LCDC_D4/VO_EBC_SDDO4/UART8_RTSN_M0/SPI1_CLK_M2/SATA0_CPPOD_M1/GPIO3_C7_d</t>
  </si>
  <si>
    <t>ETH1_MDC_M0/DSMC_DATA14/VO_LCDC_D21/VO_EBC_GDOE/PDM_SDI2_M4/UART1_RX_M2/UART10_CTSN_M0/PWM1_CH2_M3/GPIO3_A6_d</t>
  </si>
  <si>
    <t>ETH1_MDIO_M0/DSMC_DATA15/VO_LCDC_D22/VO_EBC_GDSP/PDM_SDI3_M4/UART1_RTSN_M2/SPI2_CSN1_M2/PWM1_CH1_M2/GPIO3_A5_d</t>
  </si>
  <si>
    <t>ETH1_TXD0_M0/DSMC_DATA8/VO_LCDC_D14/VO_EBC_SDDO14/SPDIF_TX0_M3/UART3_CTSN_M1/PWM1_CH5_M2/GPIO3_B5_d</t>
  </si>
  <si>
    <t>ETH1_RXCLK_M0/DSMC_CSN2/VO_LCDC_D2/VO_EBC_SDDO2/SPI4_CLK_M1/GPIO3_D1_z</t>
  </si>
  <si>
    <t>VSS_94</t>
  </si>
  <si>
    <t>VSS_93</t>
  </si>
  <si>
    <t>VSS_92</t>
  </si>
  <si>
    <t>VSS_91</t>
  </si>
  <si>
    <t>AVSS1_12</t>
  </si>
  <si>
    <t>AVSS1_11</t>
  </si>
  <si>
    <t>AVSS1_10</t>
  </si>
  <si>
    <t>CPU_LIT_DVDD_3</t>
  </si>
  <si>
    <t>VSS_90</t>
  </si>
  <si>
    <t>DDRPHY_DVDD_4</t>
  </si>
  <si>
    <t>VSS_89</t>
  </si>
  <si>
    <t>VSS_88</t>
  </si>
  <si>
    <t>2M</t>
  </si>
  <si>
    <t>VSS_33</t>
  </si>
  <si>
    <t>LP5_WCK0N_A</t>
  </si>
  <si>
    <t>LP5_WCK0P_A</t>
  </si>
  <si>
    <t>VSS_32</t>
  </si>
  <si>
    <t>1V</t>
    <phoneticPr fontId="12" type="noConversion"/>
  </si>
  <si>
    <t>LP4_CLKP_A/LP4x_CLKP_A/LP5_CLKP_A</t>
  </si>
  <si>
    <t>VSS_12</t>
  </si>
  <si>
    <t>AB</t>
  </si>
  <si>
    <t>SDMMC0_PWREN/SDMMC1_DETN_M1/HDMI_TX_HPDIN_M1/EDP_TX_HPDIN_M1/PWM1_CH2_M0/GPIO0_B6_d</t>
  </si>
  <si>
    <t>REF_CLK2_OUT/UART4_RX_M2/I2C1_SDA_M1/PWM1_CH1_M0/GPIO0_B5_d</t>
  </si>
  <si>
    <t>VCCIO6_VCC</t>
  </si>
  <si>
    <t>VSS_87</t>
  </si>
  <si>
    <t>VSS_86</t>
  </si>
  <si>
    <t>CPU_BIG_DVDD_1</t>
  </si>
  <si>
    <t>CPU_BIG_DVDD_0</t>
  </si>
  <si>
    <t>VSS_85</t>
  </si>
  <si>
    <t>CPU_LIT_DVDD_4</t>
  </si>
  <si>
    <t>CPU_LIT_DVDD_2</t>
  </si>
  <si>
    <t>VSS_84</t>
  </si>
  <si>
    <t>VSS_83</t>
  </si>
  <si>
    <t>VSS_82</t>
  </si>
  <si>
    <t>VSS_81</t>
  </si>
  <si>
    <t>2L</t>
  </si>
  <si>
    <t>1U</t>
    <phoneticPr fontId="12" type="noConversion"/>
  </si>
  <si>
    <t>LP4_CLKN_A/LP4x_CLKN_A/LP5_CLKN_A</t>
  </si>
  <si>
    <t>AA</t>
  </si>
  <si>
    <t>UART1_TX_M0/I2C2_SCL_M0/PWM1_CH4_M0/NPU_AVS/GPIO0_B7_d</t>
  </si>
  <si>
    <t>SAI0_LRCK_M1/UART8_CTSN_M1/SPI0_CLK_M0/I2C3_SDA_M1/GPIO0_C7_d</t>
  </si>
  <si>
    <t>SAI0_SCLK_M1/UART8_RTSN_M1/SPI0_CSN0_M0/I2C3_SCL_M1/GPIO0_C6_d</t>
  </si>
  <si>
    <t>SAI0_SDO0_M1/UART10_RX_M2/I3C0_SDA_PU_M0/GPIO0_C5_d</t>
  </si>
  <si>
    <t>SAI0_MCLK_M1/PDM_CLK0_M0/UART10_TX_M2/PWM0_CH0_M0/GPIO0_C4_d</t>
  </si>
  <si>
    <t>VCCIO5_VCC_1</t>
  </si>
  <si>
    <t>VCCIO5_VCC_0</t>
  </si>
  <si>
    <t>VSS_80</t>
  </si>
  <si>
    <t>CPU_BIG_DVDD_2</t>
  </si>
  <si>
    <t>CPU_BIG_DVDD_3</t>
  </si>
  <si>
    <t>CPU_BIG_DVDD_4</t>
  </si>
  <si>
    <t>CPU_LIT_DVDD_5</t>
  </si>
  <si>
    <t>CPU_LIT_DVDD_1</t>
  </si>
  <si>
    <t>VSS_79</t>
  </si>
  <si>
    <t>DDRPHY_PLL_AVDD1V8</t>
  </si>
  <si>
    <t>VSS_78</t>
  </si>
  <si>
    <t>DDRPHY_OBS</t>
  </si>
  <si>
    <t>2K</t>
  </si>
  <si>
    <t>DDR_ZQ</t>
  </si>
  <si>
    <t>LP4_RESET/LP4x_RESET/LP5_RESET</t>
  </si>
  <si>
    <t>LP4_CKE1_A/LP4x_CKE1_A/LP5_CSN1_A</t>
  </si>
  <si>
    <t>LP4_CKE1_B/LP4x_CKE1_B/LP5_CSN1_B</t>
  </si>
  <si>
    <t>1T</t>
    <phoneticPr fontId="12" type="noConversion"/>
  </si>
  <si>
    <t>VSS_11</t>
  </si>
  <si>
    <t>LP4_CLKN_B/LP4x_CLKN_B/LP5_CLKN_B</t>
  </si>
  <si>
    <t>Y</t>
  </si>
  <si>
    <t>UART8_TX_M1/I2C0_SCL_M1/I3C0_SCL_M0/GPIO0_C1_d</t>
  </si>
  <si>
    <t>UART1_RX_M0/I2C2_SDA_M0/PWM1_CH3_M0/CPULIT_AVS/GPIO0_C0_d</t>
  </si>
  <si>
    <t>PMU_LOGIC_DVDD0V75_1</t>
  </si>
  <si>
    <t>PMU_LOGIC_DVDD0V75_0</t>
  </si>
  <si>
    <t>VSS_77</t>
  </si>
  <si>
    <t>VSS_76</t>
  </si>
  <si>
    <t>VSS_75</t>
  </si>
  <si>
    <t>VSS_74</t>
  </si>
  <si>
    <t>VSS_73</t>
  </si>
  <si>
    <t>CPU_LIT_DVDD_0</t>
  </si>
  <si>
    <t>DDRPHY_DVDD_3</t>
  </si>
  <si>
    <t>DDRPHY_VDDQ_5</t>
  </si>
  <si>
    <t>DDRPHY_VDDQ_4</t>
  </si>
  <si>
    <t>VSS_72</t>
  </si>
  <si>
    <t>2J</t>
  </si>
  <si>
    <t>1R</t>
    <phoneticPr fontId="12" type="noConversion"/>
  </si>
  <si>
    <t>VSS_10</t>
  </si>
  <si>
    <t>LP4_CLKP_B/LP4x_CLKP_B/LP5_CLKP_B</t>
  </si>
  <si>
    <t>W</t>
  </si>
  <si>
    <t>PDM_CLK1_M0/HDMI_TX_CEC_M1/SPI0_CSN1_M0/PWM0_CH1_M0/GPIO0_C3_d</t>
  </si>
  <si>
    <t>UART8_RX_M1/I2C0_SDA_M1/I3C0_SDA_M0/GPIO0_C2_d</t>
  </si>
  <si>
    <t>SAI0_SDI3_M1/SAI0_SDO1_M1/PDM_SDI3_M0/UART1_RTSN_M0/I2C4_SDA_M0/PWM2_CH0_M0/GPU_AVS/GPIO0_D3_d</t>
  </si>
  <si>
    <t>SAI0_SDI2_M1/SAI0_SDO2_M1/PDM_SDI2_M0/UART1_CTSN_M0/I2C4_SCL_M0/PWM1_CH5_M0/CPUBIG_AVS/GPIO0_D2_d</t>
  </si>
  <si>
    <t>SAI0_SDI1_M1/SAI0_SDO3_M1/PDM_SDI1_M0/UART11_RX_M0/SPI0_MISO_M0/GPIO0_D1_d</t>
  </si>
  <si>
    <t>SAI0_SDI0_M1/PDM_SDI0_M0/UART11_TX_M0/SPI0_MOSI_M0/GPIO0_D0_d</t>
  </si>
  <si>
    <t>TSADC_TEST_OUT_TS</t>
  </si>
  <si>
    <t>VSS_71</t>
  </si>
  <si>
    <t>VSS_70</t>
  </si>
  <si>
    <t>LOGIC_DVDD_4</t>
  </si>
  <si>
    <t>LOGIC_DVDD_3</t>
  </si>
  <si>
    <t>LOGIC_DVDD_1</t>
  </si>
  <si>
    <t>VSS_69</t>
  </si>
  <si>
    <t>VSS_68</t>
  </si>
  <si>
    <t>DDRPHY_DVDD_6</t>
  </si>
  <si>
    <t>DDRPHY_VDDQH</t>
  </si>
  <si>
    <t>DDRPHY_VDDQ_3</t>
  </si>
  <si>
    <t>VSS_67</t>
  </si>
  <si>
    <t>2H</t>
  </si>
  <si>
    <t>VSS_31</t>
  </si>
  <si>
    <t>LP4_CKE0_B/LP4x_CKE0_B/LP5_CSN0_B</t>
  </si>
  <si>
    <t>LP4_CSN1_B/LP4X_CSN1_B</t>
  </si>
  <si>
    <t>LP4_A5_B/LP4x_A5_B/LP5_A5_B</t>
  </si>
  <si>
    <t>1P</t>
    <phoneticPr fontId="12" type="noConversion"/>
  </si>
  <si>
    <t>LP4_A2_B/LP4x_A2_B/LP5_A2_B</t>
  </si>
  <si>
    <t>V</t>
  </si>
  <si>
    <t>UART0_RX_M0/JTAG_TMS_M1/GPIO0_D5_u</t>
  </si>
  <si>
    <t>RFU</t>
  </si>
  <si>
    <t>PMUIO0_VCC1V8</t>
  </si>
  <si>
    <t>PMUIO1_VCC</t>
  </si>
  <si>
    <t>VSS_66</t>
  </si>
  <si>
    <t>LOGIC_DVDD_2</t>
  </si>
  <si>
    <t>VSS_65</t>
  </si>
  <si>
    <t>LOGIC_DVDD_0</t>
  </si>
  <si>
    <t>VSS_64</t>
  </si>
  <si>
    <t>DDRPHY_DVDD_5</t>
  </si>
  <si>
    <t>DDRPHY_DVDD_2</t>
  </si>
  <si>
    <t>DDRPHY_VDDQ_2</t>
  </si>
  <si>
    <t>VSS_63</t>
  </si>
  <si>
    <t>2G</t>
  </si>
  <si>
    <t>1N</t>
    <phoneticPr fontId="12" type="noConversion"/>
  </si>
  <si>
    <t>LP4_A3_B/LP4x_A3_B/LP5_A3_B</t>
  </si>
  <si>
    <t>VSS_9</t>
  </si>
  <si>
    <t>U</t>
  </si>
  <si>
    <t>UART0_TX_M0/JTAG_TCK_M1/GPIO0_D4_u</t>
  </si>
  <si>
    <t>SPI2_MISO_M0/I2C0_SDA_M0/GPIO0_B1_z</t>
  </si>
  <si>
    <t>SPI2_MOSI_M0/I2C1_SDA_M0/GPIO0_B3_z</t>
  </si>
  <si>
    <t>PWR_CTRL1/RST_OUT_M1/GPIO0_A3_d</t>
  </si>
  <si>
    <t>PWR_CTRL2/GPIO0_A4_z</t>
  </si>
  <si>
    <t>PWR_CTRL3/I2C6_SDA_M0/GPIO0_A5_z</t>
  </si>
  <si>
    <t>OSC_AVDD1V8</t>
  </si>
  <si>
    <t>OTP_DVDD0V75</t>
  </si>
  <si>
    <t>TVSS_d</t>
  </si>
  <si>
    <t>VSS_62</t>
  </si>
  <si>
    <t>VSS_61</t>
  </si>
  <si>
    <t>NPU_DVDD_5</t>
  </si>
  <si>
    <t>GPU_DVDD_3</t>
  </si>
  <si>
    <t>GPU_DVDD_1</t>
  </si>
  <si>
    <t>DDRPHY_DVDD_1</t>
  </si>
  <si>
    <t>DDRPHY_VDDQ_1</t>
  </si>
  <si>
    <t>VSS_60</t>
  </si>
  <si>
    <t>VSS_59</t>
  </si>
  <si>
    <t>2F</t>
  </si>
  <si>
    <t>VSS_30</t>
  </si>
  <si>
    <t>LP4_DQS0P_B/LP4x_DQS0P_B/LP5_RDQS0P_B</t>
  </si>
  <si>
    <t>LP4_DQS0N_B/LP4x_DQS0N_B/LP5_RDQS0N_B</t>
  </si>
  <si>
    <t>VSS_29</t>
  </si>
  <si>
    <t>1M</t>
    <phoneticPr fontId="12" type="noConversion"/>
  </si>
  <si>
    <t>LP4_CSN0_B/LP4X_CSN0_B/LP5_A6_B</t>
  </si>
  <si>
    <t>VSS_8</t>
  </si>
  <si>
    <t>T</t>
  </si>
  <si>
    <t>SDMMC0_DETN_M0/SPI2_CSN1_M0/GPIO0_A7_u</t>
  </si>
  <si>
    <t>SPI2_CLK_M0/I2C1_SCL_M0/GPIO0_B2_z</t>
  </si>
  <si>
    <t>PCIE1_SATA1_AVDD1V8</t>
  </si>
  <si>
    <t>PCIE1_SATA1_AVDD0V85</t>
  </si>
  <si>
    <t>AVSS_41</t>
  </si>
  <si>
    <t>NPU_DVDD_4</t>
  </si>
  <si>
    <t>NPU_DVDD_3</t>
  </si>
  <si>
    <t>NPU_DVDD_2</t>
  </si>
  <si>
    <t>GPU_DVDD_2</t>
  </si>
  <si>
    <t>GPU_DVDD_0</t>
  </si>
  <si>
    <t>DDRPHY_DVDD_0</t>
  </si>
  <si>
    <t>DDRPHY_VDDQ_0</t>
  </si>
  <si>
    <t>VSS_58</t>
  </si>
  <si>
    <t>VSS_57</t>
  </si>
  <si>
    <t>2E</t>
  </si>
  <si>
    <t>1L</t>
    <phoneticPr fontId="12" type="noConversion"/>
  </si>
  <si>
    <t>LP4_A4_B/LP4x_A4_B/LP5_A4_B</t>
  </si>
  <si>
    <t>R</t>
  </si>
  <si>
    <t>RST_OUT_M0/TSADC_CTRL_ORG/GPIO0_A1_z</t>
  </si>
  <si>
    <t>PMIC_INT/GPIO0_A6_u</t>
  </si>
  <si>
    <t>CLK_32K_IN/CLK0_32K_OUT/I2C6_SCL_M0/GPIO0_A2_d</t>
  </si>
  <si>
    <t>PMU_DEBUG_TEST_OUT/SPI2_CSN0_M0/I2C0_SCL_M0/GPIO0_B0_z</t>
  </si>
  <si>
    <t>REF_CLK0_OUT/AUPLL_CLK_IN/GPIO0_A0_d</t>
  </si>
  <si>
    <t>AVSS_40</t>
  </si>
  <si>
    <t>PCIE0_SATA0_USB_DRD1_AVDD1V8</t>
  </si>
  <si>
    <t>PCIE0_SATA0_USB_DRD1_AVDD0V85</t>
  </si>
  <si>
    <t>AVSS_39</t>
  </si>
  <si>
    <t>NPU_DVDD_1</t>
  </si>
  <si>
    <t>NPU_DVDD_0</t>
  </si>
  <si>
    <t>VSS_56</t>
  </si>
  <si>
    <t>VSS_55</t>
  </si>
  <si>
    <t>VSS_54</t>
  </si>
  <si>
    <t>VSS_53</t>
  </si>
  <si>
    <t>VCCIO2_VCC</t>
  </si>
  <si>
    <t>VSS_52</t>
  </si>
  <si>
    <t>2D</t>
  </si>
  <si>
    <t>VSS_28</t>
  </si>
  <si>
    <t>LP5_WCK0P_B</t>
  </si>
  <si>
    <t>LP5_WCK0N_B</t>
  </si>
  <si>
    <t>VSS_27</t>
  </si>
  <si>
    <t>1K</t>
    <phoneticPr fontId="12" type="noConversion"/>
  </si>
  <si>
    <t>VSS_7</t>
  </si>
  <si>
    <t>LP4_A1_B/LP4x_A1_B/LP5_A1_B</t>
  </si>
  <si>
    <t>P</t>
  </si>
  <si>
    <t>VSS_6</t>
  </si>
  <si>
    <t>NPOR_u</t>
  </si>
  <si>
    <t>AVSS_38</t>
  </si>
  <si>
    <t>PCIE0_SATA0_USB_DRD0_AVDD1V8</t>
  </si>
  <si>
    <t>PCIE0_SATA0_USB_DRD0_AVDD0V85</t>
  </si>
  <si>
    <t>AVSS_37</t>
  </si>
  <si>
    <t>AVSS_36</t>
  </si>
  <si>
    <t>AVSS_35</t>
  </si>
  <si>
    <t>AVSS_34</t>
  </si>
  <si>
    <t>MIPI_DPHY_CSI1/2_RX_AVDD1V8</t>
  </si>
  <si>
    <t>MIPI_DPHY_CSI3/4_RX_AVDD1V8</t>
  </si>
  <si>
    <t>VSS_51</t>
  </si>
  <si>
    <t>VCCIO4_VCC</t>
  </si>
  <si>
    <t>VSS_50</t>
  </si>
  <si>
    <t>2C</t>
  </si>
  <si>
    <t>1J</t>
    <phoneticPr fontId="12" type="noConversion"/>
  </si>
  <si>
    <t>LP4_DQ4_B/LP4x_DQ4_B/LP5_DQ4_B</t>
  </si>
  <si>
    <t>LP4_A0_B/LP4x_A0_B/LP5_A0_B</t>
  </si>
  <si>
    <t>N</t>
  </si>
  <si>
    <t>OSC_XOUT</t>
  </si>
  <si>
    <t>OSC_XIN</t>
  </si>
  <si>
    <t>AVSS_26</t>
  </si>
  <si>
    <t>PCIE1_REFCLKN</t>
  </si>
  <si>
    <t>PCIE1_REFCLKP</t>
  </si>
  <si>
    <t>AVSS_25</t>
  </si>
  <si>
    <t>PLL_AVDD1V8</t>
  </si>
  <si>
    <t>PLL_DVDD0V75</t>
  </si>
  <si>
    <t>AVSS_33</t>
  </si>
  <si>
    <t>AVSS_32</t>
  </si>
  <si>
    <t>UFS_AVDD0V85</t>
  </si>
  <si>
    <t>AVSS_31</t>
  </si>
  <si>
    <t>AVSS_30</t>
  </si>
  <si>
    <t>MIPI_DPHY_CSI1/2_RX_AVDD0V75</t>
  </si>
  <si>
    <t>MIPI_DPHY_CSI3/4_RX_AVDD0V75</t>
  </si>
  <si>
    <t>VSS_49</t>
  </si>
  <si>
    <t>VCCIO1_VCC</t>
  </si>
  <si>
    <t>VSS_48</t>
  </si>
  <si>
    <t>2B</t>
  </si>
  <si>
    <t>VSS_26</t>
  </si>
  <si>
    <t>LP5_WCK1N_B</t>
  </si>
  <si>
    <t>LP5_WCK1P_B</t>
  </si>
  <si>
    <t>VSS_25</t>
  </si>
  <si>
    <t>1H</t>
    <phoneticPr fontId="12" type="noConversion"/>
  </si>
  <si>
    <t>LP4_DQ3_B/LP4x_DQ3_B/LP5_DQ3_B</t>
  </si>
  <si>
    <t>M</t>
  </si>
  <si>
    <t>AVSS_12</t>
  </si>
  <si>
    <t>PLL_AVSS</t>
  </si>
  <si>
    <t>AVSS_29</t>
  </si>
  <si>
    <t>VCCIO7_VCC</t>
  </si>
  <si>
    <t>UFS_AVDD1V8</t>
  </si>
  <si>
    <t>USB_DRD_AVDD3V3</t>
  </si>
  <si>
    <t>USB_DRD_DVDD0V75</t>
  </si>
  <si>
    <t>USB_DRD_AVDD1V8</t>
  </si>
  <si>
    <t>AVSS_28</t>
  </si>
  <si>
    <t>AVSS_27</t>
  </si>
  <si>
    <t>VSS_47</t>
  </si>
  <si>
    <t>VSS_46</t>
  </si>
  <si>
    <t>VSS_45</t>
  </si>
  <si>
    <t>2A</t>
  </si>
  <si>
    <t>1G</t>
    <phoneticPr fontId="12" type="noConversion"/>
  </si>
  <si>
    <t>LP4_DQ0_B/LP4x_DQ0_B/LP5_DQ0_B</t>
  </si>
  <si>
    <t>LP4_DQ2_B/LP4x_DQ2_B/LP5_DQ2_B</t>
  </si>
  <si>
    <t>L</t>
  </si>
  <si>
    <t>PCIE1_TXP/SATA1_TXP</t>
  </si>
  <si>
    <t>PCIE1_TXN/SATA1_TXN</t>
  </si>
  <si>
    <t>AVSS_24</t>
  </si>
  <si>
    <t>PCIE0_REFCLKN_M1</t>
  </si>
  <si>
    <t>PCIE0_REFCLKP_M1</t>
  </si>
  <si>
    <t>AVSS_23</t>
  </si>
  <si>
    <t>VSS_24</t>
  </si>
  <si>
    <t>LP4_DQS1N_B/LP4x_DQS1N_B/LP5_RDQS1N_B</t>
  </si>
  <si>
    <t>LP4_DQS1P_B/LP4x_DQS1P_B/LP5_RDQS1P_B</t>
  </si>
  <si>
    <t>VSS_23</t>
  </si>
  <si>
    <t>1F</t>
    <phoneticPr fontId="12" type="noConversion"/>
  </si>
  <si>
    <t>VSS_5</t>
  </si>
  <si>
    <t>LP4_DQ1_B/LP4x_DQ1_B/LP5_DQ1_B</t>
  </si>
  <si>
    <t>K</t>
  </si>
  <si>
    <t>PCIE1_RXP/SATA1_RXP</t>
  </si>
  <si>
    <t>PCIE1_RXN/SATA1_RXN</t>
  </si>
  <si>
    <t>1E</t>
    <phoneticPr fontId="12" type="noConversion"/>
  </si>
  <si>
    <t>LP4_DQ5_B/LP4x_DQ5_B/LP5_DQ5_B</t>
  </si>
  <si>
    <t>J</t>
  </si>
  <si>
    <t>AVSS_11</t>
  </si>
  <si>
    <t>AVSS_22</t>
  </si>
  <si>
    <t>PCIE0_REFCLKN_M0</t>
  </si>
  <si>
    <t>PCIE0_REFCLKP_M0</t>
  </si>
  <si>
    <t>AVSS_21</t>
  </si>
  <si>
    <t>USB_DRD1_REXT</t>
  </si>
  <si>
    <t>AVSS_20</t>
  </si>
  <si>
    <t>AVSS_19</t>
  </si>
  <si>
    <t>AVSS_18</t>
  </si>
  <si>
    <t>AVSS_17</t>
  </si>
  <si>
    <t>FSPI1_D0_M0/SDMMC0_D0_M0/DSM_AUD_LP_M0/UART0_RX_M1/SPI0_MOSI_M1/I2C8_SCL_M0/PWM2_CH2_M0/CAN1_RX_M0/UART7_RX_M2/GPIO2_A0_d</t>
  </si>
  <si>
    <t>ETH0_RXD0/FSPI1_D1_M1/SDMMC0_PWREN_M1/SAI0_SDO0_M0/VI_CIF_D1/SATA30_PORT0_ACTLED_M0/UART1_TX_M1/SPI1_CSN0_M1/I2C6_SCL_M2/PWM1_CH3_M2/PCIE0_PERSTN_M0/GPIO2_D2_d</t>
  </si>
  <si>
    <t>VSS_22</t>
  </si>
  <si>
    <t>ETH0_PPSCLK/VI_CIF_D11/SAI1_SDO1_M0/SAI1_SDI3_M0/PDM_SDI3_M1/FSPI1_TESTCLK_OUT_M1/UART11_TX_M1/SPI4_CLK_M2/UART2_RTSN_M1/GPIO2_B6_d</t>
  </si>
  <si>
    <t>VI_CIF_D14/ETH0_TESTRXD_OUT/SAI1_LRCK_M0/SAI0_SDI2_M2/UART9_RX_M2/SPI4_CSN1_M2/I2C2_SDA_M2/UART6_CTSN_M0/CAN0_RX_M2/PCIE1_CLKREQN_M2/GPIO2_B3_d</t>
  </si>
  <si>
    <t>SAI1_MCLK_M0/SAI0_MCLK_M2/UART6_RX_M0/PWM2_CH5_M0/GPIO2_B0_d</t>
  </si>
  <si>
    <t>1D</t>
    <phoneticPr fontId="12" type="noConversion"/>
  </si>
  <si>
    <t>LP4_DQ7_B/LP4x_DQ7_B/LP5_DQ7_B</t>
  </si>
  <si>
    <t>LP4_DMI0_B/LP4x_DMI0_B/LP5_DMI0_B</t>
  </si>
  <si>
    <t>H</t>
  </si>
  <si>
    <t>PCIE0_RXN_M1/SATA0_RXN_M1/USB_DRD1_SSRXN</t>
  </si>
  <si>
    <t>PCIE0_RXP_M1/SATA0_RXP_M1/USB_DRD1_SSRXP</t>
  </si>
  <si>
    <t>UFS_RSTN/GPIO4_C0_d</t>
  </si>
  <si>
    <t>USB_DRD0_VBUSDET</t>
  </si>
  <si>
    <t>MIPI_DPHY_CSI2_RX_CLKN</t>
  </si>
  <si>
    <t>MIPI_DPHY_CSI1_RX_D1N</t>
  </si>
  <si>
    <t>MIPI_DPHY_CSI4_RX_CLKN</t>
  </si>
  <si>
    <t>MIPI_DPHY_CSI3_RX_D1N</t>
  </si>
  <si>
    <t>FSPI1_CLK_M0/SDMMC0_CLK_M0/SAI3_SCLK_M1/TEST_CLK_OUT/UART5_TX_M2/SPI0_CLK_M1/I2C5_SCL_M0/CAN2_TX_M0/GPIO2_A5_d</t>
  </si>
  <si>
    <t>ETH0_TXCTL/FSPI1_D0_M1/SDMMC0_DETN_M1/SAI0_SDI0_M0/VI_CIF_D0/UART1_RX_M1/SPI1_CLK_M1/I2C6_SDA_M2/PWM1_CH4_M2/PCIE1_PERSTN_M0/GPIO2_D3_d</t>
  </si>
  <si>
    <t>ETH0_RXD3/VI_CIF_D9/SAI1_SDO3_M0/SAI1_SDI1_M0/PDM_SDI1_M1/UART5_RTSN_M1/SPI4_MISO_M2/PCIE1_PERSTN_M2/PCIE0_PERSTN_M2/GPIO2_C0_d</t>
  </si>
  <si>
    <t>1C</t>
    <phoneticPr fontId="12" type="noConversion"/>
  </si>
  <si>
    <t>LP4_DQ12_B/LP4x_DQ12_B/LP5_DQ12_B</t>
  </si>
  <si>
    <t>LP4_DQ6_B/LP4x_DQ6_B/LP5_DQ6_B</t>
  </si>
  <si>
    <t>G</t>
  </si>
  <si>
    <t>PCIE0_TXN_M1/SATA0_TXN_M1/USB_DRD1_SSTXN</t>
  </si>
  <si>
    <t>PCIE0_TXP_M1/SATA0_TXP_M1/USB_DRD1_SSTXP</t>
  </si>
  <si>
    <t>AVSS_16</t>
  </si>
  <si>
    <t>UFS_TX_D0P</t>
  </si>
  <si>
    <t>UFS_TX_D1N</t>
  </si>
  <si>
    <t>USB_DRD0_ID</t>
  </si>
  <si>
    <t>MIPI_DPHY_CSI2_RX_CLKP</t>
  </si>
  <si>
    <t>MIPI_DPHY_CSI1_RX_D1P</t>
  </si>
  <si>
    <t>MIPI_DPHY_CSI4_RX_CLKP</t>
  </si>
  <si>
    <t>MIPI_DPHY_CSI3_RX_D1P</t>
  </si>
  <si>
    <t>FSPI1_CSN0_M0/SDMMC0_CMD_M0/SAI3_SDO_M1/UART5_RX_M2/SPI0_CSN0_M1/I2C5_SDA_M0/PWM2_CH4_M0/CAN2_RX_M0/GPIO2_A4_z</t>
  </si>
  <si>
    <t>ETH0_TXD1/FSPI1_CLK_M1/CAM_CLK1_OUT_M1/SAI0_SDO3_M0/SPDIF_TX1_M2/VI_CIF_VSYNC/UART3_RX_M0/SPI3_MOSI_M0/I2C5_SDA_M2/CAN3_RX_M1/GPIO2_D5_d</t>
  </si>
  <si>
    <t>ETH0_RXD2/VI_CIF_D8/SAI1_SDI0_M0/SAI0_SDO0_M2/PDM_SDI0_M1/UART5_CTSN_M1/SPI4_CSN0_M2/SPI3_CSN1_M2/PWM2_CH7_M0/GPIO2_C1_d</t>
  </si>
  <si>
    <t>VI_CIF_D13/ETH0_TESTRXCLK_OUT/SPDIF_TX1_M0/SAI0_LRCK_M2/PDM_CLK1_M1/UART2_RX_M1/SPI3_MISO_M2/I2C4_SDA_M1/GPIO2_B4_d</t>
  </si>
  <si>
    <t>VSS_21</t>
  </si>
  <si>
    <t>1B</t>
    <phoneticPr fontId="12" type="noConversion"/>
  </si>
  <si>
    <t>LP4_DQ13_B/LP4x_DQ13_B/LP5_DQ13_B</t>
  </si>
  <si>
    <t>F</t>
  </si>
  <si>
    <t>AVSS_10</t>
  </si>
  <si>
    <t>UFS_TX_D0N</t>
  </si>
  <si>
    <t>UFS_TX_D1P</t>
  </si>
  <si>
    <t>USB_DRD0_REXT</t>
  </si>
  <si>
    <t>AVSS_15</t>
  </si>
  <si>
    <t>AVSS_14</t>
  </si>
  <si>
    <t>AVSS_13</t>
  </si>
  <si>
    <t>FSPI1_D1_M0/SDMMC0_D1_M0/DSM_AUD_LN_M0/SAI3_MCLK_M1/UART0_TX_M1/SPI0_MISO_M1/I2C8_SDA_M0/PWM2_CH3_M0/CAN1_TX_M0/UART7_TX_M2/GPIO2_A1_d</t>
  </si>
  <si>
    <t>FSPI1_D3_M0/SDMMC0_D3_M0/DSM_AUD_RN_M0/SAI3_SDI_M1/UART5_CTSN_M2/JTAG_TMS_M0/CAN0_TX_M0/GPIO2_A3_d</t>
  </si>
  <si>
    <t>ETH0_TXD0/FSPI1_DQS_M1/CAM_CLK0_OUT_M1/SAI0_SDO2_M0/VI_CIF_HREF/UART3_TX_M0/SPI3_CLK_M0/I2C5_SCL_M2/CAN3_TX_M1/GPIO2_D4_d</t>
  </si>
  <si>
    <t>VSS_20</t>
  </si>
  <si>
    <t>SDMMC0_TESTCLK_OUT/SAI1_SCLK_M0/SAI0_SDI1_M2/UART6_TX_M0/SPI3_CSN0_M2/I2C2_SCL_M2/PWM2_CH4_M1/CAN0_TX_M2/PCIE1_WAKEN_M2/GPIO2_B1_d</t>
  </si>
  <si>
    <t>1A</t>
    <phoneticPr fontId="12" type="noConversion"/>
  </si>
  <si>
    <t>VSS_4</t>
  </si>
  <si>
    <t>LP4_DQ14_B/LP4x_DQ14_B/LP5_DQ14_B</t>
  </si>
  <si>
    <t>E</t>
  </si>
  <si>
    <t>PCIE0_TXN_M0/SATA0_TXN_M0/USB_DRD0_SSTXN</t>
  </si>
  <si>
    <t>PCIE0_TXP_M0/SATA0_TXP_M0/USB_DRD0_SSTXP</t>
  </si>
  <si>
    <t>LP4_DMI1_B/LP4x_DMI1_B/LP5_DMI1_B</t>
  </si>
  <si>
    <t>LP4_DQ15_B/LP4x_DQ15_B/LP5_DQ15_B</t>
  </si>
  <si>
    <t>D</t>
  </si>
  <si>
    <t>PCIE0_RXP_M0/SATA0_RXP_M0/USB_DRD0_SSRXP</t>
  </si>
  <si>
    <t>PCIE0_RXN_M0/SATA0_RXN_M0/USB_DRD0_SSRXN</t>
  </si>
  <si>
    <t>LP4_DQ8_B/LP4x_DQ8_B/LP5_DQ8_B</t>
  </si>
  <si>
    <t>C</t>
  </si>
  <si>
    <t>AVSS_9</t>
  </si>
  <si>
    <t>VSS_3</t>
  </si>
  <si>
    <t>LP4_DQ9_B/LP4x_DQ9_B/LP5_DQ9_B</t>
  </si>
  <si>
    <t>B</t>
  </si>
  <si>
    <t>UFS_REFCLK/GPIO4_C1_d</t>
  </si>
  <si>
    <t>AVSS_8</t>
  </si>
  <si>
    <t>UFS_RX_D0P</t>
  </si>
  <si>
    <t>UFS_RX_D0N</t>
  </si>
  <si>
    <t>AVSS_7</t>
  </si>
  <si>
    <t>USB_DRD1_VBUSDET</t>
  </si>
  <si>
    <t>AVSS_6</t>
  </si>
  <si>
    <t>USB_DRD1_DP</t>
  </si>
  <si>
    <t>USB_DRD0_DP</t>
  </si>
  <si>
    <t>AVSS_5</t>
  </si>
  <si>
    <t>MIPI_DPHY_CSI1_RX_D3N/MIPI_DPHY_CSI2_RX_D1N</t>
  </si>
  <si>
    <t>MIPI_DPHY_CSI1_RX_D2N/MIPI_DPHY_CSI2_RX_D0N</t>
  </si>
  <si>
    <t>AVSS_4</t>
  </si>
  <si>
    <t>MIPI_DPHY_CSI1_RX_CLKN</t>
  </si>
  <si>
    <t>MIPI_DPHY_CSI1_RX_D0N</t>
  </si>
  <si>
    <t>AVSS_3</t>
  </si>
  <si>
    <t>MIPI_DPHY_CSI3_RX_D3N/MIPI_DPHY_CSI4_RX_D1N</t>
  </si>
  <si>
    <t>MIPI_DPHY_CSI3_RX_D2N/MIPI_DPHY_CSI4_RX_D0N</t>
  </si>
  <si>
    <t>AVSS_2</t>
  </si>
  <si>
    <t>MIPI_DPHY_CSI3_RX_CLKN</t>
  </si>
  <si>
    <t>MIPI_DPHY_CSI3_RX_D0N</t>
  </si>
  <si>
    <t>AVSS_1</t>
  </si>
  <si>
    <t>FSPI1_D2_M0/SDMMC0_D2_M0/DSM_AUD_RP_M0/SAI3_LRCK_M1/UART5_RTSN_M2/SPI0_CSN1_M1/JTAG_TCK_M0/CAN0_RX_M0/GPIO2_A2_d</t>
  </si>
  <si>
    <t>ETH0_MDIO/FSPI1_D6_M1/SDMMC0_D1_M1/SAI0_SDI1_M0/PDM_CLK0_M3/VI_CIF_D6/UART10_RX_M1/I2C8_SDA_M2/PWM2_CH5_M2/GPIO2_C5_d</t>
  </si>
  <si>
    <t>ETH0_MDC/FSPI1_D5_M1/SDMMC0_D2_M1/SAI0_SDO1_M0/PDM_SDI1_M3/VI_CIF_D5/UART10_CTSN_M1/SPI3_CSN1_M0/I2C9_SDA_M2/UART11_TX_M2/PCIE1_WAKEN_M0/GPIO2_C6_d</t>
  </si>
  <si>
    <t>ETH0_TXCLK/FSPI1_CSN0_M1/CAM_CLK2_OUT_M1/SAI0_SDI3_M0/SPDIF_RX0_M2/VI_CIF_CLKO/UART3_CTSN_M0/SPI3_MISO_M0/I2C4_SCL_M2/PWM2_CH2_M2/CAN1_TX_M3/MIPI_TE_M1/GPIO2_D6_z</t>
  </si>
  <si>
    <t>ETH0_RXCLK/FSPI1_CSN1_M1/FSPI1_RST/SPDIF_TX0_M2/VI_CIF_CLKI/UART3_RTSN_M0/SPI3_CSN0_M0/I2C4_SDA_M2/PWM2_CH3_M2/CAN1_RX_M3/GPIO2_D7_z</t>
  </si>
  <si>
    <t>VSS_2</t>
  </si>
  <si>
    <t>ETH0_TXD3/SPDIF_TX0_M0/UART5_TX_M1/I2C3_SCL_M0/CAN1_TX_M2/PCIE0_CLKREQN_M2/GPIO2_C3_d</t>
  </si>
  <si>
    <t>ETH0_PTP_REFCLK_/VI_CIF_D12/SAI1_SDO0_M0/SAI0_SDI0_M2/FSPI1_TESTDATA_OUT_M1/UART2_TX_M1/SPI3_CLK_M2/PWM2_CH6_M0/GPIO2_B5_d</t>
  </si>
  <si>
    <t>VI_CIF_D15/SDMMC0_TESTDATA_OUT/SAI0_SCLK_M2/PDM_CLK0_M1/UART9_TX_M2/SPI3_MOSI_M2/I2C4_SCL_M1/UART6_RTSN_M0/GPIO2_B2_d</t>
  </si>
  <si>
    <t>VSS_1</t>
  </si>
  <si>
    <t>LP4_DQ10_B/LP4x_DQ10_B/LP5_DQ10_B</t>
  </si>
  <si>
    <t>A</t>
  </si>
  <si>
    <t>AVSS_0</t>
  </si>
  <si>
    <t>UFS_RX_D1P</t>
  </si>
  <si>
    <t>UFS_RX_D1N</t>
  </si>
  <si>
    <t>UFS_TX_REXT</t>
  </si>
  <si>
    <t>USB_DRD1_ID</t>
  </si>
  <si>
    <t>USB_DRD1_DM</t>
  </si>
  <si>
    <t>USB_DRD0_DM</t>
  </si>
  <si>
    <t>MIPI_DPHY_CSI1_RX_D3P/MIPI_DPHY_CSI2_RX_D1P</t>
  </si>
  <si>
    <t>MIPI_DPHY_CSI1_RX_D2P/MIPI_DPHY_CSI2_RX_D0P</t>
  </si>
  <si>
    <t>MIPI_DPHY_CSI1_RX_CLKP</t>
  </si>
  <si>
    <t>MIPI_DPHY_CSI1_RX_D0P</t>
  </si>
  <si>
    <t>MIPI_DPHY_CSI3_RX_D3P/MIPI_DPHY_CSI4_RX_D1P</t>
  </si>
  <si>
    <t>MIPI_DPHY_CSI3_RX_D2P/MIPI_DPHY_CSI4_RX_D0P</t>
  </si>
  <si>
    <t>MIPI_DPHY_CSI3_RX_CLKP</t>
  </si>
  <si>
    <t>MIPI_DPHY_CSI3_RX_D0P</t>
  </si>
  <si>
    <t>ETH_CLK0_25M_OUT/FSPI1_D7_M1/SDMMC0_D0_M1/SAI0_SDI2_M0/PDM_SDI0_M3/VI_CIF_D7/UART10_TX_M1/I2C8_SCL_M2/PWM2_CH4_M2/GPIO2_C4_d</t>
  </si>
  <si>
    <t>ETH0_RXCTL/FSPI1_D4_M1/SDMMC0_D3_M1/SAI0_MCLK_M0/PDM_CLK1_M3/VI_CIF_D4/ISP_PRELIGHT_TRIG_M0/UART10_RTSN_M1/SPI1_CSN1_M1/I2C9_SCL_M2/UART11_RX_M2/PCIE0_WAKEN_M0/GPIO2_C7_d</t>
  </si>
  <si>
    <t>ETH0_MCLK/FSPI1_D3_M1/SDMMC0_CMD_M1/SAI0_SCLK_M0/PDM_SDI2_M3/VI_CIF_D3/ISP_FLASH_TRIGOUT_M0/UART1_CTSN_M1/SPI1_MOSI_M1/I2C7_SCL_M1/PWM1_CH2_M2/PCIE0_CLKREQN_M0/GPIO2_D0_d</t>
  </si>
  <si>
    <t>ETH0_RXD1/FSPI1_D2_M1/SDMMC0_CLK_M1/SAI0_LRCK_M0/PDM_SDI3_M3/VI_CIF_D2/SATA30_PORT1_ACTLED_M0/UART1_RTSN_M1/SPI1_MISO_M1/I2C7_SDA_M1/PWM0_CH0_M2/PCIE1_CLKREQN_M0/GPIO2_D1_d</t>
  </si>
  <si>
    <t>ETH0_TXD2/SAI0_SDI3_M2/SPDIF_RX0_M0/UART5_RX_M1/I2C3_SDA_M0/MIPI_TE_M0/CAN1_RX_M2/PCIE0_WAKEN_M2/GPIO2_C2_d</t>
  </si>
  <si>
    <t>ETH0_PPSTRIG/VI_CIF_D10/SAI1_SDO2_M0/SAI1_SDI2_M0/PDM_SDI2_M1/SPDIF_RX0_TESTOUT/UART11_RX_M1/SPI4_MOSI_M2/UART2_CTSN_M1/GPIO2_B7_d</t>
  </si>
  <si>
    <t>LP4_DQ11_B/LP4x_DQ11_B/LP5_DQ11_B</t>
  </si>
  <si>
    <t>VSS_0</t>
  </si>
  <si>
    <t>2P12</t>
  </si>
  <si>
    <t>2P10</t>
  </si>
  <si>
    <t>2P4</t>
  </si>
  <si>
    <t>2P3</t>
  </si>
  <si>
    <t>2P1</t>
  </si>
  <si>
    <t>2N11</t>
  </si>
  <si>
    <t>2N10</t>
  </si>
  <si>
    <t>2N9</t>
  </si>
  <si>
    <t>2N5</t>
  </si>
  <si>
    <t>2N4</t>
  </si>
  <si>
    <t>2N3</t>
  </si>
  <si>
    <t>2N2</t>
  </si>
  <si>
    <t>2N1</t>
  </si>
  <si>
    <t>2M12</t>
  </si>
  <si>
    <t>2M11</t>
  </si>
  <si>
    <t>2M10</t>
  </si>
  <si>
    <t>2M9</t>
  </si>
  <si>
    <t>2M4</t>
  </si>
  <si>
    <t>2M2</t>
  </si>
  <si>
    <t>2M1</t>
  </si>
  <si>
    <t>2L11</t>
  </si>
  <si>
    <t>2L10</t>
  </si>
  <si>
    <t>2L7</t>
  </si>
  <si>
    <t>2L4</t>
  </si>
  <si>
    <t>2L3</t>
  </si>
  <si>
    <t>2L2</t>
  </si>
  <si>
    <t>-</t>
  </si>
  <si>
    <t>2L1</t>
  </si>
  <si>
    <t>2K10</t>
  </si>
  <si>
    <t>2K4</t>
  </si>
  <si>
    <t>2K2</t>
  </si>
  <si>
    <t>2J10</t>
  </si>
  <si>
    <t>2J9</t>
  </si>
  <si>
    <t>2J8</t>
  </si>
  <si>
    <t>2J7</t>
  </si>
  <si>
    <t>2J6</t>
  </si>
  <si>
    <t>2J1</t>
  </si>
  <si>
    <t>2H11</t>
  </si>
  <si>
    <t>2H10</t>
  </si>
  <si>
    <t>2H6</t>
  </si>
  <si>
    <t>2H5</t>
  </si>
  <si>
    <t>2H1</t>
  </si>
  <si>
    <t>2G9</t>
  </si>
  <si>
    <t>2G7</t>
  </si>
  <si>
    <t>2G5</t>
  </si>
  <si>
    <t>2G1</t>
  </si>
  <si>
    <t>2F9</t>
  </si>
  <si>
    <t>2F8</t>
  </si>
  <si>
    <t>2F2</t>
  </si>
  <si>
    <t>2F1</t>
  </si>
  <si>
    <t>2E2</t>
  </si>
  <si>
    <t>2E1</t>
  </si>
  <si>
    <t>2D6</t>
  </si>
  <si>
    <t>2D5</t>
  </si>
  <si>
    <t>2D4</t>
  </si>
  <si>
    <t>2D3</t>
  </si>
  <si>
    <t>2D1</t>
  </si>
  <si>
    <t>2C3</t>
  </si>
  <si>
    <t>2C1</t>
  </si>
  <si>
    <t>2B3</t>
  </si>
  <si>
    <t>2B1</t>
  </si>
  <si>
    <t>2A3</t>
  </si>
  <si>
    <t>2A2</t>
  </si>
  <si>
    <t>2A1</t>
  </si>
  <si>
    <t>1AF23</t>
  </si>
  <si>
    <t>1AF3</t>
  </si>
  <si>
    <t>1AF1</t>
  </si>
  <si>
    <t>1AD1</t>
  </si>
  <si>
    <t>1AC9</t>
  </si>
  <si>
    <t>1AC7</t>
  </si>
  <si>
    <t>1AC5</t>
  </si>
  <si>
    <t>1AB4</t>
  </si>
  <si>
    <t>1AB1</t>
  </si>
  <si>
    <t>1Y4</t>
  </si>
  <si>
    <t>1Y1</t>
  </si>
  <si>
    <t>1V4</t>
  </si>
  <si>
    <t>1V1</t>
  </si>
  <si>
    <t>1P4</t>
  </si>
  <si>
    <t>1M4</t>
  </si>
  <si>
    <t>1M1</t>
  </si>
  <si>
    <t>1K4</t>
  </si>
  <si>
    <t>1K1</t>
  </si>
  <si>
    <t>1H4</t>
  </si>
  <si>
    <t>1H1</t>
  </si>
  <si>
    <t>1F4</t>
  </si>
  <si>
    <t>1F1</t>
  </si>
  <si>
    <t>1D4</t>
  </si>
  <si>
    <t>1B1</t>
  </si>
  <si>
    <t>1A4</t>
  </si>
  <si>
    <t>AT33</t>
  </si>
  <si>
    <t>AT1</t>
  </si>
  <si>
    <t>AR31</t>
  </si>
  <si>
    <t>AR19</t>
  </si>
  <si>
    <t>AR7</t>
  </si>
  <si>
    <t>AL2</t>
  </si>
  <si>
    <t>AG2</t>
  </si>
  <si>
    <t>AC1</t>
  </si>
  <si>
    <t>AA2</t>
  </si>
  <si>
    <t>Y2</t>
  </si>
  <si>
    <t>V1</t>
  </si>
  <si>
    <t>U1</t>
  </si>
  <si>
    <t>R2</t>
  </si>
  <si>
    <t>P33</t>
  </si>
  <si>
    <t>L2</t>
  </si>
  <si>
    <t>F2</t>
  </si>
  <si>
    <t>C2</t>
  </si>
  <si>
    <t>B6</t>
  </si>
  <si>
    <t>B2</t>
  </si>
  <si>
    <t>A1</t>
  </si>
  <si>
    <t>Part S</t>
    <phoneticPr fontId="12" type="noConversion"/>
  </si>
  <si>
    <t>2M8</t>
  </si>
  <si>
    <t>2M7</t>
  </si>
  <si>
    <t>2M6</t>
  </si>
  <si>
    <t>1AF19</t>
  </si>
  <si>
    <t>1AF17</t>
  </si>
  <si>
    <t>1AF15</t>
  </si>
  <si>
    <t>1AF13</t>
  </si>
  <si>
    <t>1AC17</t>
  </si>
  <si>
    <t>1AC13</t>
  </si>
  <si>
    <t>1AC11</t>
  </si>
  <si>
    <t>AR28</t>
  </si>
  <si>
    <t>AR25</t>
  </si>
  <si>
    <t>AR22</t>
  </si>
  <si>
    <t>2E10</t>
  </si>
  <si>
    <t>2D12</t>
  </si>
  <si>
    <t>2D9</t>
  </si>
  <si>
    <t>2C12</t>
  </si>
  <si>
    <t>2C9</t>
  </si>
  <si>
    <t>2C8</t>
  </si>
  <si>
    <t>2C7</t>
  </si>
  <si>
    <t>2C6</t>
  </si>
  <si>
    <t>2B10</t>
  </si>
  <si>
    <t>2B9</t>
  </si>
  <si>
    <t>2B7</t>
  </si>
  <si>
    <t>2B6</t>
  </si>
  <si>
    <t>2A11</t>
  </si>
  <si>
    <t>2A5</t>
  </si>
  <si>
    <t>2A4</t>
  </si>
  <si>
    <t>1H23</t>
  </si>
  <si>
    <t>1H20</t>
  </si>
  <si>
    <t>1F23</t>
  </si>
  <si>
    <t>1F20</t>
  </si>
  <si>
    <t>1D23</t>
  </si>
  <si>
    <t>1D20</t>
  </si>
  <si>
    <t>1D16</t>
  </si>
  <si>
    <t>1D14</t>
  </si>
  <si>
    <t>1D12</t>
  </si>
  <si>
    <t>1D10</t>
  </si>
  <si>
    <t>1B23</t>
  </si>
  <si>
    <t>1A16</t>
  </si>
  <si>
    <t>1A14</t>
  </si>
  <si>
    <t>1A12</t>
  </si>
  <si>
    <t>M32</t>
  </si>
  <si>
    <t>J32</t>
  </si>
  <si>
    <t>F32</t>
  </si>
  <si>
    <t>C32</t>
  </si>
  <si>
    <t>B32</t>
  </si>
  <si>
    <t>B29</t>
  </si>
  <si>
    <t>B27</t>
  </si>
  <si>
    <t>B24</t>
  </si>
  <si>
    <t>B21</t>
  </si>
  <si>
    <t>B18</t>
  </si>
  <si>
    <t>B15</t>
  </si>
  <si>
    <t>B12</t>
  </si>
  <si>
    <t>A33</t>
  </si>
  <si>
    <t>Part R</t>
    <phoneticPr fontId="12" type="noConversion"/>
  </si>
  <si>
    <t>PI</t>
    <phoneticPr fontId="12" type="noConversion"/>
  </si>
  <si>
    <t>2F7</t>
  </si>
  <si>
    <t>PI</t>
    <phoneticPr fontId="12" type="noConversion"/>
  </si>
  <si>
    <t>2E9</t>
  </si>
  <si>
    <t>2E8</t>
  </si>
  <si>
    <t>TBD</t>
    <phoneticPr fontId="12" type="noConversion"/>
  </si>
  <si>
    <t>2E7</t>
  </si>
  <si>
    <t>2D8</t>
  </si>
  <si>
    <t>PI</t>
    <phoneticPr fontId="12" type="noConversion"/>
  </si>
  <si>
    <t>2D7</t>
  </si>
  <si>
    <t>2F6</t>
  </si>
  <si>
    <t>2E6</t>
  </si>
  <si>
    <t>2F5</t>
  </si>
  <si>
    <t>2E5</t>
  </si>
  <si>
    <t>2H9</t>
  </si>
  <si>
    <t>2H8</t>
  </si>
  <si>
    <t>2G8</t>
  </si>
  <si>
    <t>2H7</t>
  </si>
  <si>
    <t>2G6</t>
  </si>
  <si>
    <t>2K6</t>
  </si>
  <si>
    <t>2L6</t>
  </si>
  <si>
    <t>TBD</t>
    <phoneticPr fontId="12" type="noConversion"/>
  </si>
  <si>
    <t>2M5</t>
  </si>
  <si>
    <t>2L5</t>
  </si>
  <si>
    <t>2K5</t>
  </si>
  <si>
    <t>2J5</t>
  </si>
  <si>
    <t>2K7</t>
  </si>
  <si>
    <t>2K8</t>
  </si>
  <si>
    <t>2K9</t>
  </si>
  <si>
    <t>2L9</t>
  </si>
  <si>
    <t>2L8</t>
  </si>
  <si>
    <t>Part Q</t>
    <phoneticPr fontId="12" type="noConversion"/>
  </si>
  <si>
    <t>2F11</t>
  </si>
  <si>
    <t>0.75V</t>
  </si>
  <si>
    <t>RFU2</t>
  </si>
  <si>
    <t>2H12</t>
  </si>
  <si>
    <t>RFU1</t>
  </si>
  <si>
    <t>2G12</t>
  </si>
  <si>
    <t>API</t>
    <phoneticPr fontId="12" type="noConversion"/>
  </si>
  <si>
    <t>1.8V</t>
  </si>
  <si>
    <t>2N12</t>
  </si>
  <si>
    <t>AI</t>
    <phoneticPr fontId="12" type="noConversion"/>
  </si>
  <si>
    <t>2P11</t>
  </si>
  <si>
    <t>1AC15</t>
  </si>
  <si>
    <t>1AE17</t>
  </si>
  <si>
    <t>AI</t>
    <phoneticPr fontId="12" type="noConversion"/>
  </si>
  <si>
    <t>1AD17</t>
  </si>
  <si>
    <t>1AC19</t>
  </si>
  <si>
    <t>1AE19</t>
  </si>
  <si>
    <t>1AD19</t>
  </si>
  <si>
    <t>1AF21</t>
  </si>
  <si>
    <t>Part P</t>
    <phoneticPr fontId="12" type="noConversion"/>
  </si>
  <si>
    <t>API</t>
    <phoneticPr fontId="12" type="noConversion"/>
  </si>
  <si>
    <t>MIPI_DPHY_CSI2/3_RX_AVDD1V8</t>
  </si>
  <si>
    <t>2C4</t>
  </si>
  <si>
    <t>MIPI_DPHY_CSI2/3_RX_AVDD0V75</t>
  </si>
  <si>
    <t>2B4</t>
  </si>
  <si>
    <t>AI</t>
  </si>
  <si>
    <t>1C12</t>
  </si>
  <si>
    <t>1B12</t>
  </si>
  <si>
    <t>MIPI_DPHY_CSI2_RX_D3N/MIPI_DPHY_CSI3_RX_D1N</t>
  </si>
  <si>
    <t>B17</t>
  </si>
  <si>
    <t>MIPI_DPHY_CSI2_RX_D3P/MIPI_DPHY_CSI3_RX_D1P</t>
  </si>
  <si>
    <t>A17</t>
  </si>
  <si>
    <t>MIPI_DPHY_CSI2_RX_D2N/MIPI_DPHY_CSI3_RX_D0N</t>
  </si>
  <si>
    <t>B16</t>
  </si>
  <si>
    <t>MIPI_DPHY_CSI2_RX_D2P/MIPI_DPHY_CSI3_RX_D0P</t>
  </si>
  <si>
    <t>A16</t>
  </si>
  <si>
    <t>B14</t>
  </si>
  <si>
    <t>A14</t>
  </si>
  <si>
    <t>MIPI_DPHY_CSI2_RX_D1N</t>
  </si>
  <si>
    <t>1C10</t>
  </si>
  <si>
    <t>MIPI_DPHY_CSI2_RX_D1P</t>
  </si>
  <si>
    <t>1B10</t>
  </si>
  <si>
    <t>MIPI_DPHY_CSI2_RX_D0N</t>
  </si>
  <si>
    <t>B13</t>
  </si>
  <si>
    <t>MIPI_DPHY_CSI2_RX_D0P</t>
  </si>
  <si>
    <t>A13</t>
  </si>
  <si>
    <t>MIPI_DPHY_CSI0/1_RX_AVDD1V8</t>
  </si>
  <si>
    <t>2C5</t>
  </si>
  <si>
    <t>API</t>
    <phoneticPr fontId="12" type="noConversion"/>
  </si>
  <si>
    <t>MIPI_DPHY_CSI0/1_RX_AVDD0V75</t>
  </si>
  <si>
    <t>2B5</t>
  </si>
  <si>
    <t>1C16</t>
  </si>
  <si>
    <t>1B16</t>
  </si>
  <si>
    <t>MIPI_DPHY_CSI0_RX_D3N/MIPI_DPHY_CSI1_RX_D1N</t>
  </si>
  <si>
    <t>B23</t>
  </si>
  <si>
    <t>MIPI_DPHY_CSI0_RX_D3P/MIPI_DPHY_CSI1_RX_D1P</t>
  </si>
  <si>
    <t>A23</t>
  </si>
  <si>
    <t>MIPI_DPHY_CSI0_RX_D2N/MIPI_DPHY_CSI1_RX_D0N</t>
  </si>
  <si>
    <t>B22</t>
  </si>
  <si>
    <t>MIPI_DPHY_CSI0_RX_D2P/MIPI_DPHY_CSI1_RX_D0P</t>
  </si>
  <si>
    <t>A22</t>
  </si>
  <si>
    <t>MIPI_DPHY_CSI0_RX_CLKN</t>
  </si>
  <si>
    <t>B20</t>
  </si>
  <si>
    <t>MIPI_DPHY_CSI0_RX_CLKP</t>
  </si>
  <si>
    <t>A20</t>
  </si>
  <si>
    <t>MIPI_DPHY_CSI0_RX_D1N</t>
  </si>
  <si>
    <t>1C14</t>
  </si>
  <si>
    <t>MIPI_DPHY_CSI0_RX_D1P</t>
  </si>
  <si>
    <t>1B14</t>
  </si>
  <si>
    <t>MIPI_DPHY_CSI0_RX_D0N</t>
  </si>
  <si>
    <t>B19</t>
  </si>
  <si>
    <t>MIPI_DPHY_CSI0_RX_D0P</t>
  </si>
  <si>
    <t>A19</t>
  </si>
  <si>
    <t>Part O</t>
    <phoneticPr fontId="12" type="noConversion"/>
  </si>
  <si>
    <t>2N8</t>
  </si>
  <si>
    <t>2P9</t>
  </si>
  <si>
    <t>AR30</t>
  </si>
  <si>
    <t>AI</t>
    <phoneticPr fontId="12" type="noConversion"/>
  </si>
  <si>
    <t>AT30</t>
  </si>
  <si>
    <t>AO</t>
    <phoneticPr fontId="12" type="noConversion"/>
  </si>
  <si>
    <t>AR29</t>
  </si>
  <si>
    <t>AO</t>
    <phoneticPr fontId="12" type="noConversion"/>
  </si>
  <si>
    <t>AT29</t>
  </si>
  <si>
    <t>AR26</t>
  </si>
  <si>
    <t>AT26</t>
  </si>
  <si>
    <t>1AD15</t>
  </si>
  <si>
    <t>1AE15</t>
  </si>
  <si>
    <t>AR27</t>
  </si>
  <si>
    <t>AT27</t>
  </si>
  <si>
    <t>Part N</t>
    <phoneticPr fontId="12" type="noConversion"/>
  </si>
  <si>
    <t>2P7</t>
  </si>
  <si>
    <t>2P8</t>
  </si>
  <si>
    <t>2N6</t>
  </si>
  <si>
    <t>2P6</t>
  </si>
  <si>
    <t>EDP_TX_REXT</t>
  </si>
  <si>
    <t>HDMI_TX_REXT</t>
  </si>
  <si>
    <t>2N7</t>
  </si>
  <si>
    <t>EDP_TX_D3N</t>
  </si>
  <si>
    <t>HDMI_TX_D3N</t>
  </si>
  <si>
    <t>AR20</t>
  </si>
  <si>
    <t>EDP_TX_D3P</t>
  </si>
  <si>
    <t>HDMI_TX_D3P</t>
  </si>
  <si>
    <t>AT20</t>
  </si>
  <si>
    <t>EDP_TX_D2N</t>
  </si>
  <si>
    <t>HDMI_TX_D2N</t>
  </si>
  <si>
    <t>AT24</t>
  </si>
  <si>
    <t>EDP_TX_D2P</t>
  </si>
  <si>
    <t>HDMI_TX_D2P</t>
  </si>
  <si>
    <t>AR24</t>
  </si>
  <si>
    <t>EDP_TX_D1N</t>
  </si>
  <si>
    <t>HDMI_TX_D1N</t>
  </si>
  <si>
    <t>AR23</t>
  </si>
  <si>
    <t>EDP_TX_D1P</t>
  </si>
  <si>
    <t>HDMI_TX_D1P</t>
  </si>
  <si>
    <t>AT23</t>
  </si>
  <si>
    <t>EDP_TX_D0N</t>
  </si>
  <si>
    <t>HDMI_TX_D0N</t>
  </si>
  <si>
    <t>AO</t>
    <phoneticPr fontId="12" type="noConversion"/>
  </si>
  <si>
    <t>AT21</t>
  </si>
  <si>
    <t>EDP_TX_D0P</t>
  </si>
  <si>
    <t>HDMI_TX_D0P</t>
  </si>
  <si>
    <t>AR21</t>
  </si>
  <si>
    <t>EDP_TX_AUXN</t>
  </si>
  <si>
    <t>HDMI_TX_SBDN</t>
  </si>
  <si>
    <t>AI/O</t>
  </si>
  <si>
    <t>1AD13</t>
  </si>
  <si>
    <t>EDP_TX_AUXP</t>
  </si>
  <si>
    <t>HDMI_TX_SBDP</t>
  </si>
  <si>
    <t>AI/O</t>
    <phoneticPr fontId="12" type="noConversion"/>
  </si>
  <si>
    <t>1AE13</t>
  </si>
  <si>
    <t>Part M</t>
    <phoneticPr fontId="12" type="noConversion"/>
  </si>
  <si>
    <t>2E12</t>
  </si>
  <si>
    <t>2E11</t>
  </si>
  <si>
    <t>K32</t>
  </si>
  <si>
    <t>K33</t>
  </si>
  <si>
    <t>L32</t>
  </si>
  <si>
    <t>L33</t>
  </si>
  <si>
    <t>1H22</t>
  </si>
  <si>
    <t>1H21</t>
  </si>
  <si>
    <t>2D11</t>
  </si>
  <si>
    <t>0.85V</t>
  </si>
  <si>
    <t>2D10</t>
  </si>
  <si>
    <t>H33</t>
  </si>
  <si>
    <t>H32</t>
  </si>
  <si>
    <t>G33</t>
  </si>
  <si>
    <t>G32</t>
  </si>
  <si>
    <t>1F22</t>
  </si>
  <si>
    <t>1F21</t>
  </si>
  <si>
    <t>2C11</t>
  </si>
  <si>
    <t>2C10</t>
  </si>
  <si>
    <t>D32</t>
  </si>
  <si>
    <t>D33</t>
  </si>
  <si>
    <t>E33</t>
  </si>
  <si>
    <t>E32</t>
  </si>
  <si>
    <t>PCIE21_PORT0_REFCLKN</t>
  </si>
  <si>
    <t>1D22</t>
  </si>
  <si>
    <t>1D21</t>
  </si>
  <si>
    <t>Part L</t>
    <phoneticPr fontId="12" type="noConversion"/>
  </si>
  <si>
    <t>3.3V</t>
  </si>
  <si>
    <t>2A8</t>
  </si>
  <si>
    <t>2A6</t>
  </si>
  <si>
    <t>2A7</t>
  </si>
  <si>
    <t>USB2_OTG1_REXT</t>
  </si>
  <si>
    <t>1D18</t>
  </si>
  <si>
    <t>USB2_OTG1_VBUSDET</t>
  </si>
  <si>
    <t>I</t>
    <phoneticPr fontId="12" type="noConversion"/>
  </si>
  <si>
    <t>B28</t>
  </si>
  <si>
    <t>USB2_OTG1_ID</t>
  </si>
  <si>
    <t>I</t>
    <phoneticPr fontId="12" type="noConversion"/>
  </si>
  <si>
    <t>A28</t>
  </si>
  <si>
    <t>USB2_OTG1_DM</t>
  </si>
  <si>
    <t>A26</t>
  </si>
  <si>
    <t>USB2_OTG1_DP</t>
  </si>
  <si>
    <t>B26</t>
  </si>
  <si>
    <t>USB2_OTG0_REXT</t>
  </si>
  <si>
    <t>1A18</t>
  </si>
  <si>
    <t>USB2_OTG0_VBUSDET</t>
  </si>
  <si>
    <t>1C18</t>
  </si>
  <si>
    <t>USB2_OTG0_ID</t>
  </si>
  <si>
    <t>I</t>
    <phoneticPr fontId="12" type="noConversion"/>
  </si>
  <si>
    <t>1B18</t>
  </si>
  <si>
    <t>USB2_OTG0_DM</t>
  </si>
  <si>
    <t>A25</t>
  </si>
  <si>
    <t>USB2_OTG0_DP</t>
  </si>
  <si>
    <t>B25</t>
  </si>
  <si>
    <t>Part K</t>
    <phoneticPr fontId="12" type="noConversion"/>
  </si>
  <si>
    <t>1.8V/3.3V</t>
  </si>
  <si>
    <t>2L12</t>
  </si>
  <si>
    <t>CAN1_RX_M1</t>
  </si>
  <si>
    <t>PWM2_CH3_M1</t>
  </si>
  <si>
    <t>I2C6_SDA_M3</t>
  </si>
  <si>
    <t>SPI4_CLK_M0</t>
  </si>
  <si>
    <t>UART9_RTSN_M0</t>
  </si>
  <si>
    <t>VO_EBC_SDDO23</t>
  </si>
  <si>
    <t>GPIO4_B7</t>
  </si>
  <si>
    <t>100/66/50/40/33/25</t>
  </si>
  <si>
    <t>10~50K@1.8V  10~100K@3.3V</t>
  </si>
  <si>
    <t>down</t>
  </si>
  <si>
    <t>I</t>
  </si>
  <si>
    <t>I/O</t>
  </si>
  <si>
    <t>CAN1_RX_M1/PWM2_CH3_M1/I2C6_SDA_M3/SPI4_CLK_M0/UART9_RTSN_M0/VO_EBC_SDDO23/GPIO4_B7_d</t>
  </si>
  <si>
    <t>AN32</t>
  </si>
  <si>
    <t>PCIE1_CLKREQN_M3</t>
  </si>
  <si>
    <t>CAN1_TX_M1</t>
  </si>
  <si>
    <t>PWM2_CH2_M1</t>
  </si>
  <si>
    <t>I2C6_SCL_M3</t>
  </si>
  <si>
    <t>SPI4_MISO_M0</t>
  </si>
  <si>
    <t>UART9_CTSN_M0</t>
  </si>
  <si>
    <t>VO_EBC_SDDO22</t>
  </si>
  <si>
    <t>VP1_SYNC_OUT</t>
  </si>
  <si>
    <t>SATA30_PORT1_ACTLED_M1</t>
  </si>
  <si>
    <t>GPIO4_B6</t>
  </si>
  <si>
    <t>PCIE1_CLKREQN_M3/CAN1_TX_M1/PWM2_CH2_M1/I2C6_SCL_M3/SPI4_MISO_M0/UART9_CTSN_M0/VO_EBC_SDDO22/VP1_SYNC_OUT/SATA30_PORT1_ACTLED_M1/GPIO4_B6_d</t>
  </si>
  <si>
    <t>AP33</t>
  </si>
  <si>
    <t>ISP_FLASH_TRIGOUT_M1</t>
  </si>
  <si>
    <t>PWM2_CH5_M1</t>
  </si>
  <si>
    <t>I2C7_SDA_M3</t>
  </si>
  <si>
    <t>SPI4_MOSI_M0</t>
  </si>
  <si>
    <t>UART9_RX_M0</t>
  </si>
  <si>
    <t>VO_EBC_SDDO21</t>
  </si>
  <si>
    <t>VP0_SYNC_OUT</t>
  </si>
  <si>
    <t>SATA30_PORT0_ACTLED_M1</t>
  </si>
  <si>
    <t>GPIO4_B5</t>
  </si>
  <si>
    <t>AP32</t>
  </si>
  <si>
    <t>ISP_PRELIGHT_TRIG_M1</t>
  </si>
  <si>
    <t>PWM2_CH6_M1</t>
  </si>
  <si>
    <t>I2C7_SCL_M3</t>
  </si>
  <si>
    <t>SPI4_CSN0_M0</t>
  </si>
  <si>
    <t>UART9_TX_M0</t>
  </si>
  <si>
    <t>VO_EBC_SDDO20</t>
  </si>
  <si>
    <t>SAI3_SDO_M2</t>
  </si>
  <si>
    <t>GPIO4_B4</t>
  </si>
  <si>
    <t>AR33</t>
  </si>
  <si>
    <t>CAN0_RX_M1</t>
  </si>
  <si>
    <t>HDMI_TX_SDA_M0</t>
  </si>
  <si>
    <t>PWM2_CH1_M1</t>
  </si>
  <si>
    <t>I2C2_SDA_M3</t>
  </si>
  <si>
    <t>UART6_CTSN_M1</t>
  </si>
  <si>
    <t>VO_EBC_SDDO19</t>
  </si>
  <si>
    <t>DSM_AUD_RN_M1</t>
  </si>
  <si>
    <t>SAI3_SCLK_M2</t>
  </si>
  <si>
    <t>GPIO4_B3</t>
  </si>
  <si>
    <t>CAN0_RX_M1/HDMI_TX_SDA_M0/PWM2_CH1_M1/I2C2_SDA_M3/UART6_CTSN_M1/VO_EBC_SDDO19/DSM_AUD_RN_M1/SAI3_SCLK_M2/GPIO4_B3_d</t>
  </si>
  <si>
    <t>AR32</t>
  </si>
  <si>
    <t>CAN0_TX_M1</t>
  </si>
  <si>
    <t>HDMI_TX_SCL_M0</t>
  </si>
  <si>
    <t>PWM2_CH0_M1</t>
  </si>
  <si>
    <t>I2C2_SCL_M3</t>
  </si>
  <si>
    <t>UART6_RTSN_M1</t>
  </si>
  <si>
    <t>VO_EBC_SDDO18</t>
  </si>
  <si>
    <t>DSM_AUD_RP_M1</t>
  </si>
  <si>
    <t>SAI3_LRCK_M2</t>
  </si>
  <si>
    <t>GPIO4_B2</t>
  </si>
  <si>
    <t>CAN0_TX_M1/HDMI_TX_SCL_M0/PWM2_CH0_M1/I2C2_SCL_M3/UART6_RTSN_M1/VO_EBC_SDDO18/DSM_AUD_RP_M1/SAI3_LRCK_M2/GPIO4_B2_d</t>
  </si>
  <si>
    <t>AT32</t>
  </si>
  <si>
    <t>PCIE0_CLKREQN_M3</t>
  </si>
  <si>
    <t>HDMI_TX_HPDIN_M0</t>
  </si>
  <si>
    <t>PWM0_CH1_M1</t>
  </si>
  <si>
    <t>I2C3_SDA_M3</t>
  </si>
  <si>
    <t>EDP_TX_HPDIN_M0</t>
  </si>
  <si>
    <t>UART6_RX_M1</t>
  </si>
  <si>
    <t>VO_EBC_SDDO17</t>
  </si>
  <si>
    <t>DSM_AUD_LN_M1</t>
  </si>
  <si>
    <t>SAI3_SDI_M2</t>
  </si>
  <si>
    <t>GPIO4_B1</t>
  </si>
  <si>
    <t>PCIE0_CLKREQN_M3/HDMI_TX_HPDIN_M0/PWM0_CH1_M1/I2C3_SDA_M3/EDP_TX_HPDIN_M0/UART6_RX_M1/VO_EBC_SDDO17/DSM_AUD_LN_M1/SAI3_SDI_M2/GPIO4_B1_d</t>
  </si>
  <si>
    <t>1AE21</t>
  </si>
  <si>
    <t>HDMI_TX_CEC_M0</t>
  </si>
  <si>
    <t>PWM1_CH5_M1</t>
  </si>
  <si>
    <t>I2C3_SCL_M3</t>
  </si>
  <si>
    <t>SPI4_CSN1_M0</t>
  </si>
  <si>
    <t>UART6_TX_M1</t>
  </si>
  <si>
    <t>VO_EBC_SDDO16</t>
  </si>
  <si>
    <t>DSM_AUD_LP_M1</t>
  </si>
  <si>
    <t>SAI3_MCLK_M2</t>
  </si>
  <si>
    <t>GPIO4_B0</t>
  </si>
  <si>
    <t>HDMI_TX_CEC_M0/PWM1_CH5_M1/I2C3_SCL_M3/SPI4_CSN1_M0/UART6_TX_M1/VO_EBC_SDDO16/DSM_AUD_LP_M1/SAI3_MCLK_M2/GPIO4_B0_d</t>
  </si>
  <si>
    <t>1AD21</t>
  </si>
  <si>
    <t>Part J</t>
  </si>
  <si>
    <t>2K12</t>
  </si>
  <si>
    <t>2K11</t>
  </si>
  <si>
    <t>SATA1_CPDET_M1</t>
  </si>
  <si>
    <t>SPDIF_TX0_M4</t>
  </si>
  <si>
    <t>I2C7_SDA_M2</t>
  </si>
  <si>
    <t>UART9_RX_M1</t>
  </si>
  <si>
    <t>SAI1_LRCK_M1</t>
  </si>
  <si>
    <t>VO_EBC_BORDER1</t>
  </si>
  <si>
    <t>VO_POST_EMPTY</t>
  </si>
  <si>
    <t>DSMC_INT2</t>
  </si>
  <si>
    <t>CAM_CLK2_OUT_M0</t>
  </si>
  <si>
    <t>GPIO4_A1</t>
  </si>
  <si>
    <t>SATA1_CPDET_M1/SPDIF_TX0_M4/I2C7_SDA_M2/UART9_RX_M1/SAI1_LRCK_M1/VO_EBC_BORDER1/VO_POST_EMPTY/DSMC_INT2/CAM_CLK2_OUT_M0/GPIO4_A1_d</t>
  </si>
  <si>
    <t>1AD22</t>
  </si>
  <si>
    <t>SATA1_CPPOD_M1</t>
  </si>
  <si>
    <t>SPDIF_RX0_M4</t>
  </si>
  <si>
    <t>I2C7_SCL_M2</t>
  </si>
  <si>
    <t>SPI1_CSN1_M2</t>
  </si>
  <si>
    <t>UART9_TX_M1</t>
  </si>
  <si>
    <t>SAI1_SDO0_M1</t>
  </si>
  <si>
    <t>VO_EBC_BORDER0</t>
  </si>
  <si>
    <t>MIPI_TE_M2</t>
  </si>
  <si>
    <t>DSMC_INT0</t>
  </si>
  <si>
    <t>CAM_CLK1_OUT_M0</t>
  </si>
  <si>
    <t>GPIO4_A0</t>
  </si>
  <si>
    <t>SATA1_CPPOD_M1/SPDIF_RX0_M4/I2C7_SCL_M2/SPI1_CSN1_M2/UART9_TX_M1/SAI1_SDO0_M1/VO_EBC_BORDER0/MIPI_TE_M2/DSMC_INT0/CAM_CLK1_OUT_M0/GPIO4_A0_d</t>
  </si>
  <si>
    <t>1AD23</t>
  </si>
  <si>
    <t>SATA1_MPSWIT_M1</t>
  </si>
  <si>
    <t>PWM2_CH7_M2</t>
  </si>
  <si>
    <t>UART5_RTSN_M0</t>
  </si>
  <si>
    <t>SAI1_SDO1_M1</t>
  </si>
  <si>
    <t>VO_EBC_SDOE</t>
  </si>
  <si>
    <t>VO_LCDC_CLK</t>
  </si>
  <si>
    <t>DSMC_RESETN</t>
  </si>
  <si>
    <t>CAM_CLK0_OUT_M0</t>
  </si>
  <si>
    <t>GPIO3_D7</t>
  </si>
  <si>
    <t>SATA1_MPSWIT_M1/PWM2_CH7_M2/UART5_RTSN_M0/SAI1_SDO1_M1/VO_EBC_SDOE/VO_LCDC_CLK/DSMC_RESETN/CAM_CLK0_OUT_M0/GPIO3_D7_d</t>
  </si>
  <si>
    <t>AM32</t>
  </si>
  <si>
    <t>PWM2_CH6_M2</t>
  </si>
  <si>
    <t>SPI3_MOSI_M1</t>
  </si>
  <si>
    <t>UART5_CTSN_M0</t>
  </si>
  <si>
    <t>SAI1_SDI3_M1</t>
  </si>
  <si>
    <t>VO_EBC_SDCLK</t>
  </si>
  <si>
    <t>VO_LCDC_VSYNC</t>
  </si>
  <si>
    <t>DSMC_CLKN</t>
  </si>
  <si>
    <t>GPIO3_D6</t>
  </si>
  <si>
    <t>PWM2_CH6_M2/SPI3_MOSI_M1/UART5_CTSN_M0/SAI1_SDI3_M1/VO_EBC_SDCLK/VO_LCDC_VSYNC/DSMC_CLKN/GPIO3_D6_d</t>
  </si>
  <si>
    <t>AM33</t>
  </si>
  <si>
    <t>I2C3_SDA_M2</t>
  </si>
  <si>
    <t>SPI3_MISO_M1</t>
  </si>
  <si>
    <t>UART5_TX_M0</t>
  </si>
  <si>
    <t>SAI1_SDI2_M1</t>
  </si>
  <si>
    <t>VO_EBC_GDCLK</t>
  </si>
  <si>
    <t>VO_LCDC_HSYNC</t>
  </si>
  <si>
    <t>DSMC_CLKP</t>
  </si>
  <si>
    <t>GPIO3_D5</t>
  </si>
  <si>
    <t>1AB20</t>
  </si>
  <si>
    <t>I2C3_SCL_M2</t>
  </si>
  <si>
    <t>SPI3_CLK_M1</t>
  </si>
  <si>
    <t>UART5_RX_M0</t>
  </si>
  <si>
    <t>SAI1_SDI1_M1</t>
  </si>
  <si>
    <t>VO_EBC_SDLE</t>
  </si>
  <si>
    <t>VO_LCDC_DEN</t>
  </si>
  <si>
    <t>DSMC_DATA0</t>
  </si>
  <si>
    <t>GPIO3_D4</t>
  </si>
  <si>
    <t>AL32</t>
  </si>
  <si>
    <t>PWM2_CH5_M3</t>
  </si>
  <si>
    <t>SPI3_CSN1_M1</t>
  </si>
  <si>
    <t>UART2_CTSN_M2</t>
  </si>
  <si>
    <t>SAI2_SDO_M1</t>
  </si>
  <si>
    <t>VO_EBC_SDDO0</t>
  </si>
  <si>
    <t>VO_LCDC_D0</t>
  </si>
  <si>
    <t>DSMC_CSN0</t>
  </si>
  <si>
    <t>ETH1_RXD2_M0</t>
  </si>
  <si>
    <t>GPIO3_D3</t>
  </si>
  <si>
    <t>PWM2_CH5_M3/SPI3_CSN1_M1/UART2_CTSN_M2/SAI2_SDO_M1/VO_EBC_SDDO0/VO_LCDC_D0/DSMC_CSN0/ETH1_RXD2_M0/GPIO3_D3_z</t>
  </si>
  <si>
    <t>AF32</t>
  </si>
  <si>
    <t>PWM2_CH4_M3</t>
  </si>
  <si>
    <t>SPI4_CSN1_M1</t>
  </si>
  <si>
    <t>UART2_RTSN_M2</t>
  </si>
  <si>
    <t>SAI2_SDI_M1</t>
  </si>
  <si>
    <t>VO_EBC_SDDO1</t>
  </si>
  <si>
    <t>VO_LCDC_D1</t>
  </si>
  <si>
    <t>DSMC_CSN3</t>
  </si>
  <si>
    <t>ETH1_RXD3_M0</t>
  </si>
  <si>
    <t>GPIO3_D2</t>
  </si>
  <si>
    <t>PWM2_CH4_M3/SPI4_CSN1_M1/UART2_RTSN_M2/SAI2_SDI_M1/VO_EBC_SDDO1/VO_LCDC_D1/DSMC_CSN3/ETH1_RXD3_M0/GPIO3_D2_z</t>
  </si>
  <si>
    <t>AF33</t>
  </si>
  <si>
    <t>SPI4_CLK_M1</t>
  </si>
  <si>
    <t>VO_EBC_SDDO2</t>
  </si>
  <si>
    <t>VO_LCDC_D2</t>
  </si>
  <si>
    <t>DSMC_CSN2</t>
  </si>
  <si>
    <t>ETH1_RXCLK_M0</t>
  </si>
  <si>
    <t>GPIO3_D1</t>
  </si>
  <si>
    <t>SPI4_CLK_M1/VO_EBC_SDDO2/VO_LCDC_D2/DSMC_CSN2/ETH1_RXCLK_M0/GPIO3_D1_z</t>
  </si>
  <si>
    <t>1V20</t>
  </si>
  <si>
    <t>SATA0_CPDET_M1</t>
  </si>
  <si>
    <t>PWM2_CH3_M3</t>
  </si>
  <si>
    <t>SPI1_CSN0_M2</t>
  </si>
  <si>
    <t>UART8_CTSN_M0</t>
  </si>
  <si>
    <t>VO_EBC_SDDO3</t>
  </si>
  <si>
    <t>VO_LCDC_D3</t>
  </si>
  <si>
    <t>DSMC_DATA1</t>
  </si>
  <si>
    <t>GPIO3_D0</t>
  </si>
  <si>
    <t>SATA0_CPDET_M1/PWM2_CH3_M3/SPI1_CSN0_M2/UART8_CTSN_M0/VO_EBC_SDDO3/VO_LCDC_D3/DSMC_DATA1/GPIO3_D0_d</t>
  </si>
  <si>
    <t>1AB22</t>
  </si>
  <si>
    <t>SATA0_CPPOD_M1</t>
  </si>
  <si>
    <t>SPI1_CLK_M2</t>
  </si>
  <si>
    <t>UART8_RTSN_M0</t>
  </si>
  <si>
    <t>VO_EBC_SDDO4</t>
  </si>
  <si>
    <t>VO_LCDC_D4</t>
  </si>
  <si>
    <t>DSMC_DATA2</t>
  </si>
  <si>
    <t>GPIO3_C7</t>
  </si>
  <si>
    <t>SATA0_CPPOD_M1/SPI1_CLK_M2/UART8_RTSN_M0/VO_EBC_SDDO4/VO_LCDC_D4/DSMC_DATA2/GPIO3_C7_d</t>
  </si>
  <si>
    <t>AC32</t>
  </si>
  <si>
    <t>SPI1_MOSI_M2</t>
  </si>
  <si>
    <t>UART8_TX_M0</t>
  </si>
  <si>
    <t>VO_EBC_SDDO5</t>
  </si>
  <si>
    <t>VO_LCDC_D5</t>
  </si>
  <si>
    <t>DSMC_DATA3</t>
  </si>
  <si>
    <t>GPIO3_C6</t>
  </si>
  <si>
    <t>SPI1_MOSI_M2/UART8_TX_M0/VO_EBC_SDDO5/VO_LCDC_D5/DSMC_DATA3/GPIO3_C6_d</t>
  </si>
  <si>
    <t>AJ33</t>
  </si>
  <si>
    <t>PWM2_CH2_M3</t>
  </si>
  <si>
    <t>SPI1_MISO_M2</t>
  </si>
  <si>
    <t>UART8_RX_M0</t>
  </si>
  <si>
    <t>VO_EBC_SDDO6</t>
  </si>
  <si>
    <t>VO_LCDC_D6</t>
  </si>
  <si>
    <t>DSMC_DATA4</t>
  </si>
  <si>
    <t>GPIO3_C5</t>
  </si>
  <si>
    <t>PWM2_CH2_M3/SPI1_MISO_M2/UART8_RX_M0/VO_EBC_SDDO6/VO_LCDC_D6/DSMC_DATA4/GPIO3_C5_d</t>
  </si>
  <si>
    <t>AJ32</t>
  </si>
  <si>
    <t>SATA0_MPSWIT_M1</t>
  </si>
  <si>
    <t>CAN0_TX_M3</t>
  </si>
  <si>
    <t>I2C5_SCL_M3</t>
  </si>
  <si>
    <t>SPI2_CSN0_M2</t>
  </si>
  <si>
    <t>UART4_TX_M0</t>
  </si>
  <si>
    <t>SAI2_MCLK_M1</t>
  </si>
  <si>
    <t>VO_EBC_SDDO7</t>
  </si>
  <si>
    <t>VO_LCDC_D7</t>
  </si>
  <si>
    <t>DSMC_DATA5</t>
  </si>
  <si>
    <t>GPIO3_C4</t>
  </si>
  <si>
    <t>SATA0_MPSWIT_M1/CAN0_TX_M3/I2C5_SCL_M3/SPI2_CSN0_M2/UART4_TX_M0/SAI2_MCLK_M1/VO_EBC_SDDO7/VO_LCDC_D7/DSMC_DATA5/GPIO3_C4_d</t>
  </si>
  <si>
    <t>AH33</t>
  </si>
  <si>
    <t>CAN3_TX_M2</t>
  </si>
  <si>
    <t>PWM2_CH1_M2</t>
  </si>
  <si>
    <t>I2C9_SDA_M3</t>
  </si>
  <si>
    <t>SPI4_MOSI_M1</t>
  </si>
  <si>
    <t>UART4_CTSN_M0</t>
  </si>
  <si>
    <t>SAI2_LRCK_M1</t>
  </si>
  <si>
    <t>VO_EBC_SDDO8</t>
  </si>
  <si>
    <t>VO_LCDC_D8</t>
  </si>
  <si>
    <t>DSMC_INT3</t>
  </si>
  <si>
    <t>ETH1_TXD2_M0</t>
  </si>
  <si>
    <t>GPIO3_C3</t>
  </si>
  <si>
    <t>CAN3_TX_M2/PWM2_CH1_M2/I2C9_SDA_M3/SPI4_MOSI_M1/UART4_CTSN_M0/SAI2_LRCK_M1/VO_EBC_SDDO8/VO_LCDC_D8/DSMC_INT3/ETH1_TXD2_M0/GPIO3_C3_d</t>
  </si>
  <si>
    <t>AE32</t>
  </si>
  <si>
    <t>CAN3_RX_M2</t>
  </si>
  <si>
    <t>PWM2_CH0_M2</t>
  </si>
  <si>
    <t>I2C9_SCL_M3</t>
  </si>
  <si>
    <t>SPI4_MISO_M1</t>
  </si>
  <si>
    <t>UART4_RTSN_M0</t>
  </si>
  <si>
    <t>SAI2_SCLK_M1</t>
  </si>
  <si>
    <t>VO_EBC_SDDO9</t>
  </si>
  <si>
    <t>VO_LCDC_D9</t>
  </si>
  <si>
    <t>DSMC_INT1</t>
  </si>
  <si>
    <t>ETH1_TXD3_M0</t>
  </si>
  <si>
    <t>GPIO3_C2</t>
  </si>
  <si>
    <t>CAN3_RX_M2/PWM2_CH0_M2/I2C9_SCL_M3/SPI4_MISO_M1/UART4_RTSN_M0/SAI2_SCLK_M1/VO_EBC_SDDO9/VO_LCDC_D9/DSMC_INT1/ETH1_TXD3_M0/GPIO3_C2_d</t>
  </si>
  <si>
    <t>AD32</t>
  </si>
  <si>
    <t>CAN0_RX_M3</t>
  </si>
  <si>
    <t>I2C5_SDA_M3</t>
  </si>
  <si>
    <t>SPI2_MISO_M2</t>
  </si>
  <si>
    <t>UART4_RX_M0</t>
  </si>
  <si>
    <t>SAI1_SDO2_M1</t>
  </si>
  <si>
    <t>VO_EBC_SDDO10</t>
  </si>
  <si>
    <t>VO_LCDC_D10</t>
  </si>
  <si>
    <t>DSMC_DATA6</t>
  </si>
  <si>
    <t>ETH1_PTP_REFCLK_M0</t>
  </si>
  <si>
    <t>GPIO3_C1</t>
  </si>
  <si>
    <t>CAN0_RX_M3/I2C5_SDA_M3/SPI2_MISO_M2/UART4_RX_M0/SAI1_SDO2_M1/VO_EBC_SDDO10/VO_LCDC_D10/DSMC_DATA6/ETH1_PTP_REFCLK_M0/GPIO3_C1_d</t>
  </si>
  <si>
    <t>AL33</t>
  </si>
  <si>
    <t>CAN2_TX_M2</t>
  </si>
  <si>
    <t>I2C4_SCL_M3</t>
  </si>
  <si>
    <t>UART9_RTSN_M1</t>
  </si>
  <si>
    <t>UART2_TX_M2</t>
  </si>
  <si>
    <t>SAI1_SDO3_M1</t>
  </si>
  <si>
    <t>VO_EBC_SDDO11</t>
  </si>
  <si>
    <t>VO_LCDC_D11</t>
  </si>
  <si>
    <t>DSMC_DATA7</t>
  </si>
  <si>
    <t>ETH1_PPSCLK_M0</t>
  </si>
  <si>
    <t>GPIO3_C0</t>
  </si>
  <si>
    <t>CAN2_TX_M2/I2C4_SCL_M3/UART9_RTSN_M1/UART2_TX_M2/SAI1_SDO3_M1/VO_EBC_SDDO11/VO_LCDC_D11/DSMC_DATA7/ETH1_PPSCLK_M0/GPIO3_C0_d</t>
  </si>
  <si>
    <t>AH32</t>
  </si>
  <si>
    <t>CAN2_RX_M2</t>
  </si>
  <si>
    <t>I2C4_SDA_M3</t>
  </si>
  <si>
    <t>UART9_CTSN_M1</t>
  </si>
  <si>
    <t>UART2_RX_M2</t>
  </si>
  <si>
    <t>SAI1_SDI0_M1</t>
  </si>
  <si>
    <t>VO_EBC_SDDO12</t>
  </si>
  <si>
    <t>VO_LCDC_D12</t>
  </si>
  <si>
    <t>DSMC_DQS0</t>
  </si>
  <si>
    <t>ETH1_PPSTRIG_M0</t>
  </si>
  <si>
    <t>GPIO3_B7</t>
  </si>
  <si>
    <t>CAN2_RX_M2/I2C4_SDA_M3/UART9_CTSN_M1/UART2_RX_M2/SAI1_SDI0_M1/VO_EBC_SDDO12/VO_LCDC_D12/DSMC_DQS0/ETH1_PPSTRIG_M0/GPIO3_B7_d</t>
  </si>
  <si>
    <t>AK32</t>
  </si>
  <si>
    <t>PWM0_CH1_M2</t>
  </si>
  <si>
    <t>SPI3_CSN0_M1</t>
  </si>
  <si>
    <t>SPDIF_TX1_M3</t>
  </si>
  <si>
    <t>VO_EBC_SDDO13</t>
  </si>
  <si>
    <t>VO_LCDC_D13</t>
  </si>
  <si>
    <t>DSMC_DQS1</t>
  </si>
  <si>
    <t>ETH1_TXCLK_M0</t>
  </si>
  <si>
    <t>GPIO3_B6</t>
  </si>
  <si>
    <t>PWM0_CH1_M2/SPI3_CSN0_M1/SPDIF_TX1_M3/VO_EBC_SDDO13/VO_LCDC_D13/DSMC_DQS1/ETH1_TXCLK_M0/GPIO3_B6_d</t>
  </si>
  <si>
    <t>1Y23</t>
  </si>
  <si>
    <t>PWM1_CH5_M2</t>
  </si>
  <si>
    <t>UART3_CTSN_M1</t>
  </si>
  <si>
    <t>SPDIF_TX0_M3</t>
  </si>
  <si>
    <t>VO_EBC_SDDO14</t>
  </si>
  <si>
    <t>VO_LCDC_D14</t>
  </si>
  <si>
    <t>DSMC_DATA8</t>
  </si>
  <si>
    <t>ETH1_TXD0_M0</t>
  </si>
  <si>
    <t>GPIO3_B5</t>
  </si>
  <si>
    <t>PWM1_CH5_M2/UART3_CTSN_M1/SPDIF_TX0_M3/VO_EBC_SDDO14/VO_LCDC_D14/DSMC_DATA8/ETH1_TXD0_M0/GPIO3_B5_d</t>
  </si>
  <si>
    <t>1V21</t>
  </si>
  <si>
    <t>PWM1_CH4_M3</t>
  </si>
  <si>
    <t>UART3_RTSN_M1</t>
  </si>
  <si>
    <t>SPDIF_RX0_M3</t>
  </si>
  <si>
    <t>VO_EBC_SDDO15</t>
  </si>
  <si>
    <t>VO_LCDC_D15</t>
  </si>
  <si>
    <t>DSMC_DATA9</t>
  </si>
  <si>
    <t>ETH1_TXD1_M0</t>
  </si>
  <si>
    <t>GPIO3_B4</t>
  </si>
  <si>
    <t>PWM1_CH4_M3/UART3_RTSN_M1/SPDIF_RX0_M3/VO_EBC_SDDO15/VO_LCDC_D15/DSMC_DATA9/ETH1_TXD1_M0/GPIO3_B4_d</t>
  </si>
  <si>
    <t>AE33</t>
  </si>
  <si>
    <t>I2C8_SCL_M3</t>
  </si>
  <si>
    <t>UART3_TX_M1</t>
  </si>
  <si>
    <t>PDM_SDI0_M4</t>
  </si>
  <si>
    <t>VO_EBC_SDCE0</t>
  </si>
  <si>
    <t>VO_LCDC_D16</t>
  </si>
  <si>
    <t>DSMC_DATA10</t>
  </si>
  <si>
    <t>ETH1_TXCTL_M0</t>
  </si>
  <si>
    <t>GPIO3_B3</t>
  </si>
  <si>
    <t>1Y20</t>
  </si>
  <si>
    <t>I2C8_SDA_M3</t>
  </si>
  <si>
    <t>UART3_RX_M1</t>
  </si>
  <si>
    <t>PDM_SDI1_M4</t>
  </si>
  <si>
    <t>VO_EBC_SDCE1</t>
  </si>
  <si>
    <t>VO_LCDC_D17</t>
  </si>
  <si>
    <t>DSMC_DATA11</t>
  </si>
  <si>
    <t>ETH1_RXD0_M0</t>
  </si>
  <si>
    <t>GPIO3_B2</t>
  </si>
  <si>
    <t>1Y22</t>
  </si>
  <si>
    <t>PWM1_CH3_M3</t>
  </si>
  <si>
    <t>SPI4_CSN0_M1</t>
  </si>
  <si>
    <t>UART10_TX_M0</t>
  </si>
  <si>
    <t>PDM_CLK0_M4</t>
  </si>
  <si>
    <t>VO_EBC_SDCE2</t>
  </si>
  <si>
    <t>VO_LCDC_D18</t>
  </si>
  <si>
    <t>DSMC_DATA12</t>
  </si>
  <si>
    <t>ETH1_RXD1_M0</t>
  </si>
  <si>
    <t>GPIO3_B1</t>
  </si>
  <si>
    <t>PWM1_CH3_M3/SPI4_CSN0_M1/UART10_TX_M0/PDM_CLK0_M4/VO_EBC_SDCE2/VO_LCDC_D18/DSMC_DATA12/ETH1_RXD1_M0/GPIO3_B1_d</t>
  </si>
  <si>
    <t>AG32</t>
  </si>
  <si>
    <t>PWM0_CH0_M3</t>
  </si>
  <si>
    <t>SPI2_MOSI_M2</t>
  </si>
  <si>
    <t>UART10_RX_M0</t>
  </si>
  <si>
    <t>SAI1_MCLK_M1</t>
  </si>
  <si>
    <t>VO_EBC_SDCE3</t>
  </si>
  <si>
    <t>VO_LCDC_D19</t>
  </si>
  <si>
    <t>DSMC_CSN1</t>
  </si>
  <si>
    <t>ETH1_MCLK_M0</t>
  </si>
  <si>
    <t>GPIO3_B0</t>
  </si>
  <si>
    <t>PWM0_CH0_M3/SPI2_MOSI_M2/UART10_RX_M0/SAI1_MCLK_M1/VO_EBC_SDCE3/VO_LCDC_D19/DSMC_CSN1/ETH1_MCLK_M0/GPIO3_B0_z</t>
  </si>
  <si>
    <t>1AB21</t>
  </si>
  <si>
    <t>UART10_RTSN_M0</t>
  </si>
  <si>
    <t>UART1_TX_M2</t>
  </si>
  <si>
    <t>PDM_CLK1_M4</t>
  </si>
  <si>
    <t>VO_EBC_VCOM</t>
  </si>
  <si>
    <t>VO_LCDC_D20</t>
  </si>
  <si>
    <t>DSMC_DATA13</t>
  </si>
  <si>
    <t>ETH1_RXCTL_M0</t>
  </si>
  <si>
    <t>GPIO3_A7</t>
  </si>
  <si>
    <t>UART10_RTSN_M0/UART1_TX_M2/PDM_CLK1_M4/VO_EBC_VCOM/VO_LCDC_D20/DSMC_DATA13/ETH1_RXCTL_M0/GPIO3_A7_d</t>
  </si>
  <si>
    <t>1Y21</t>
  </si>
  <si>
    <t>PWM1_CH2_M3</t>
  </si>
  <si>
    <t>UART10_CTSN_M0</t>
  </si>
  <si>
    <t>UART1_RX_M2</t>
  </si>
  <si>
    <t>PDM_SDI2_M4</t>
  </si>
  <si>
    <t>VO_EBC_GDOE</t>
  </si>
  <si>
    <t>VO_LCDC_D21</t>
  </si>
  <si>
    <t>DSMC_DATA14</t>
  </si>
  <si>
    <t>ETH1_MDC_M0</t>
  </si>
  <si>
    <t>GPIO3_A6</t>
  </si>
  <si>
    <t>PWM1_CH2_M3/UART10_CTSN_M0/UART1_RX_M2/PDM_SDI2_M4/VO_EBC_GDOE/VO_LCDC_D21/DSMC_DATA14/ETH1_MDC_M0/GPIO3_A6_d</t>
  </si>
  <si>
    <t>1V23</t>
  </si>
  <si>
    <t>PWM1_CH1_M2</t>
  </si>
  <si>
    <t>SPI2_CSN1_M2</t>
  </si>
  <si>
    <t>UART1_RTSN_M2</t>
  </si>
  <si>
    <t>PDM_SDI3_M4</t>
  </si>
  <si>
    <t>VO_EBC_GDSP</t>
  </si>
  <si>
    <t>VO_LCDC_D22</t>
  </si>
  <si>
    <t>DSMC_DATA15</t>
  </si>
  <si>
    <t>ETH1_MDIO_M0</t>
  </si>
  <si>
    <t>GPIO3_A5</t>
  </si>
  <si>
    <t>PWM1_CH1_M2/SPI2_CSN1_M2/UART1_RTSN_M2/PDM_SDI3_M4/VO_EBC_GDSP/VO_LCDC_D22/DSMC_DATA15/ETH1_MDIO_M0/GPIO3_A5_d</t>
  </si>
  <si>
    <t>1V22</t>
  </si>
  <si>
    <t>PWM1_CH0_M2</t>
  </si>
  <si>
    <t>SPI2_CLK_M2</t>
  </si>
  <si>
    <t>UART1_CTSN_M2</t>
  </si>
  <si>
    <t>SAI1_SCLK_M1</t>
  </si>
  <si>
    <t>VO_EBC_SDSHR</t>
  </si>
  <si>
    <t>VO_LCDC_D23</t>
  </si>
  <si>
    <t>DSMC_RDYN</t>
  </si>
  <si>
    <t>ETH_CLK1_25M_OUT_M0</t>
  </si>
  <si>
    <t>GPIO3_A4</t>
  </si>
  <si>
    <t>PWM1_CH0_M2/SPI2_CLK_M2/UART1_CTSN_M2/SAI1_SCLK_M1/VO_EBC_SDSHR/VO_LCDC_D23/DSMC_RDYN/ETH_CLK1_25M_OUT_M0/GPIO3_A4_d</t>
  </si>
  <si>
    <t>1AB23</t>
  </si>
  <si>
    <t>Part I</t>
  </si>
  <si>
    <t>PI</t>
    <phoneticPr fontId="12" type="noConversion"/>
  </si>
  <si>
    <t>2C2</t>
  </si>
  <si>
    <t>CAN1_RX_M3</t>
  </si>
  <si>
    <t>PWM2_CH3_M2</t>
  </si>
  <si>
    <t>I2C4_SDA_M2</t>
  </si>
  <si>
    <t>SPI3_CSN0_M0</t>
  </si>
  <si>
    <t>UART3_RTSN_M0</t>
  </si>
  <si>
    <t>VI_CIF_CLKI</t>
  </si>
  <si>
    <t>SPDIF_TX0_M2</t>
  </si>
  <si>
    <t>FSPI1_RST</t>
  </si>
  <si>
    <t>FSPI1_CSN1_M1</t>
  </si>
  <si>
    <t>ETH0_RXCLK</t>
  </si>
  <si>
    <t>GPIO2_D7</t>
  </si>
  <si>
    <t>CAN1_RX_M3/PWM2_CH3_M2/I2C4_SDA_M2/SPI3_CSN0_M0/UART3_RTSN_M0/VI_CIF_CLKI/SPDIF_TX0_M2/FSPI1_RST/FSPI1_CSN1_M1/ETH0_RXCLK/GPIO2_D7_z</t>
  </si>
  <si>
    <t>B7</t>
  </si>
  <si>
    <t>MIPI_TE_M1</t>
  </si>
  <si>
    <t>CAN1_TX_M3</t>
  </si>
  <si>
    <t>PWM2_CH2_M2</t>
  </si>
  <si>
    <t>I2C4_SCL_M2</t>
  </si>
  <si>
    <t>SPI3_MISO_M0</t>
  </si>
  <si>
    <t>UART3_CTSN_M0</t>
  </si>
  <si>
    <t>VI_CIF_CLKO</t>
  </si>
  <si>
    <t>SPDIF_RX0_M2</t>
  </si>
  <si>
    <t>SAI0_SDI3_M0</t>
  </si>
  <si>
    <t>CAM_CLK2_OUT_M1</t>
  </si>
  <si>
    <t>FSPI1_CSN0_M1</t>
  </si>
  <si>
    <t>ETH0_TXCLK</t>
  </si>
  <si>
    <t>GPIO2_D6</t>
  </si>
  <si>
    <t>MIPI_TE_M1/CAN1_TX_M3/PWM2_CH2_M2/I2C4_SCL_M2/SPI3_MISO_M0/UART3_CTSN_M0/VI_CIF_CLKO/SPDIF_RX0_M2/SAI0_SDI3_M0/CAM_CLK2_OUT_M1/FSPI1_CSN0_M1/ETH0_TXCLK/GPIO2_D6_z</t>
  </si>
  <si>
    <t>B8</t>
  </si>
  <si>
    <t>CAN3_RX_M1</t>
  </si>
  <si>
    <t>I2C5_SDA_M2</t>
  </si>
  <si>
    <t>UART3_RX_M0</t>
  </si>
  <si>
    <t>VI_CIF_VSYNC</t>
  </si>
  <si>
    <t>SPDIF_TX1_M2</t>
  </si>
  <si>
    <t>SAI0_SDO3_M0</t>
  </si>
  <si>
    <t>CAM_CLK1_OUT_M1</t>
  </si>
  <si>
    <t>FSPI1_CLK_M1</t>
  </si>
  <si>
    <t>ETH0_TXD1</t>
  </si>
  <si>
    <t>GPIO2_D5</t>
  </si>
  <si>
    <t>1B6</t>
  </si>
  <si>
    <t>CAN3_TX_M1</t>
  </si>
  <si>
    <t>I2C5_SCL_M2</t>
  </si>
  <si>
    <t>UART3_TX_M0</t>
  </si>
  <si>
    <t>VI_CIF_HREF</t>
  </si>
  <si>
    <t>SAI0_SDO2_M0</t>
  </si>
  <si>
    <t>CAM_CLK0_OUT_M1</t>
  </si>
  <si>
    <t>FSPI1_DQS_M1</t>
  </si>
  <si>
    <t>ETH0_TXD0</t>
  </si>
  <si>
    <t>GPIO2_D4</t>
  </si>
  <si>
    <t>1A6</t>
  </si>
  <si>
    <t>PWM1_CH4_M2</t>
  </si>
  <si>
    <t>I2C6_SDA_M2</t>
  </si>
  <si>
    <t>SPI1_CLK_M1</t>
  </si>
  <si>
    <t>UART1_RX_M1</t>
  </si>
  <si>
    <t>VI_CIF_D0</t>
  </si>
  <si>
    <t>SAI0_SDI0_M0</t>
  </si>
  <si>
    <t>SDMMC0_DETN_M1</t>
  </si>
  <si>
    <t>FSPI1_D0_M1</t>
  </si>
  <si>
    <t>ETH0_TXCTL</t>
  </si>
  <si>
    <t>GPIO2_D3</t>
  </si>
  <si>
    <t>PWM1_CH4_M2/I2C6_SDA_M2/SPI1_CLK_M1/UART1_RX_M1/VI_CIF_D0/SAI0_SDI0_M0/SDMMC0_DETN_M1/FSPI1_D0_M1/ETH0_TXCTL/GPIO2_D3_d</t>
  </si>
  <si>
    <t>1C6</t>
  </si>
  <si>
    <t>SATA30_PORT0_ACTLED_M0</t>
  </si>
  <si>
    <t>PWM1_CH3_M2</t>
  </si>
  <si>
    <t>I2C6_SCL_M2</t>
  </si>
  <si>
    <t>SPI1_CSN0_M1</t>
  </si>
  <si>
    <t>UART1_TX_M1</t>
  </si>
  <si>
    <t>VI_CIF_D1</t>
  </si>
  <si>
    <t>SAI0_SDO0_M0</t>
  </si>
  <si>
    <t>SDMMC0_PWREN_M1</t>
  </si>
  <si>
    <t>FSPI1_D1_M1</t>
  </si>
  <si>
    <t>ETH0_RXD0</t>
  </si>
  <si>
    <t>GPIO2_D2</t>
  </si>
  <si>
    <t>SATA30_PORT0_ACTLED_M0/PWM1_CH3_M2/I2C6_SCL_M2/SPI1_CSN0_M1/UART1_TX_M1/VI_CIF_D1/SAI0_SDO0_M0/SDMMC0_PWREN_M1/FSPI1_D1_M1/ETH0_RXD0/GPIO2_D2_d</t>
  </si>
  <si>
    <t>1D6</t>
  </si>
  <si>
    <t>PCIE1_CLKREQN_M0</t>
  </si>
  <si>
    <t>SATA30_PORT1_ACTLED_M0</t>
  </si>
  <si>
    <t>PWM0_CH0_M2</t>
  </si>
  <si>
    <t>I2C7_SDA_M1</t>
  </si>
  <si>
    <t>SPI1_MISO_M1</t>
  </si>
  <si>
    <t>UART1_RTSN_M1</t>
  </si>
  <si>
    <t>VI_CIF_D2</t>
  </si>
  <si>
    <t>PDM_SDI3_M3</t>
  </si>
  <si>
    <t>SAI0_LRCK_M0</t>
  </si>
  <si>
    <t>SDMMC0_CLK_M1</t>
  </si>
  <si>
    <t>FSPI1_D2_M1</t>
  </si>
  <si>
    <t>ETH0_RXD1</t>
  </si>
  <si>
    <t>GPIO2_D1</t>
  </si>
  <si>
    <t>PCIE1_CLKREQN_M0/SATA30_PORT1_ACTLED_M0/PWM0_CH0_M2/I2C7_SDA_M1/SPI1_MISO_M1/UART1_RTSN_M1/VI_CIF_D2/PDM_SDI3_M3/SAI0_LRCK_M0/SDMMC0_CLK_M1/FSPI1_D2_M1/ETH0_RXD1/GPIO2_D1_d</t>
  </si>
  <si>
    <t>A7</t>
  </si>
  <si>
    <t>PCIE0_CLKREQN_M0</t>
  </si>
  <si>
    <t>ISP_FLASH_TRIGOUT_M0</t>
  </si>
  <si>
    <t>PWM1_CH2_M2</t>
  </si>
  <si>
    <t>I2C7_SCL_M1</t>
  </si>
  <si>
    <t>SPI1_MOSI_M1</t>
  </si>
  <si>
    <t>UART1_CTSN_M1</t>
  </si>
  <si>
    <t>VI_CIF_D3</t>
  </si>
  <si>
    <t>PDM_SDI2_M3</t>
  </si>
  <si>
    <t>SAI0_SCLK_M0</t>
  </si>
  <si>
    <t>SDMMC0_CMD_M1</t>
  </si>
  <si>
    <t>FSPI1_D3_M1</t>
  </si>
  <si>
    <t>ETH0_MCLK</t>
  </si>
  <si>
    <t>GPIO2_D0</t>
  </si>
  <si>
    <t>PCIE0_CLKREQN_M0/ISP_FLASH_TRIGOUT_M0/PWM1_CH2_M2/I2C7_SCL_M1/SPI1_MOSI_M1/UART1_CTSN_M1/VI_CIF_D3/PDM_SDI2_M3/SAI0_SCLK_M0/SDMMC0_CMD_M1/FSPI1_D3_M1/ETH0_MCLK/GPIO2_D0_d</t>
  </si>
  <si>
    <t>A8</t>
  </si>
  <si>
    <t>ISP_PRELIGHT_TRIG_M0</t>
  </si>
  <si>
    <t>UART11_RX_M2</t>
  </si>
  <si>
    <t>I2C9_SCL_M2</t>
  </si>
  <si>
    <t>SPI1_CSN1_M1</t>
  </si>
  <si>
    <t>UART10_RTSN_M1</t>
  </si>
  <si>
    <t>VI_CIF_D4</t>
  </si>
  <si>
    <t>PDM_CLK1_M3</t>
  </si>
  <si>
    <t>SAI0_MCLK_M0</t>
  </si>
  <si>
    <t>SDMMC0_D3_M1</t>
  </si>
  <si>
    <t>FSPI1_D4_M1</t>
  </si>
  <si>
    <t>ETH0_RXCTL</t>
  </si>
  <si>
    <t>GPIO2_C7</t>
  </si>
  <si>
    <t>ISP_PRELIGHT_TRIG_M0/UART11_RX_M2/I2C9_SCL_M2/SPI1_CSN1_M1/UART10_RTSN_M1/VI_CIF_D4/PDM_CLK1_M3/SAI0_MCLK_M0/SDMMC0_D3_M1/FSPI1_D4_M1/ETH0_RXCTL/GPIO2_C7_d</t>
  </si>
  <si>
    <t>A10</t>
  </si>
  <si>
    <t>UART11_TX_M2</t>
  </si>
  <si>
    <t>I2C9_SDA_M2</t>
  </si>
  <si>
    <t>SPI3_CSN1_M0</t>
  </si>
  <si>
    <t>UART10_CTSN_M1</t>
  </si>
  <si>
    <t>VI_CIF_D5</t>
  </si>
  <si>
    <t>PDM_SDI1_M3</t>
  </si>
  <si>
    <t>SAI0_SDO1_M0</t>
  </si>
  <si>
    <t>SDMMC0_D2_M1</t>
  </si>
  <si>
    <t>FSPI1_D5_M1</t>
  </si>
  <si>
    <t>ETH0_MDC</t>
  </si>
  <si>
    <t>GPIO2_C6</t>
  </si>
  <si>
    <t>UART11_TX_M2/I2C9_SDA_M2/SPI3_CSN1_M0/UART10_CTSN_M1/VI_CIF_D5/PDM_SDI1_M3/SAI0_SDO1_M0/SDMMC0_D2_M1/FSPI1_D5_M1/ETH0_MDC/GPIO2_C6_d</t>
  </si>
  <si>
    <t>B9</t>
  </si>
  <si>
    <t>PWM2_CH5_M2</t>
  </si>
  <si>
    <t>I2C8_SDA_M2</t>
  </si>
  <si>
    <t>UART10_RX_M1</t>
  </si>
  <si>
    <t>VI_CIF_D6</t>
  </si>
  <si>
    <t>PDM_CLK0_M3</t>
  </si>
  <si>
    <t>SAI0_SDI1_M0</t>
  </si>
  <si>
    <t>SDMMC0_D1_M1</t>
  </si>
  <si>
    <t>FSPI1_D6_M1</t>
  </si>
  <si>
    <t>ETH0_MDIO</t>
  </si>
  <si>
    <t>GPIO2_C5</t>
  </si>
  <si>
    <t>PWM2_CH5_M2/I2C8_SDA_M2/UART10_RX_M1/VI_CIF_D6/PDM_CLK0_M3/SAI0_SDI1_M0/SDMMC0_D1_M1/FSPI1_D6_M1/ETH0_MDIO/GPIO2_C5_d</t>
  </si>
  <si>
    <t>B10</t>
  </si>
  <si>
    <t>PWM2_CH4_M2</t>
  </si>
  <si>
    <t>I2C8_SCL_M2</t>
  </si>
  <si>
    <t>UART10_TX_M1</t>
  </si>
  <si>
    <t>VI_CIF_D7</t>
  </si>
  <si>
    <t>PDM_SDI0_M3</t>
  </si>
  <si>
    <t>SAI0_SDI2_M0</t>
  </si>
  <si>
    <t>SDMMC0_D0_M1</t>
  </si>
  <si>
    <t>FSPI1_D7_M1</t>
  </si>
  <si>
    <t>ETH_CLK0_25M_OUT</t>
  </si>
  <si>
    <t>GPIO2_C4</t>
  </si>
  <si>
    <t>PWM2_CH4_M2/I2C8_SCL_M2/UART10_TX_M1/VI_CIF_D7/PDM_SDI0_M3/SAI0_SDI2_M0/SDMMC0_D0_M1/FSPI1_D7_M1/ETH_CLK0_25M_OUT/GPIO2_C4_d</t>
  </si>
  <si>
    <t>A11</t>
  </si>
  <si>
    <t>Part H</t>
  </si>
  <si>
    <t>2P5</t>
  </si>
  <si>
    <t>SATA0_MPSWIT_M0</t>
  </si>
  <si>
    <t>CAN3_RX_M0</t>
  </si>
  <si>
    <t>PWM1_CH2_M1</t>
  </si>
  <si>
    <t>SPDIF_TX1_M1</t>
  </si>
  <si>
    <t>ETH1_PTP_REFCLK_M1</t>
  </si>
  <si>
    <t>GPIO1_D6</t>
  </si>
  <si>
    <t>SATA0_MPSWIT_M0/CAN3_RX_M0/PWM1_CH2_M1/SPDIF_TX1_M1/ETH1_PTP_REFCLK_M1/GPIO1_D6_d</t>
  </si>
  <si>
    <t>1AF7</t>
  </si>
  <si>
    <t>CLK1_32K_OUT</t>
  </si>
  <si>
    <t>CAN3_TX_M0</t>
  </si>
  <si>
    <t>I2C5_SDA_M1</t>
  </si>
  <si>
    <t>SPI2_CLK_M1</t>
  </si>
  <si>
    <t>UART7_CTSN_M0</t>
  </si>
  <si>
    <t>PDM_CLK1_M2</t>
  </si>
  <si>
    <t>SPDIF_TX0_M1</t>
  </si>
  <si>
    <t>ETH_CLK1_25M_OUT_M1</t>
  </si>
  <si>
    <t>GPIO1_D5</t>
  </si>
  <si>
    <t>CLK1_32K_OUT/CAN3_TX_M0/I2C5_SDA_M1/SPI2_CLK_M1/UART7_CTSN_M0/PDM_CLK1_M2/SPDIF_TX0_M1/ETH_CLK1_25M_OUT_M1/GPIO1_D5_d</t>
  </si>
  <si>
    <t>AR18</t>
  </si>
  <si>
    <t>I2C5_SCL_M1</t>
  </si>
  <si>
    <t>UART7_RTSN_M0</t>
  </si>
  <si>
    <t>PDM_SDI3_M2</t>
  </si>
  <si>
    <t>SAI2_MCLK_M0</t>
  </si>
  <si>
    <t>SPDIF_RX0_M1</t>
  </si>
  <si>
    <t>ETH1_MCLK_M1</t>
  </si>
  <si>
    <t>GPIO1_D4</t>
  </si>
  <si>
    <t>PWM1_CH5_M3/I2C5_SCL_M1/UART7_RTSN_M0/PDM_SDI3_M2/SAI2_MCLK_M0/SPDIF_RX0_M1/ETH1_MCLK_M1/GPIO1_D4_d</t>
  </si>
  <si>
    <t>1AD7</t>
  </si>
  <si>
    <t>SATA1_MPSWIT_M0</t>
  </si>
  <si>
    <t>PWM1_CH4_M1</t>
  </si>
  <si>
    <t>SAI2_SDI_M0</t>
  </si>
  <si>
    <t>ETH1_MDIO_M1</t>
  </si>
  <si>
    <t>GPIO1_D3</t>
  </si>
  <si>
    <t>1AE9</t>
  </si>
  <si>
    <t>SATA1_CPDET_M0</t>
  </si>
  <si>
    <t>PWM1_CH3_M1</t>
  </si>
  <si>
    <t>SAI2_LRCK_M0</t>
  </si>
  <si>
    <t>ETH1_MDC_M1</t>
  </si>
  <si>
    <t>GPIO1_D2</t>
  </si>
  <si>
    <t>1AD9</t>
  </si>
  <si>
    <t>SATA1_CPPOD_M0</t>
  </si>
  <si>
    <t>UART7_RX_M0</t>
  </si>
  <si>
    <t>SAI2_SCLK_M0</t>
  </si>
  <si>
    <t>ETH1_RXCTL_M1</t>
  </si>
  <si>
    <t>GPIO1_D1</t>
  </si>
  <si>
    <t>1AD11</t>
  </si>
  <si>
    <t>UART7_TX_M0</t>
  </si>
  <si>
    <t>SAI2_SDO_M0</t>
  </si>
  <si>
    <t>ETH1_RXD1_M1</t>
  </si>
  <si>
    <t>GPIO1_D0</t>
  </si>
  <si>
    <t>UART7_TX_M0/SAI2_SDO_M0/ETH1_RXD1_M1/GPIO1_D0_d</t>
  </si>
  <si>
    <t>1AF9</t>
  </si>
  <si>
    <t>HDMI_TX_SDA_M1</t>
  </si>
  <si>
    <t>I2C8_SDA_M1</t>
  </si>
  <si>
    <t>SPI2_CSN1_M1</t>
  </si>
  <si>
    <t>UART2_RX_M0</t>
  </si>
  <si>
    <t>PDM_SDI1_M2</t>
  </si>
  <si>
    <t>ETH1_RXD0_M1</t>
  </si>
  <si>
    <t>GPIO1_C7</t>
  </si>
  <si>
    <t>HDMI_TX_SDA_M1/I2C8_SDA_M1/SPI2_CSN1_M1/UART2_RX_M0/PDM_SDI1_M2/ETH1_RXD0_M1/GPIO1_C7_d</t>
  </si>
  <si>
    <t>1AF11</t>
  </si>
  <si>
    <t>HDMI_TX_SCL_M1</t>
  </si>
  <si>
    <t>I2C8_SCL_M1</t>
  </si>
  <si>
    <t>SPI2_CSN0_M1</t>
  </si>
  <si>
    <t>UART2_TX_M0</t>
  </si>
  <si>
    <t>PDM_SDI0_M2</t>
  </si>
  <si>
    <t>ETH1_TXCTL_M1</t>
  </si>
  <si>
    <t>GPIO1_C6</t>
  </si>
  <si>
    <t>HDMI_TX_SCL_M1/I2C8_SCL_M1/SPI2_CSN0_M1/UART2_TX_M0/PDM_SDI0_M2/ETH1_TXCTL_M1/GPIO1_C6_d</t>
  </si>
  <si>
    <t>1AE7</t>
  </si>
  <si>
    <t>SPI2_MISO_M1</t>
  </si>
  <si>
    <t>UART4_RX_M1</t>
  </si>
  <si>
    <t>UART2_CTSN_M0</t>
  </si>
  <si>
    <t>ETH1_TXD1_M1</t>
  </si>
  <si>
    <t>GPIO1_C5</t>
  </si>
  <si>
    <t>SPI2_MISO_M1/UART4_RX_M1/UART2_CTSN_M0/ETH1_TXD1_M1/GPIO1_C5_d</t>
  </si>
  <si>
    <t>AT18</t>
  </si>
  <si>
    <t>SPI2_MOSI_M1</t>
  </si>
  <si>
    <t>UART4_TX_M1</t>
  </si>
  <si>
    <t>UART2_RTSN_M0</t>
  </si>
  <si>
    <t>ETH1_TXD0_M1</t>
  </si>
  <si>
    <t>GPIO1_C4</t>
  </si>
  <si>
    <t>SPI2_MOSI_M1/UART4_TX_M1/UART2_RTSN_M0/ETH1_TXD0_M1/GPIO1_C4_d</t>
  </si>
  <si>
    <t>AT17</t>
  </si>
  <si>
    <t>SATA0_CPDET_M0</t>
  </si>
  <si>
    <t>CAN2_TX_M1</t>
  </si>
  <si>
    <t>I2C6_SDA_M1</t>
  </si>
  <si>
    <t>UART4_CTSN_M1</t>
  </si>
  <si>
    <t>SDMMC1_DETN_M0</t>
  </si>
  <si>
    <t>ETH1_PPSTRIG_M1</t>
  </si>
  <si>
    <t>GPIO1_C3</t>
  </si>
  <si>
    <t>up</t>
  </si>
  <si>
    <t>SATA0_CPDET_M0/CAN2_TX_M1/I2C6_SDA_M1/UART4_CTSN_M1/SDMMC1_DETN_M0/ETH1_PPSTRIG_M1/GPIO1_C3_d</t>
  </si>
  <si>
    <t>AR17</t>
  </si>
  <si>
    <t>SATA0_CPPOD_M0</t>
  </si>
  <si>
    <t>CAN2_RX_M1</t>
  </si>
  <si>
    <t>I2C6_SCL_M1</t>
  </si>
  <si>
    <t>UART4_RTSN_M1</t>
  </si>
  <si>
    <t>SDMMC1_PWREN</t>
  </si>
  <si>
    <t>ETH1_PPSCLK_M1</t>
  </si>
  <si>
    <t>GPIO1_C2</t>
  </si>
  <si>
    <t>SATA0_CPPOD_M0/CAN2_RX_M1/I2C6_SCL_M1/UART4_RTSN_M1/SDMMC1_PWREN/ETH1_PPSCLK_M1/GPIO1_C2_d</t>
  </si>
  <si>
    <t>1AE11</t>
  </si>
  <si>
    <t>UART3_RX_M2</t>
  </si>
  <si>
    <t>PDM_CLK0_M2</t>
  </si>
  <si>
    <t>SDMMC1_CLK</t>
  </si>
  <si>
    <t>ETH1_TXCLK_M1</t>
  </si>
  <si>
    <t>GPIO1_C1</t>
  </si>
  <si>
    <t>UART3_RX_M2/PDM_CLK0_M2/SDMMC1_CLK/ETH1_TXCLK_M1/GPIO1_C1_d</t>
  </si>
  <si>
    <t>AR15</t>
  </si>
  <si>
    <t>PWM0_CH0_M1</t>
  </si>
  <si>
    <t>SPI1_CSN1_M0</t>
  </si>
  <si>
    <t>UART3_TX_M2</t>
  </si>
  <si>
    <t>PDM_SDI2_M2</t>
  </si>
  <si>
    <t>SAI4_SCLK_M1</t>
  </si>
  <si>
    <t>SDMMC1_CMD</t>
  </si>
  <si>
    <t>ETH1_TXD3_M1</t>
  </si>
  <si>
    <t>GPIO1_C0</t>
  </si>
  <si>
    <t>PWM0_CH0_M1/SPI1_CSN1_M0/UART3_TX_M2/PDM_SDI2_M2/SAI4_SCLK_M1/SDMMC1_CMD/ETH1_TXD3_M1/GPIO1_C0_d</t>
  </si>
  <si>
    <t>AR16</t>
  </si>
  <si>
    <t>SPI1_CSN0_M0</t>
  </si>
  <si>
    <t>UART3_RTSN_M2</t>
  </si>
  <si>
    <t>SAI4_SDO_M1</t>
  </si>
  <si>
    <t>SDMMC1_D3</t>
  </si>
  <si>
    <t>ETH1_TXD2_M1</t>
  </si>
  <si>
    <t>GPIO1_B7</t>
  </si>
  <si>
    <t>SPI1_CSN0_M0/UART3_RTSN_M2/SAI4_SDO_M1/SDMMC1_D3/ETH1_TXD2_M1/GPIO1_B7_d</t>
  </si>
  <si>
    <t>AT15</t>
  </si>
  <si>
    <t>PCIE0_CLKREQN_M1</t>
  </si>
  <si>
    <t>SPI1_MISO_M0</t>
  </si>
  <si>
    <t>UART3_CTSN_M2</t>
  </si>
  <si>
    <t>SAI4_SDI_M1</t>
  </si>
  <si>
    <t>SDMMC1_D2</t>
  </si>
  <si>
    <t>ETH1_RXCLK_M1</t>
  </si>
  <si>
    <t>GPIO1_B6</t>
  </si>
  <si>
    <t>PCIE0_CLKREQN_M1/SPI1_MISO_M0/UART3_CTSN_M2/SAI4_SDI_M1/SDMMC1_D2/ETH1_RXCLK_M1/GPIO1_B6_d</t>
  </si>
  <si>
    <t>AT14</t>
  </si>
  <si>
    <t>PWM1_CH1_M1</t>
  </si>
  <si>
    <t>I2C9_SCL_M1</t>
  </si>
  <si>
    <t>SPI1_MOSI_M0</t>
  </si>
  <si>
    <t>SAI4_LRCK_M1</t>
  </si>
  <si>
    <t>SDMMC1_D1</t>
  </si>
  <si>
    <t>ETH1_RXD3_M1</t>
  </si>
  <si>
    <t>GPIO1_B5</t>
  </si>
  <si>
    <t>PWM1_CH1_M1/I2C9_SCL_M1/SPI1_MOSI_M0/SAI4_LRCK_M1/SDMMC1_D1/ETH1_RXD3_M1/GPIO1_B5_d</t>
  </si>
  <si>
    <t>AR13</t>
  </si>
  <si>
    <t>PCIE1_CLKREQN_M1</t>
  </si>
  <si>
    <t>PWM1_CH0_M1</t>
  </si>
  <si>
    <t>I2C9_SDA_M1</t>
  </si>
  <si>
    <t>SPI1_CLK_M0</t>
  </si>
  <si>
    <t>SAI4_MCLK_M1</t>
  </si>
  <si>
    <t>SDMMC1_D0</t>
  </si>
  <si>
    <t>ETH1_RXD2_M1</t>
  </si>
  <si>
    <t>GPIO1_B4</t>
  </si>
  <si>
    <t>PCIE1_CLKREQN_M1/PWM1_CH0_M1/I2C9_SDA_M1/SPI1_CLK_M0/SAI4_MCLK_M1/SDMMC1_D0/ETH1_RXD2_M1/GPIO1_B4_d</t>
  </si>
  <si>
    <t>AR14</t>
  </si>
  <si>
    <t>Part G</t>
  </si>
  <si>
    <t>2D2</t>
  </si>
  <si>
    <t>CAN1_TX_M2</t>
  </si>
  <si>
    <t>PCIE0_CLKREQN_M2</t>
  </si>
  <si>
    <t>I2C3_SCL_M0</t>
  </si>
  <si>
    <t>UART5_TX_M1</t>
  </si>
  <si>
    <t>SPDIF_TX0_M0</t>
  </si>
  <si>
    <t>ETH0_TXD3</t>
  </si>
  <si>
    <t>GPIO2_C3</t>
  </si>
  <si>
    <t>CAN1_TX_M2/PCIE0_CLKREQN_M2/I2C3_SCL_M0/UART5_TX_M1/SPDIF_TX0_M0/ETH0_TXD3/GPIO2_C3_d</t>
  </si>
  <si>
    <t>B5</t>
  </si>
  <si>
    <t>CAN1_RX_M2</t>
  </si>
  <si>
    <t>MIPI_TE_M0</t>
  </si>
  <si>
    <t>I2C3_SDA_M0</t>
  </si>
  <si>
    <t>UART5_RX_M1</t>
  </si>
  <si>
    <t>SAI0_SDI3_M2</t>
  </si>
  <si>
    <t>SPDIF_RX0_M0</t>
  </si>
  <si>
    <t>ETH0_TXD2</t>
  </si>
  <si>
    <t>GPIO2_C2</t>
  </si>
  <si>
    <t>CAN1_RX_M2/MIPI_TE_M0/I2C3_SDA_M0/UART5_RX_M1/SAI0_SDI3_M2/SPDIF_RX0_M0/ETH0_TXD2/GPIO2_C2_d</t>
  </si>
  <si>
    <t>A5</t>
  </si>
  <si>
    <t>PWM2_CH7_M0</t>
  </si>
  <si>
    <t>SPI3_CSN1_M2</t>
  </si>
  <si>
    <t>SPI4_CSN0_M2</t>
  </si>
  <si>
    <t>UART5_CTSN_M1</t>
  </si>
  <si>
    <t>PDM_SDI0_M1</t>
  </si>
  <si>
    <t>SAI0_SDO0_M2</t>
  </si>
  <si>
    <t>SAI1_SDI0_M0</t>
  </si>
  <si>
    <t>VI_CIF_D8</t>
  </si>
  <si>
    <t>ETH0_RXD2</t>
  </si>
  <si>
    <t>GPIO2_C1</t>
  </si>
  <si>
    <t>PWM2_CH7_M0/SPI3_CSN1_M2/SPI4_CSN0_M2/UART5_CTSN_M1/PDM_SDI0_M1/SAI0_SDO0_M2/SAI1_SDI0_M0/VI_CIF_D8/ETH0_RXD2/GPIO2_C1_d</t>
  </si>
  <si>
    <t>1B4</t>
  </si>
  <si>
    <t>SPI4_MISO_M2</t>
  </si>
  <si>
    <t>UART5_RTSN_M1</t>
  </si>
  <si>
    <t>PDM_SDI1_M1</t>
  </si>
  <si>
    <t>SAI1_SDI1_M0</t>
  </si>
  <si>
    <t>SAI1_SDO3_M0</t>
  </si>
  <si>
    <t>VI_CIF_D9</t>
  </si>
  <si>
    <t>ETH0_RXD3</t>
  </si>
  <si>
    <t>GPIO2_C0</t>
  </si>
  <si>
    <t>SPI4_MISO_M2/UART5_RTSN_M1/PDM_SDI1_M1/SAI1_SDI1_M0/SAI1_SDO3_M0/VI_CIF_D9/ETH0_RXD3/GPIO2_C0_d</t>
  </si>
  <si>
    <t>1C4</t>
  </si>
  <si>
    <t>UART2_CTSN_M1</t>
  </si>
  <si>
    <t>SPI4_MOSI_M2</t>
  </si>
  <si>
    <t>UART11_RX_M1</t>
  </si>
  <si>
    <t>PDM_SDI2_M1</t>
  </si>
  <si>
    <t>SAI1_SDI2_M0</t>
  </si>
  <si>
    <t>SAI1_SDO2_M0</t>
  </si>
  <si>
    <t>VI_CIF_D10</t>
  </si>
  <si>
    <t>ETH0_PPSTRIG</t>
  </si>
  <si>
    <t>GPIO2_B7</t>
  </si>
  <si>
    <t>UART2_CTSN_M1/SPI4_MOSI_M2/UART11_RX_M1/PDM_SDI2_M1/SAI1_SDI2_M0/SAI1_SDO2_M0/VI_CIF_D10/ETH0_PPSTRIG/GPIO2_B7_d</t>
  </si>
  <si>
    <t>A4</t>
  </si>
  <si>
    <t>UART2_RTSN_M1</t>
  </si>
  <si>
    <t>SPI4_CLK_M2</t>
  </si>
  <si>
    <t>UART11_TX_M1</t>
  </si>
  <si>
    <t>PDM_SDI3_M1</t>
  </si>
  <si>
    <t>SAI1_SDI3_M0</t>
  </si>
  <si>
    <t>SAI1_SDO1_M0</t>
  </si>
  <si>
    <t>VI_CIF_D11</t>
  </si>
  <si>
    <t>ETH0_PPSCLK</t>
  </si>
  <si>
    <t>GPIO2_B6</t>
  </si>
  <si>
    <t>UART2_RTSN_M1/SPI4_CLK_M2/UART11_TX_M1/PDM_SDI3_M1/SAI1_SDI3_M0/SAI1_SDO1_M0/VI_CIF_D11/ETH0_PPSCLK/GPIO2_B6_d</t>
  </si>
  <si>
    <t>1D3</t>
  </si>
  <si>
    <t>PWM2_CH6_M0</t>
  </si>
  <si>
    <t>SPI3_CLK_M2</t>
  </si>
  <si>
    <t>UART2_TX_M1</t>
  </si>
  <si>
    <t>SAI0_SDI0_M2</t>
  </si>
  <si>
    <t>SAI1_SDO0_M0</t>
  </si>
  <si>
    <t>VI_CIF_D12</t>
  </si>
  <si>
    <t>ETH0_PTP_REFCLK</t>
  </si>
  <si>
    <t>GPIO2_B5</t>
  </si>
  <si>
    <t>PWM2_CH6_M0/SPI3_CLK_M2/UART2_TX_M1/SAI0_SDI0_M2/SAI1_SDO0_M0/VI_CIF_D12/ETH0_PTP_REFCLK/GPIO2_B5_d</t>
  </si>
  <si>
    <t>B4</t>
  </si>
  <si>
    <t>I2C4_SDA_M1</t>
  </si>
  <si>
    <t>SPI3_MISO_M2</t>
  </si>
  <si>
    <t>UART2_RX_M1</t>
  </si>
  <si>
    <t>PDM_CLK1_M1</t>
  </si>
  <si>
    <t>SAI0_LRCK_M2</t>
  </si>
  <si>
    <t>SPDIF_TX1_M0</t>
  </si>
  <si>
    <t>VI_CIF_D13</t>
  </si>
  <si>
    <t>GPIO2_B4</t>
  </si>
  <si>
    <t>I2C4_SDA_M1/SPI3_MISO_M2/UART2_RX_M1/PDM_CLK1_M1/SAI0_LRCK_M2/SPDIF_TX1_M0/VI_CIF_D13/GPIO2_B4_d</t>
  </si>
  <si>
    <t>1B2</t>
  </si>
  <si>
    <t>CAN0_RX_M2</t>
  </si>
  <si>
    <t>PCIE1_CLKREQN_M2</t>
  </si>
  <si>
    <t>I2C2_SDA_M2</t>
  </si>
  <si>
    <t>SPI4_CSN1_M2</t>
  </si>
  <si>
    <t>UART9_RX_M2</t>
  </si>
  <si>
    <t>SAI0_SDI2_M2</t>
  </si>
  <si>
    <t>SAI1_LRCK_M0</t>
  </si>
  <si>
    <t>VI_CIF_D14</t>
  </si>
  <si>
    <t>UART6_CTSN_M0</t>
  </si>
  <si>
    <t>GPIO2_B3</t>
  </si>
  <si>
    <t>CAN0_RX_M2/PCIE1_CLKREQN_M2/I2C2_SDA_M2/SPI4_CSN1_M2/UART9_RX_M2/SAI0_SDI2_M2/SAI1_LRCK_M0/VI_CIF_D14/UART6_CTSN_M0/GPIO2_B3_d</t>
  </si>
  <si>
    <t>1D2</t>
  </si>
  <si>
    <t>I2C4_SCL_M1</t>
  </si>
  <si>
    <t>SPI3_MOSI_M2</t>
  </si>
  <si>
    <t>UART9_TX_M2</t>
  </si>
  <si>
    <t>PDM_CLK0_M1</t>
  </si>
  <si>
    <t>SAI0_SCLK_M2</t>
  </si>
  <si>
    <t>VI_CIF_D15</t>
  </si>
  <si>
    <t>UART6_RTSN_M0</t>
  </si>
  <si>
    <t>GPIO2_B2</t>
  </si>
  <si>
    <t>I2C4_SCL_M1/SPI3_MOSI_M2/UART9_TX_M2/PDM_CLK0_M1/SAI0_SCLK_M2/VI_CIF_D15/UART6_RTSN_M0/GPIO2_B2_d</t>
  </si>
  <si>
    <t>B3</t>
  </si>
  <si>
    <t>CAN0_TX_M2</t>
  </si>
  <si>
    <t>PWM2_CH4_M1</t>
  </si>
  <si>
    <t>I2C2_SCL_M2</t>
  </si>
  <si>
    <t>SPI3_CSN0_M2</t>
  </si>
  <si>
    <t>UART6_TX_M0</t>
  </si>
  <si>
    <t>SAI0_SDI1_M2</t>
  </si>
  <si>
    <t>SAI1_SCLK_M0</t>
  </si>
  <si>
    <t>GPIO2_B1</t>
  </si>
  <si>
    <t>CAN0_TX_M2/PWM2_CH4_M1/I2C2_SCL_M2/SPI3_CSN0_M2/UART6_TX_M0/SAI0_SDI1_M2/SAI1_SCLK_M0/GPIO2_B1_d</t>
  </si>
  <si>
    <t>1A2</t>
  </si>
  <si>
    <t>PWM2_CH5_M0</t>
  </si>
  <si>
    <t>UART6_RX_M0</t>
  </si>
  <si>
    <t>SAI0_MCLK_M2</t>
  </si>
  <si>
    <t>SAI1_MCLK_M0</t>
  </si>
  <si>
    <t>GPIO2_B0</t>
  </si>
  <si>
    <t>PWM2_CH5_M0/UART6_RX_M0/SAI0_MCLK_M2/SAI1_MCLK_M0/GPIO2_B0_d</t>
  </si>
  <si>
    <t>1D1</t>
  </si>
  <si>
    <t>Part F</t>
  </si>
  <si>
    <t>2J12</t>
  </si>
  <si>
    <t>2J11</t>
  </si>
  <si>
    <t>2G10</t>
  </si>
  <si>
    <t>JTAG_TMS_M1</t>
  </si>
  <si>
    <t>UART0_RX_M0</t>
  </si>
  <si>
    <t>GPIO0_D5</t>
  </si>
  <si>
    <t>JTAG_TMS_M1/UART0_RX_M0/GPIO0_D5_u</t>
  </si>
  <si>
    <t>V32</t>
  </si>
  <si>
    <t>JTAG_TCK_M1</t>
  </si>
  <si>
    <t>UART0_TX_M0</t>
  </si>
  <si>
    <t>GPIO0_D4</t>
  </si>
  <si>
    <t>JTAG_TCK_M1/UART0_TX_M0/GPIO0_D4_u</t>
  </si>
  <si>
    <t>U33</t>
  </si>
  <si>
    <t>PWM2_CH0_M0</t>
  </si>
  <si>
    <t>I2C4_SDA_M0</t>
  </si>
  <si>
    <t>UART1_RTSN_M0</t>
  </si>
  <si>
    <t>PDM_SDI3_M0</t>
  </si>
  <si>
    <t>SAI0_SDO1_M1</t>
  </si>
  <si>
    <t>SAI0_SDI3_M1</t>
  </si>
  <si>
    <t>GPU_AVS</t>
  </si>
  <si>
    <t>GPIO0_D3</t>
  </si>
  <si>
    <t>PWM2_CH0_M0/I2C4_SDA_M0/UART1_RTSN_M0/PDM_SDI3_M0/SAI0_SDO1_M1/SAI0_SDI3_M1/GPU_AVS/GPIO0_D3_d</t>
  </si>
  <si>
    <t>1P23</t>
  </si>
  <si>
    <t>PWM1_CH5_M0</t>
  </si>
  <si>
    <t>I2C4_SCL_M0</t>
  </si>
  <si>
    <t>UART1_CTSN_M0</t>
  </si>
  <si>
    <t>PDM_SDI2_M0</t>
  </si>
  <si>
    <t>SAI0_SDO2_M1</t>
  </si>
  <si>
    <t>SAI0_SDI2_M1</t>
  </si>
  <si>
    <t>CPUBIG_AVS</t>
  </si>
  <si>
    <t>GPIO0_D2</t>
  </si>
  <si>
    <t>PWM1_CH5_M0/I2C4_SCL_M0/UART1_CTSN_M0/PDM_SDI2_M0/SAI0_SDO2_M1/SAI0_SDI2_M1/CPUBIG_AVS/GPIO0_D2_d</t>
  </si>
  <si>
    <t>1P22</t>
  </si>
  <si>
    <t>UART11_RX_M0</t>
  </si>
  <si>
    <t>PDM_SDI1_M0</t>
  </si>
  <si>
    <t>SAI0_SDO3_M1</t>
  </si>
  <si>
    <t>SAI0_SDI1_M1</t>
  </si>
  <si>
    <t>SPI0_MISO_M0</t>
  </si>
  <si>
    <t>GPIO0_D1</t>
  </si>
  <si>
    <t>UART11_RX_M0/PDM_SDI1_M0/SAI0_SDO3_M1/SAI0_SDI1_M1/SPI0_MISO_M0/GPIO0_D1_d</t>
  </si>
  <si>
    <t>1P21</t>
  </si>
  <si>
    <t>UART11_TX_M0</t>
  </si>
  <si>
    <t>PDM_SDI0_M0</t>
  </si>
  <si>
    <t>SAI0_SDI0_M1</t>
  </si>
  <si>
    <t>SPI0_MOSI_M0</t>
  </si>
  <si>
    <t>GPIO0_D0</t>
  </si>
  <si>
    <t>UART11_TX_M0/PDM_SDI0_M0/SAI0_SDI0_M1/SPI0_MOSI_M0/GPIO0_D0_d</t>
  </si>
  <si>
    <t>1P20</t>
  </si>
  <si>
    <t>I2C3_SDA_M1</t>
  </si>
  <si>
    <t>UART8_CTSN_M1</t>
  </si>
  <si>
    <t>SAI0_LRCK_M1</t>
  </si>
  <si>
    <t>SPI0_CLK_M0</t>
  </si>
  <si>
    <t>GPIO0_C7</t>
  </si>
  <si>
    <t>I2C3_SDA_M1/UART8_CTSN_M1/SAI0_LRCK_M1/SPI0_CLK_M0/GPIO0_C7_d</t>
  </si>
  <si>
    <t>1T23</t>
  </si>
  <si>
    <t>I2C3_SCL_M1</t>
  </si>
  <si>
    <t>UART8_RTSN_M1</t>
  </si>
  <si>
    <t>SAI0_SCLK_M1</t>
  </si>
  <si>
    <t>SPI0_CSN0_M0</t>
  </si>
  <si>
    <t>GPIO0_C6</t>
  </si>
  <si>
    <t>I2C3_SCL_M1/UART8_RTSN_M1/SAI0_SCLK_M1/SPI0_CSN0_M0/GPIO0_C6_d</t>
  </si>
  <si>
    <t>1T22</t>
  </si>
  <si>
    <t>UART10_RX_M2</t>
  </si>
  <si>
    <t>SAI0_SDO0_M1</t>
  </si>
  <si>
    <t>GPIO0_C5</t>
  </si>
  <si>
    <t>1T21</t>
  </si>
  <si>
    <t>PWM0_CH0_M0</t>
  </si>
  <si>
    <t>UART10_TX_M2</t>
  </si>
  <si>
    <t>PDM_CLK0_M0</t>
  </si>
  <si>
    <t>SAI0_MCLK_M1</t>
  </si>
  <si>
    <t>GPIO0_C4</t>
  </si>
  <si>
    <t>PWM0_CH0_M0/UART10_TX_M2/PDM_CLK0_M0/SAI0_MCLK_M1/GPIO0_C4_d</t>
  </si>
  <si>
    <t>1T20</t>
  </si>
  <si>
    <t>PWM0_CH1_M0</t>
  </si>
  <si>
    <t>PDM_CLK1_M0</t>
  </si>
  <si>
    <t>HDMI_TX_CEC_M1</t>
  </si>
  <si>
    <t>SPI0_CSN1_M0</t>
  </si>
  <si>
    <t>GPIO0_C3</t>
  </si>
  <si>
    <t>PWM0_CH1_M0/PDM_CLK1_M0/HDMI_TX_CEC_M1/SPI0_CSN1_M0/GPIO0_C3_d</t>
  </si>
  <si>
    <t>W33</t>
  </si>
  <si>
    <t>I2C0_SDA_M1</t>
  </si>
  <si>
    <t>UART8_RX_M1</t>
  </si>
  <si>
    <t>GPIO0_C2</t>
  </si>
  <si>
    <t>W32</t>
  </si>
  <si>
    <t>I2C0_SCL_M1</t>
  </si>
  <si>
    <t>UART8_TX_M1</t>
  </si>
  <si>
    <t>GPIO0_C1</t>
  </si>
  <si>
    <t>Y33</t>
  </si>
  <si>
    <t>PWM1_CH3_M0</t>
  </si>
  <si>
    <t>I2C2_SDA_M0</t>
  </si>
  <si>
    <t>UART1_RX_M0</t>
  </si>
  <si>
    <t>CPULIT_AVS</t>
  </si>
  <si>
    <t>GPIO0_C0</t>
  </si>
  <si>
    <t>PWM1_CH3_M0/I2C2_SDA_M0/UART1_RX_M0/CPULIT_AVS/GPIO0_C0_d</t>
  </si>
  <si>
    <t>Y32</t>
  </si>
  <si>
    <t>PWM1_CH4_M0</t>
  </si>
  <si>
    <t>I2C2_SCL_M0</t>
  </si>
  <si>
    <t>UART1_TX_M0</t>
  </si>
  <si>
    <t>NPU_AVS</t>
  </si>
  <si>
    <t>GPIO0_B7</t>
  </si>
  <si>
    <t>PWM1_CH4_M0/I2C2_SCL_M0/UART1_TX_M0/NPU_AVS/GPIO0_B7_d</t>
  </si>
  <si>
    <t>AA32</t>
  </si>
  <si>
    <t>PWM1_CH2_M0</t>
  </si>
  <si>
    <t>SDMMC1_DETN_M1</t>
  </si>
  <si>
    <t>HDMI_TX_HPDIN_M1</t>
  </si>
  <si>
    <t>EDP_TX_HPDIN_M1</t>
  </si>
  <si>
    <t>GPIO0_B6</t>
  </si>
  <si>
    <t>AB33</t>
  </si>
  <si>
    <t>PWM1_CH1_M0</t>
  </si>
  <si>
    <t>I2C1_SDA_M1</t>
  </si>
  <si>
    <t>UART4_RX_M2</t>
  </si>
  <si>
    <t>REF_CLK2_OUT</t>
  </si>
  <si>
    <t>GPIO0_B5</t>
  </si>
  <si>
    <t>PWM1_CH1_M0/I2C1_SDA_M1/UART4_RX_M2/REF_CLK2_OUT/GPIO0_B5_d</t>
  </si>
  <si>
    <t>AB32</t>
  </si>
  <si>
    <t>PWM1_CH0_M0</t>
  </si>
  <si>
    <t>I2C1_SCL_M1</t>
  </si>
  <si>
    <t>UART4_TX_M2</t>
  </si>
  <si>
    <t>REF_CLK1_OUT</t>
  </si>
  <si>
    <t>GPIO0_B4</t>
  </si>
  <si>
    <t>PWM1_CH0_M0/I2C1_SCL_M1/UART4_TX_M2/REF_CLK1_OUT/GPIO0_B4_d</t>
  </si>
  <si>
    <t>AC33</t>
  </si>
  <si>
    <t>2G11</t>
  </si>
  <si>
    <t>I2C1_SDA_M0</t>
  </si>
  <si>
    <t>SPI2_MOSI_M0</t>
  </si>
  <si>
    <t>GPIO0_B3</t>
  </si>
  <si>
    <t>100/50/33/25</t>
  </si>
  <si>
    <t>10~50K@1.8V</t>
  </si>
  <si>
    <t>high-z</t>
  </si>
  <si>
    <t>I2C1_SDA_M0/SPI2_MOSI_M0/GPIO0_B3_z</t>
  </si>
  <si>
    <t>1M23</t>
  </si>
  <si>
    <t>I2C1_SCL_M0</t>
  </si>
  <si>
    <t>SPI2_CLK_M0</t>
  </si>
  <si>
    <t>GPIO0_B2</t>
  </si>
  <si>
    <t>I2C1_SCL_M0/SPI2_CLK_M0/GPIO0_B2_z</t>
  </si>
  <si>
    <t>T32</t>
  </si>
  <si>
    <t>I2C0_SDA_M0</t>
  </si>
  <si>
    <t>SPI2_MISO_M0</t>
  </si>
  <si>
    <t>GPIO0_B1</t>
  </si>
  <si>
    <t>I2C0_SDA_M0/SPI2_MISO_M0/GPIO0_B1_z</t>
  </si>
  <si>
    <t>U32</t>
  </si>
  <si>
    <t>I2C0_SCL_M0</t>
  </si>
  <si>
    <t>SPI2_CSN0_M0</t>
  </si>
  <si>
    <t>GPIO0_B0</t>
  </si>
  <si>
    <t>I2C0_SCL_M0/SPI2_CSN0_M0/GPIO0_B0_z</t>
  </si>
  <si>
    <t>1K21</t>
  </si>
  <si>
    <t>SPI2_CSN1_M0</t>
  </si>
  <si>
    <t>SDMMC0_DETN_M0</t>
  </si>
  <si>
    <t>GPIO0_A7</t>
  </si>
  <si>
    <t>SPI2_CSN1_M0/SDMMC0_DETN_M0/GPIO0_A7_u</t>
  </si>
  <si>
    <t>T33</t>
  </si>
  <si>
    <t>PMIC_INT</t>
  </si>
  <si>
    <t>GPIO0_A6</t>
  </si>
  <si>
    <t>1K23</t>
  </si>
  <si>
    <t>I2C6_SDA_M0</t>
  </si>
  <si>
    <t>PWR_CTRL3</t>
  </si>
  <si>
    <t>GPIO0_A5</t>
  </si>
  <si>
    <t>I2C6_SDA_M0/PWR_CTRL3/GPIO0_A5_z</t>
  </si>
  <si>
    <t>1M20</t>
  </si>
  <si>
    <t>PWR_CTRL2</t>
  </si>
  <si>
    <t>GPIO0_A4</t>
  </si>
  <si>
    <t>1M21</t>
  </si>
  <si>
    <t>RST_OUT_M1</t>
  </si>
  <si>
    <t>PWR_CTRL1</t>
  </si>
  <si>
    <t>GPIO0_A3</t>
  </si>
  <si>
    <t>RST_OUT_M1/PWR_CTRL1/GPIO0_A3_d</t>
  </si>
  <si>
    <t>1M22</t>
  </si>
  <si>
    <t>I2C6_SCL_M0</t>
  </si>
  <si>
    <t>CLK0_32K_OUT</t>
  </si>
  <si>
    <t>CLK_32K_IN</t>
  </si>
  <si>
    <t>GPIO0_A2</t>
  </si>
  <si>
    <t>I2C6_SCL_M0/CLK0_32K_OUT/CLK_32K_IN/GPIO0_A2_d</t>
  </si>
  <si>
    <t>1K22</t>
  </si>
  <si>
    <t>RST_OUT_M0</t>
  </si>
  <si>
    <t>GPIO0_A1</t>
  </si>
  <si>
    <t>RST_OUT_M0/GPIO0_A1_z</t>
  </si>
  <si>
    <t>R32</t>
  </si>
  <si>
    <t>REF_CLK0_OUT</t>
  </si>
  <si>
    <t>AUPLL_CLK_IN/REF_CLK0_OUT/GPIO0_A0_d</t>
  </si>
  <si>
    <t>1K20</t>
  </si>
  <si>
    <t>G</t>
    <phoneticPr fontId="12" type="noConversion"/>
  </si>
  <si>
    <t>2F10</t>
  </si>
  <si>
    <t>NPOR</t>
  </si>
  <si>
    <t>NA</t>
  </si>
  <si>
    <t>P32</t>
  </si>
  <si>
    <t>G</t>
    <phoneticPr fontId="12" type="noConversion"/>
  </si>
  <si>
    <t>2A12</t>
  </si>
  <si>
    <t>API</t>
    <phoneticPr fontId="12" type="noConversion"/>
  </si>
  <si>
    <t>2B12</t>
  </si>
  <si>
    <t>2B11</t>
  </si>
  <si>
    <t>2F12</t>
  </si>
  <si>
    <t>AI</t>
    <phoneticPr fontId="12" type="noConversion"/>
  </si>
  <si>
    <t>N32</t>
  </si>
  <si>
    <t>O</t>
    <phoneticPr fontId="12" type="noConversion"/>
  </si>
  <si>
    <t>AO</t>
    <phoneticPr fontId="12" type="noConversion"/>
  </si>
  <si>
    <t>N33</t>
  </si>
  <si>
    <t>Part E</t>
  </si>
  <si>
    <t>2B2</t>
  </si>
  <si>
    <t>CAN2_TX_M0</t>
  </si>
  <si>
    <t>I2C5_SCL_M0</t>
  </si>
  <si>
    <t>SPI0_CLK_M1</t>
  </si>
  <si>
    <t>UART5_TX_M2</t>
  </si>
  <si>
    <t>TEST_CLK_OUT</t>
  </si>
  <si>
    <t>SAI3_SCLK_M1</t>
  </si>
  <si>
    <t>SDMMC0_CLK_M0</t>
  </si>
  <si>
    <t>FSPI1_CLK_M0</t>
  </si>
  <si>
    <t>GPIO2_A5</t>
  </si>
  <si>
    <t>CAN2_TX_M0/I2C5_SCL_M0/SPI0_CLK_M1/UART5_TX_M2/TEST_CLK_OUT/SAI3_SCLK_M1/SDMMC0_CLK_M0/FSPI1_CLK_M0/GPIO2_A5_d</t>
  </si>
  <si>
    <t>1C8</t>
  </si>
  <si>
    <t>PWM2_CH4_M0</t>
  </si>
  <si>
    <t>I2C5_SDA_M0</t>
  </si>
  <si>
    <t>SPI0_CSN0_M1</t>
  </si>
  <si>
    <t>UART5_RX_M2</t>
  </si>
  <si>
    <t>FSPI1_CSN0_M0</t>
  </si>
  <si>
    <t>CAN2_RX_M0/PWM2_CH4_M0/I2C5_SDA_M0/SPI0_CSN0_M1/UART5_RX_M2/SAI3_SDO_M1/SDMMC0_CMD_M0/FSPI1_CSN0_M0/GPIO2_A4_z</t>
  </si>
  <si>
    <t>1B8</t>
  </si>
  <si>
    <t>CAN0_TX_M0</t>
  </si>
  <si>
    <t>JTAG_TMS_M0</t>
  </si>
  <si>
    <t>UART5_CTSN_M2</t>
  </si>
  <si>
    <t>SAI3_SDI_M1</t>
  </si>
  <si>
    <t>DSM_AUD_RN_M0</t>
  </si>
  <si>
    <t>SDMMC0_D3_M0</t>
  </si>
  <si>
    <t>FSPI1_D3_M0</t>
  </si>
  <si>
    <t>GPIO2_A3</t>
  </si>
  <si>
    <t>CAN0_TX_M0/JTAG_TMS_M0/UART5_CTSN_M2/SAI3_SDI_M1/DSM_AUD_RN_M0/SDMMC0_D3_M0/FSPI1_D3_M0/GPIO2_A3_d</t>
  </si>
  <si>
    <t>1A8</t>
  </si>
  <si>
    <t>CAN0_RX_M0</t>
  </si>
  <si>
    <t>JTAG_TCK_M0</t>
  </si>
  <si>
    <t>SPI0_CSN1_M1</t>
  </si>
  <si>
    <t>UART5_RTSN_M2</t>
  </si>
  <si>
    <t>SAI3_LRCK_M1</t>
  </si>
  <si>
    <t>DSM_AUD_RP_M0</t>
  </si>
  <si>
    <t>SDMMC0_D2_M0</t>
  </si>
  <si>
    <t>FSPI1_D2_M0</t>
  </si>
  <si>
    <t>GPIO2_A2</t>
  </si>
  <si>
    <t>CAN0_RX_M0/JTAG_TCK_M0/SPI0_CSN1_M1/UART5_RTSN_M2/SAI3_LRCK_M1/DSM_AUD_RP_M0/SDMMC0_D2_M0/FSPI1_D2_M0/GPIO2_A2_d</t>
  </si>
  <si>
    <t>B11</t>
  </si>
  <si>
    <t>CAN1_TX_M0</t>
  </si>
  <si>
    <t>PWM2_CH3_M0</t>
  </si>
  <si>
    <t>I2C8_SDA_M0</t>
  </si>
  <si>
    <t>SPI0_MISO_M1</t>
  </si>
  <si>
    <t>UART0_TX_M1</t>
  </si>
  <si>
    <t>UART7_TX_M2</t>
  </si>
  <si>
    <t>SAI3_MCLK_M1</t>
  </si>
  <si>
    <t>DSM_AUD_LN_M0</t>
  </si>
  <si>
    <t>SDMMC0_D1_M0</t>
  </si>
  <si>
    <t>FSPI1_D1_M0</t>
  </si>
  <si>
    <t>GPIO2_A1</t>
  </si>
  <si>
    <t>CAN1_TX_M0/PWM2_CH3_M0/I2C8_SDA_M0/SPI0_MISO_M1/UART0_TX_M1/UART7_TX_M2/SAI3_MCLK_M1/DSM_AUD_LN_M0/SDMMC0_D1_M0/FSPI1_D1_M0/GPIO2_A1_d</t>
  </si>
  <si>
    <t>1A10</t>
  </si>
  <si>
    <t>CAN1_RX_M0</t>
  </si>
  <si>
    <t>PWM2_CH2_M0</t>
  </si>
  <si>
    <t>I2C8_SCL_M0</t>
  </si>
  <si>
    <t>SPI0_MOSI_M1</t>
  </si>
  <si>
    <t>UART0_RX_M1</t>
  </si>
  <si>
    <t>UART7_RX_M2</t>
  </si>
  <si>
    <t>DSM_AUD_LP_M0</t>
  </si>
  <si>
    <t>SDMMC0_D0_M0</t>
  </si>
  <si>
    <t>FSPI1_D0_M0</t>
  </si>
  <si>
    <t>GPIO2_A0</t>
  </si>
  <si>
    <t>CAN1_RX_M0/PWM2_CH2_M0/I2C8_SCL_M0/SPI0_MOSI_M1/UART0_RX_M1/UART7_RX_M2/DSM_AUD_LP_M0/SDMMC0_D0_M0/FSPI1_D0_M0/GPIO2_A0_d</t>
  </si>
  <si>
    <t>1D8</t>
  </si>
  <si>
    <t>Part D</t>
  </si>
  <si>
    <t>2P2</t>
  </si>
  <si>
    <t>I2C7_SDA_M0</t>
  </si>
  <si>
    <t>PWM2_CH1_M0</t>
  </si>
  <si>
    <t>UART6_RX_M2</t>
  </si>
  <si>
    <t>MIPI_TE_M3</t>
  </si>
  <si>
    <t>FSPI0_CSN0</t>
  </si>
  <si>
    <t>EMMC_RSTN</t>
  </si>
  <si>
    <t>GPIO1_B3</t>
  </si>
  <si>
    <t>I2C7_SDA_M0/PWM2_CH1_M0/UART6_RX_M2/MIPI_TE_M3/FSPI0_CSN0/EMMC_RSTN/GPIO1_B3_u</t>
  </si>
  <si>
    <t>1AF5</t>
  </si>
  <si>
    <t>SPI0_CSN1_M2</t>
  </si>
  <si>
    <t>SAI4_SDI0_M0</t>
  </si>
  <si>
    <t>SAI3_SDO_M0</t>
  </si>
  <si>
    <t>FSPI0_DQS</t>
  </si>
  <si>
    <t>EMMC_STRB</t>
  </si>
  <si>
    <t>GPIO1_B2</t>
  </si>
  <si>
    <t>SPI0_CSN1_M2/SAI4_SDI0_M0/SAI3_SDO_M0/FSPI0_DQS/EMMC_STRB/GPIO1_B2_d</t>
  </si>
  <si>
    <t>1AD5</t>
  </si>
  <si>
    <t>PWM2_CH7_M1</t>
  </si>
  <si>
    <t>SAI4_SDO3_M0</t>
  </si>
  <si>
    <t>SAI4_SDI1_M0</t>
  </si>
  <si>
    <t>FSPI0_CLK</t>
  </si>
  <si>
    <t>EMMC_CLK</t>
  </si>
  <si>
    <t>GPIO1_B1</t>
  </si>
  <si>
    <t>PWM2_CH7_M1/SAI4_SDO3_M0/SAI4_SDI1_M0/FSPI0_CLK/EMMC_CLK/GPIO1_B1_d</t>
  </si>
  <si>
    <t>AR8</t>
  </si>
  <si>
    <t>I2C7_SCL_M0</t>
  </si>
  <si>
    <t>UART6_TX_M2</t>
  </si>
  <si>
    <t>FSPI0_RST</t>
  </si>
  <si>
    <t>FSPI0_CSN1</t>
  </si>
  <si>
    <t>EMMC_CMD</t>
  </si>
  <si>
    <t>GPIO1_B0</t>
  </si>
  <si>
    <t>I2C7_SCL_M0/UART6_TX_M2/FSPI0_RST/FSPI0_CSN1/EMMC_CMD/GPIO1_B0_u</t>
  </si>
  <si>
    <t>1AE5</t>
  </si>
  <si>
    <t>SPI0_CLK_M2</t>
  </si>
  <si>
    <t>SAI4_SDO0_M0</t>
  </si>
  <si>
    <t>SAI3_SDI_M0</t>
  </si>
  <si>
    <t>FSPI0_D7</t>
  </si>
  <si>
    <t>EMMC_D7</t>
  </si>
  <si>
    <t>GPIO1_A7</t>
  </si>
  <si>
    <t>SPI0_CLK_M2/SAI4_SDO0_M0/SAI3_SDI_M0/FSPI0_D7/EMMC_D7/GPIO1_A7_u</t>
  </si>
  <si>
    <t>AR12</t>
  </si>
  <si>
    <t>I2C9_SDA_M0</t>
  </si>
  <si>
    <t>SPI0_MISO_M2</t>
  </si>
  <si>
    <t>SAI3_LRCK_M0</t>
  </si>
  <si>
    <t>FSPI0_D6</t>
  </si>
  <si>
    <t>EMMC_D6</t>
  </si>
  <si>
    <t>GPIO1_A6</t>
  </si>
  <si>
    <t>I2C9_SDA_M0/SPI0_MISO_M2/SAI3_LRCK_M0/FSPI0_D6/EMMC_D6/GPIO1_A6_u</t>
  </si>
  <si>
    <t>AT12</t>
  </si>
  <si>
    <t>I2C9_SCL_M0</t>
  </si>
  <si>
    <t>SPI0_MOSI_M2</t>
  </si>
  <si>
    <t>UART6_CTSN_M2</t>
  </si>
  <si>
    <t>SAI3_SCLK_M0</t>
  </si>
  <si>
    <t>FSPI0_D5</t>
  </si>
  <si>
    <t>EMMC_D5</t>
  </si>
  <si>
    <t>GPIO1_A5</t>
  </si>
  <si>
    <t>I2C9_SCL_M0/SPI0_MOSI_M2/UART6_CTSN_M2/SAI3_SCLK_M0/FSPI0_D5/EMMC_D5/GPIO1_A5_u</t>
  </si>
  <si>
    <t>AT8</t>
  </si>
  <si>
    <t>SPI0_CSN0_M2</t>
  </si>
  <si>
    <t>UART6_RTSN_M2</t>
  </si>
  <si>
    <t>SAI4_MCLK_M0</t>
  </si>
  <si>
    <t>SAI3_MCLK_M0</t>
  </si>
  <si>
    <t>FSPI0_D4</t>
  </si>
  <si>
    <t>EMMC_D4</t>
  </si>
  <si>
    <t>GPIO1_A4</t>
  </si>
  <si>
    <t>SPI0_CSN0_M2/UART6_RTSN_M2/SAI4_MCLK_M0/SAI3_MCLK_M0/FSPI0_D4/EMMC_D4/GPIO1_A4_u</t>
  </si>
  <si>
    <t>AR9</t>
  </si>
  <si>
    <t>UART7_RX_M1</t>
  </si>
  <si>
    <t>SAI4_SDO2_M0</t>
  </si>
  <si>
    <t>SAI4_SDI2_M0</t>
  </si>
  <si>
    <t>FSPI0_D3</t>
  </si>
  <si>
    <t>EMMC_D3</t>
  </si>
  <si>
    <t>GPIO1_A3</t>
  </si>
  <si>
    <t>UART7_RX_M1/SAI4_SDO2_M0/SAI4_SDI2_M0/FSPI0_D3/EMMC_D3/GPIO1_A3_u</t>
  </si>
  <si>
    <t>AT9</t>
  </si>
  <si>
    <t>UART7_TX_M1</t>
  </si>
  <si>
    <t>SAI4_SDO1_M0</t>
  </si>
  <si>
    <t>SAI4_SDI3_M0</t>
  </si>
  <si>
    <t>FSPI0_D2</t>
  </si>
  <si>
    <t>EMMC_D2</t>
  </si>
  <si>
    <t>GPIO1_A2</t>
  </si>
  <si>
    <t>UART7_TX_M1/SAI4_SDO1_M0/SAI4_SDI3_M0/FSPI0_D2/EMMC_D2/GPIO1_A2_u</t>
  </si>
  <si>
    <t>AT11</t>
  </si>
  <si>
    <t>I2C2_SDA_M1</t>
  </si>
  <si>
    <t>UART7_CTSN_M1</t>
  </si>
  <si>
    <t>SAI4_LRCK_M0</t>
  </si>
  <si>
    <t>FSPI0_D1</t>
  </si>
  <si>
    <t>EMMC_D1</t>
  </si>
  <si>
    <t>GPIO1_A1</t>
  </si>
  <si>
    <t>I2C2_SDA_M1/UART7_CTSN_M1/SAI4_LRCK_M0/FSPI0_D1/EMMC_D1/GPIO1_A1_u</t>
  </si>
  <si>
    <t>AR11</t>
  </si>
  <si>
    <t>I2C2_SCL_M1</t>
  </si>
  <si>
    <t>UART7_RTSN_M1</t>
  </si>
  <si>
    <t>SAI4_SCLK_M0</t>
  </si>
  <si>
    <t>FSPI0_D0</t>
  </si>
  <si>
    <t>EMMC_D0</t>
  </si>
  <si>
    <t>GPIO1_A0</t>
  </si>
  <si>
    <t>I2C2_SCL_M1/UART7_RTSN_M1/SAI4_SCLK_M0/FSPI0_D0/EMMC_D0/GPIO1_A0_u</t>
  </si>
  <si>
    <t>AR10</t>
  </si>
  <si>
    <t>Part C</t>
  </si>
  <si>
    <t>1.2V/1.8V</t>
    <phoneticPr fontId="12" type="noConversion"/>
  </si>
  <si>
    <t>2A10</t>
  </si>
  <si>
    <t>UFS_REFCLK/GPIO4_C1_D</t>
  </si>
  <si>
    <t>I/O</t>
    <phoneticPr fontId="12" type="noConversion"/>
  </si>
  <si>
    <t>B33</t>
  </si>
  <si>
    <t>UFS_RSTN/GPIO4_C0_D</t>
  </si>
  <si>
    <t>1C20</t>
  </si>
  <si>
    <t>2A9</t>
  </si>
  <si>
    <t>2B8</t>
  </si>
  <si>
    <t>A29</t>
  </si>
  <si>
    <t>A31</t>
  </si>
  <si>
    <t>A32</t>
  </si>
  <si>
    <t>B30</t>
  </si>
  <si>
    <t>B31</t>
  </si>
  <si>
    <t>1B20</t>
  </si>
  <si>
    <t>1A20</t>
  </si>
  <si>
    <t>1A22</t>
  </si>
  <si>
    <t>1B22</t>
  </si>
  <si>
    <t>Part B</t>
  </si>
  <si>
    <t>PI</t>
  </si>
  <si>
    <t>2J3</t>
  </si>
  <si>
    <t>2J2</t>
  </si>
  <si>
    <t>2G2</t>
  </si>
  <si>
    <t>2F3</t>
  </si>
  <si>
    <t>2E3</t>
  </si>
  <si>
    <r>
      <t>LP4</t>
    </r>
    <r>
      <rPr>
        <sz val="11"/>
        <rFont val="宋体"/>
        <family val="3"/>
        <charset val="134"/>
      </rPr>
      <t>：</t>
    </r>
    <r>
      <rPr>
        <sz val="11"/>
        <rFont val="Verdana"/>
        <family val="2"/>
      </rPr>
      <t>0.75V                  LP4X</t>
    </r>
    <r>
      <rPr>
        <sz val="11"/>
        <rFont val="宋体"/>
        <family val="3"/>
        <charset val="134"/>
      </rPr>
      <t>：</t>
    </r>
    <r>
      <rPr>
        <sz val="11"/>
        <rFont val="Verdana"/>
        <family val="2"/>
      </rPr>
      <t>0.6V                     LP5</t>
    </r>
    <r>
      <rPr>
        <sz val="11"/>
        <rFont val="宋体"/>
        <family val="3"/>
        <charset val="134"/>
      </rPr>
      <t>：</t>
    </r>
    <r>
      <rPr>
        <sz val="11"/>
        <rFont val="Verdana"/>
        <family val="2"/>
      </rPr>
      <t>0.5V</t>
    </r>
    <phoneticPr fontId="12" type="noConversion"/>
  </si>
  <si>
    <t>DDRPHY_CK_VDDQ</t>
  </si>
  <si>
    <t>2H2</t>
  </si>
  <si>
    <t>1.1V/1.05V</t>
    <phoneticPr fontId="12" type="noConversion"/>
  </si>
  <si>
    <t>2H3</t>
  </si>
  <si>
    <t>2H4</t>
  </si>
  <si>
    <t>2G4</t>
  </si>
  <si>
    <t>2J4</t>
  </si>
  <si>
    <t>2G3</t>
  </si>
  <si>
    <t>2F4</t>
  </si>
  <si>
    <t>0.75V-0.85V</t>
    <phoneticPr fontId="12" type="noConversion"/>
  </si>
  <si>
    <t>2E4</t>
  </si>
  <si>
    <t>2K3</t>
  </si>
  <si>
    <t>DDRPHY_PLL_DVDD</t>
  </si>
  <si>
    <t>2M3</t>
  </si>
  <si>
    <t>1T4</t>
  </si>
  <si>
    <t>2K1</t>
  </si>
  <si>
    <t>LP5X_RESET</t>
    <phoneticPr fontId="12" type="noConversion"/>
  </si>
  <si>
    <t>LP5_RESET</t>
  </si>
  <si>
    <t>LP4X_RESET</t>
  </si>
  <si>
    <t>LP4_RESET</t>
  </si>
  <si>
    <t>LP4_RESETN/LP4X_RESETN/LP5_RESETN/LP5X_RESETN</t>
  </si>
  <si>
    <t>1T3</t>
  </si>
  <si>
    <t>LP4X_CSN1_B</t>
  </si>
  <si>
    <t>LP4_CSN1_B</t>
  </si>
  <si>
    <t>1P2</t>
  </si>
  <si>
    <t>LP5X_A6_B</t>
    <phoneticPr fontId="12" type="noConversion"/>
  </si>
  <si>
    <t>LP5_A6_B</t>
    <phoneticPr fontId="12" type="noConversion"/>
  </si>
  <si>
    <t>LP4X_CSN0_B</t>
  </si>
  <si>
    <t>LP4_CSN0_B</t>
  </si>
  <si>
    <t>LP4_CSN0_B/LP4X_CSN0_B/LP5_A6_B/LP5X_A6_B</t>
  </si>
  <si>
    <t>U2</t>
  </si>
  <si>
    <t>LP5X_CSN1_B</t>
    <phoneticPr fontId="12" type="noConversion"/>
  </si>
  <si>
    <t>LP5_CSN1_B</t>
  </si>
  <si>
    <t>LP4X_CKE1_B</t>
  </si>
  <si>
    <t>LP4_CKE1_B</t>
  </si>
  <si>
    <t>LP4_CKE1_B/LP4X_CKE1_B/LP5_CSN1_B/LP5X_CSN1_B</t>
  </si>
  <si>
    <t>1T1</t>
  </si>
  <si>
    <t>LP5X_CSN0_B</t>
    <phoneticPr fontId="12" type="noConversion"/>
  </si>
  <si>
    <t>LP5_CSN0_B</t>
  </si>
  <si>
    <t>LP4X_CKE0_B</t>
  </si>
  <si>
    <t>LP4_CKE0_B</t>
  </si>
  <si>
    <t>LP4_CKE0_B/LP4X_CKE0_B/LP5_CSN0_B/LP5X_CSN0_B</t>
  </si>
  <si>
    <t>1P3</t>
  </si>
  <si>
    <t>LP5X_CLKN_B</t>
    <phoneticPr fontId="12" type="noConversion"/>
  </si>
  <si>
    <t>LP5_CLKN_B</t>
  </si>
  <si>
    <t>LP4X_CLKN_B</t>
  </si>
  <si>
    <t>LP4_CLKN_B</t>
  </si>
  <si>
    <t>LP4_CLKN_B/LP4X_CLKN_B/LP5_CLKN_B/LP5X_CLKN_B</t>
  </si>
  <si>
    <t>AA1</t>
  </si>
  <si>
    <t>LP5X_CLKP_B</t>
    <phoneticPr fontId="12" type="noConversion"/>
  </si>
  <si>
    <t>LP5_CLKP_B</t>
  </si>
  <si>
    <t>LP4X_CLKP_B</t>
  </si>
  <si>
    <t>LP4_CLKP_B</t>
  </si>
  <si>
    <t>LP4_CLKP_B/LP4X_CLKP_B/LP5_CLKP_B/LP5X_CLKP_B</t>
  </si>
  <si>
    <t>Y1</t>
  </si>
  <si>
    <t>LP5X_A5_B</t>
    <phoneticPr fontId="12" type="noConversion"/>
  </si>
  <si>
    <t>LP5_A5_B</t>
  </si>
  <si>
    <t>LP4X_A5_B</t>
  </si>
  <si>
    <t>LP4_A5_B</t>
  </si>
  <si>
    <t>LP4_A5_B/LP4X_A5_B/LP5_A5_B/LP5X_A5_B</t>
  </si>
  <si>
    <t>1P1</t>
  </si>
  <si>
    <t>LP5X_A4_B</t>
    <phoneticPr fontId="12" type="noConversion"/>
  </si>
  <si>
    <t>LP5_A4_B</t>
  </si>
  <si>
    <t>LP4X_A4_B</t>
  </si>
  <si>
    <t>LP4_A4_B</t>
  </si>
  <si>
    <t>LP4_A4_B/LP4X_A4_B/LP5_A4_B/LP5X_A4_B</t>
  </si>
  <si>
    <t>T2</t>
  </si>
  <si>
    <t>LP5X_A3_B</t>
    <phoneticPr fontId="12" type="noConversion"/>
  </si>
  <si>
    <t>LP5_A3_B</t>
  </si>
  <si>
    <t>LP4X_A3_B</t>
  </si>
  <si>
    <t>LP4_A3_B</t>
  </si>
  <si>
    <t>LP4_A3_B/LP4X_A3_B/LP5_A3_B/LP5X_A3_B</t>
  </si>
  <si>
    <t>V2</t>
  </si>
  <si>
    <t>LP5X_A2_B</t>
    <phoneticPr fontId="12" type="noConversion"/>
  </si>
  <si>
    <t>LP5_A2_B</t>
  </si>
  <si>
    <t>LP4X_A2_B</t>
  </si>
  <si>
    <t>LP4_A2_B</t>
  </si>
  <si>
    <t>LP4_A2_B/LP4X_A2_B/LP5_A2_B/LP5X_A2_B</t>
  </si>
  <si>
    <t>W2</t>
  </si>
  <si>
    <t>LP5X_A1_B</t>
    <phoneticPr fontId="12" type="noConversion"/>
  </si>
  <si>
    <t>LP5_A1_B</t>
  </si>
  <si>
    <t>LP4X_A1_B</t>
  </si>
  <si>
    <t>LP4_A1_B</t>
  </si>
  <si>
    <t>LP4_A1_B/LP4X_A1_B/LP5_A1_B/LP5X_A1_B</t>
  </si>
  <si>
    <t>R1</t>
  </si>
  <si>
    <t>LP5X_A0_B</t>
    <phoneticPr fontId="12" type="noConversion"/>
  </si>
  <si>
    <t>LP5_A0_B</t>
  </si>
  <si>
    <t>LP4X_A0_B</t>
  </si>
  <si>
    <t>LP4_A0_B</t>
  </si>
  <si>
    <t>LP4_A0_B/LP4X_A0_B/LP5_A0_B/LP5X_A0_B</t>
  </si>
  <si>
    <t>P1</t>
  </si>
  <si>
    <t>LP5X_WCK1N_B</t>
    <phoneticPr fontId="12" type="noConversion"/>
  </si>
  <si>
    <t>LP5_WCK1N_B/LP5X_WCK1N_B</t>
  </si>
  <si>
    <t>1H3</t>
  </si>
  <si>
    <t>LP5X_WCK1P_B</t>
    <phoneticPr fontId="12" type="noConversion"/>
  </si>
  <si>
    <t>LP5_WCK1P_B/LP5X_WCK1P_B</t>
  </si>
  <si>
    <t>1H2</t>
  </si>
  <si>
    <t>LP5X_RDQS1N_B</t>
    <phoneticPr fontId="12" type="noConversion"/>
  </si>
  <si>
    <t>LP5_RDQS1N_B</t>
  </si>
  <si>
    <t>LP4X_DQS1N_B</t>
  </si>
  <si>
    <t>LP4_DQS1N_B</t>
  </si>
  <si>
    <t>LP4_DQS1N_B/LP4X_DQS1N_B/LP5_RDQS1N_B/LP5X_RDQS1N_B</t>
  </si>
  <si>
    <t>1F3</t>
  </si>
  <si>
    <t>LP5X_RDQS1P_B</t>
    <phoneticPr fontId="12" type="noConversion"/>
  </si>
  <si>
    <t>LP5_RDQS1P_B</t>
  </si>
  <si>
    <t>LP4X_DQS1P_B</t>
  </si>
  <si>
    <t>LP4_DQS1P_B</t>
  </si>
  <si>
    <t>LP4_DQS1P_B/LP4X_DQS1P_B/LP5_RDQS1P_B/LP5X_RDQS1P_B</t>
  </si>
  <si>
    <t>1F2</t>
  </si>
  <si>
    <t>LP5X_DMI1_B</t>
    <phoneticPr fontId="12" type="noConversion"/>
  </si>
  <si>
    <t>LP5_DMI1_B</t>
  </si>
  <si>
    <t>LP4X_DMI1_B</t>
  </si>
  <si>
    <t>LP4_DMI1_B</t>
  </si>
  <si>
    <t>LP4_DM1_B/LP4X_DM1_B/LP5_DM1_B/LP5X_DM1_B</t>
  </si>
  <si>
    <t>E2</t>
  </si>
  <si>
    <t>LP5X_DQ15_B</t>
    <phoneticPr fontId="12" type="noConversion"/>
  </si>
  <si>
    <t>LP5_DQ15_B</t>
  </si>
  <si>
    <t>LP4X_DQ15_B</t>
  </si>
  <si>
    <t>LP4_DQ15_B</t>
  </si>
  <si>
    <t>LP4_DQ15_B/LP4X_DQ15_B/LP5_DQ15_B/LP5X_DQ15_B</t>
  </si>
  <si>
    <t>E1</t>
  </si>
  <si>
    <t>LP5X_DQ14_B</t>
    <phoneticPr fontId="12" type="noConversion"/>
  </si>
  <si>
    <t>LP5_DQ14_B</t>
  </si>
  <si>
    <t>LP4X_DQ14_B</t>
  </si>
  <si>
    <t>LP4_DQ14_B</t>
  </si>
  <si>
    <t>LP4_DQ14_B/LP4X_DQ14_B/LP5_DQ14_B/LP5X_DQ14_B</t>
  </si>
  <si>
    <t>F1</t>
  </si>
  <si>
    <t>LP5X_DQ13_B</t>
    <phoneticPr fontId="12" type="noConversion"/>
  </si>
  <si>
    <t>LP5_DQ13_B</t>
  </si>
  <si>
    <t>LP4X_DQ13_B</t>
  </si>
  <si>
    <t>LP4_DQ13_B</t>
  </si>
  <si>
    <t>LP4_DQ13_B/LP4X_DQ13_B/LP5_DQ13_B/LP5X_DQ13_B</t>
  </si>
  <si>
    <t>G2</t>
  </si>
  <si>
    <t>LP5X_DQ12_B</t>
    <phoneticPr fontId="12" type="noConversion"/>
  </si>
  <si>
    <t>LP5_DQ12_B</t>
  </si>
  <si>
    <t>LP4X_DQ12_B</t>
  </si>
  <si>
    <t>LP4_DQ12_B</t>
  </si>
  <si>
    <t>LP4_DQ12_B/LP4X_DQ12_B/LP5_DQ12_B/LP5X_DQ12_B</t>
  </si>
  <si>
    <t>H2</t>
  </si>
  <si>
    <t>LP5X_DQ11_B</t>
    <phoneticPr fontId="12" type="noConversion"/>
  </si>
  <si>
    <t>LP5_DQ11_B</t>
  </si>
  <si>
    <t>LP4X_DQ11_B</t>
  </si>
  <si>
    <t>LP4_DQ11_B</t>
  </si>
  <si>
    <t>LP4_DQ11_B/LP4X_DQ11_B/LP5_DQ11_B/LP5X_DQ11_B</t>
  </si>
  <si>
    <t>A2</t>
  </si>
  <si>
    <t>LP5X_DQ10_B</t>
    <phoneticPr fontId="12" type="noConversion"/>
  </si>
  <si>
    <t>LP5_DQ10_B</t>
  </si>
  <si>
    <t>LP4X_DQ10_B</t>
  </si>
  <si>
    <t>LP4_DQ10_B</t>
  </si>
  <si>
    <t>LP4_DQ10_B/LP4X_DQ10_B/LP5_DQ10_B/LP5X_DQ10_B</t>
  </si>
  <si>
    <t>B1</t>
  </si>
  <si>
    <t>LP5X_DQ9_B</t>
    <phoneticPr fontId="12" type="noConversion"/>
  </si>
  <si>
    <t>LP5_DQ9_B</t>
  </si>
  <si>
    <t>LP4X_DQ9_B</t>
  </si>
  <si>
    <t>LP4_DQ9_B</t>
  </si>
  <si>
    <t>LP4_DQ9_B/LP4X_DQ9_B/LP5_DQ9_B/LP5X_DQ9_B</t>
  </si>
  <si>
    <t>C1</t>
  </si>
  <si>
    <t>LP5X_DQ8_B</t>
    <phoneticPr fontId="12" type="noConversion"/>
  </si>
  <si>
    <t>LP5_DQ8_B</t>
  </si>
  <si>
    <t>LP4X_DQ8_B</t>
  </si>
  <si>
    <t>LP4_DQ8_B</t>
  </si>
  <si>
    <t>LP4_DQ8_B/LP4X_DQ8_B/LP5_DQ8_B/LP5X_DQ8_B</t>
  </si>
  <si>
    <t>D2</t>
  </si>
  <si>
    <t>LP5X_WCK0N_B</t>
    <phoneticPr fontId="12" type="noConversion"/>
  </si>
  <si>
    <t>LP5_WCK0N_B/LP5X_WCK0N_B</t>
  </si>
  <si>
    <t>1K2</t>
  </si>
  <si>
    <t>LP5X_WCK0P_B</t>
    <phoneticPr fontId="12" type="noConversion"/>
  </si>
  <si>
    <t>LP5_WCK0P_B/LP5X_WCK0P_B</t>
  </si>
  <si>
    <t>1K3</t>
  </si>
  <si>
    <t>LP5X_RDQS0N_B</t>
    <phoneticPr fontId="12" type="noConversion"/>
  </si>
  <si>
    <t>LP5_RDQS0N_B</t>
  </si>
  <si>
    <t>LP4X_DQS0N_B</t>
  </si>
  <si>
    <t>LP4_DQS0N_B</t>
  </si>
  <si>
    <t>LP4_DQS0N_B/LP4X_DQS0N_B/LP5_RDQS0N_B/LP5X_RDQS0N_B</t>
  </si>
  <si>
    <t>1M2</t>
  </si>
  <si>
    <t>LP5X_RDQS0P_B</t>
    <phoneticPr fontId="12" type="noConversion"/>
  </si>
  <si>
    <t>LP5_RDQS0P_B</t>
  </si>
  <si>
    <t>LP4X_DQS0P_B</t>
  </si>
  <si>
    <t>LP4_DQS0P_B</t>
  </si>
  <si>
    <t>LP4_DQS0P_B/LP4X_DQS0P_B/LP5_RDQS0P_B/LP5X_RDQS0P_B</t>
  </si>
  <si>
    <t>1M3</t>
  </si>
  <si>
    <t>LP5X_DMI0_B</t>
    <phoneticPr fontId="12" type="noConversion"/>
  </si>
  <si>
    <t>LP5_DMI0_B</t>
  </si>
  <si>
    <t>LP4X_DMI0_B</t>
  </si>
  <si>
    <t>LP4_DMI0_B</t>
  </si>
  <si>
    <t>LP4_DM0_B/LP4X_DM0_B/LP5_DM0_B/LP5X_DM0_B</t>
  </si>
  <si>
    <t>J1</t>
  </si>
  <si>
    <t>LP5X_DQ7_B</t>
    <phoneticPr fontId="12" type="noConversion"/>
  </si>
  <si>
    <t>LP5_DQ7_B</t>
  </si>
  <si>
    <t>LP4X_DQ7_B</t>
  </si>
  <si>
    <t>LP4_DQ7_B</t>
  </si>
  <si>
    <t>LP4_DQ7_B/LP4X_DQ7_B/LP5_DQ7_B/LP5X_DQ7_B</t>
  </si>
  <si>
    <t>J2</t>
  </si>
  <si>
    <t>LP5X_DQ6_B</t>
    <phoneticPr fontId="12" type="noConversion"/>
  </si>
  <si>
    <t>LP5_DQ6_B</t>
  </si>
  <si>
    <t>LP4X_DQ6_B</t>
  </si>
  <si>
    <t>LP4_DQ6_B</t>
  </si>
  <si>
    <t>LP4_DQ6_B/LP4X_DQ6_B/LP5_DQ6_B/LP5X_DQ6_B</t>
  </si>
  <si>
    <t>H1</t>
  </si>
  <si>
    <t>LP5X_DQ5_B</t>
    <phoneticPr fontId="12" type="noConversion"/>
  </si>
  <si>
    <t>LP5_DQ5_B</t>
  </si>
  <si>
    <t>LP4X_DQ5_B</t>
  </si>
  <si>
    <t>LP4_DQ5_B</t>
  </si>
  <si>
    <t>LP4_DQ5_B/LP4X_DQ5_B/LP5_DQ5_B/LP5X_DQ5_B</t>
  </si>
  <si>
    <t>K2</t>
  </si>
  <si>
    <t>LP5X_DQ4_B</t>
    <phoneticPr fontId="12" type="noConversion"/>
  </si>
  <si>
    <t>LP5_DQ4_B</t>
  </si>
  <si>
    <t>LP4X_DQ4_B</t>
  </si>
  <si>
    <t>LP4_DQ4_B</t>
  </si>
  <si>
    <t>LP4_DQ4_B/LP4X_DQ4_B/LP5_DQ4_B/LP5X_DQ4_B</t>
  </si>
  <si>
    <t>P2</t>
  </si>
  <si>
    <t>LP5X_DQ3_B</t>
    <phoneticPr fontId="12" type="noConversion"/>
  </si>
  <si>
    <t>LP5_DQ3_B</t>
  </si>
  <si>
    <t>LP4X_DQ3_B</t>
  </si>
  <si>
    <t>LP4_DQ3_B</t>
  </si>
  <si>
    <t>LP4_DQ3_B/LP4X_DQ3_B/LP5_DQ3_B/LP5X_DQ3_B</t>
  </si>
  <si>
    <t>N2</t>
  </si>
  <si>
    <t>LP5X_DQ2_B</t>
    <phoneticPr fontId="12" type="noConversion"/>
  </si>
  <si>
    <t>LP5_DQ2_B</t>
  </si>
  <si>
    <t>LP4X_DQ2_B</t>
  </si>
  <si>
    <t>LP4_DQ2_B</t>
  </si>
  <si>
    <t>LP4_DQ2_B/LP4X_DQ2_B/LP5_DQ2_B/LP5X_DQ2_B</t>
  </si>
  <si>
    <t>M1</t>
  </si>
  <si>
    <t>LP5X_DQ1_B</t>
    <phoneticPr fontId="12" type="noConversion"/>
  </si>
  <si>
    <t>LP5_DQ1_B</t>
  </si>
  <si>
    <t>LP4X_DQ1_B</t>
  </si>
  <si>
    <t>LP4_DQ1_B</t>
  </si>
  <si>
    <t>LP4_DQ1_B/LP4X_DQ1_B/LP5_DQ1_B/LP5X_DQ1_B</t>
  </si>
  <si>
    <t>L1</t>
  </si>
  <si>
    <t>LP5X_DQ0_B</t>
    <phoneticPr fontId="12" type="noConversion"/>
  </si>
  <si>
    <t>LP5_DQ0_B</t>
  </si>
  <si>
    <t>LP4X_DQ0_B</t>
  </si>
  <si>
    <t>LP4_DQ0_B</t>
  </si>
  <si>
    <t>LP4_DQ0_B/LP4X_DQ0_B/LP5_DQ0_B/LP5X_DQ0_B</t>
  </si>
  <si>
    <t>M2</t>
  </si>
  <si>
    <t>LP4X_CSN1_A</t>
    <phoneticPr fontId="12" type="noConversion"/>
  </si>
  <si>
    <t>LP4_CSN1_A</t>
    <phoneticPr fontId="12" type="noConversion"/>
  </si>
  <si>
    <t>AJ1</t>
  </si>
  <si>
    <t>LP5X_A6_A</t>
    <phoneticPr fontId="12" type="noConversion"/>
  </si>
  <si>
    <t>LP5_A6_A</t>
    <phoneticPr fontId="12" type="noConversion"/>
  </si>
  <si>
    <t>LP4X_CSN0_A</t>
    <phoneticPr fontId="12" type="noConversion"/>
  </si>
  <si>
    <t>LP4_CSN0_A</t>
    <phoneticPr fontId="12" type="noConversion"/>
  </si>
  <si>
    <t>LP4_CSN0_A/LP4X_CSN0_A/LP5_A6_A/LP5X_A6_A</t>
  </si>
  <si>
    <t>AH2</t>
  </si>
  <si>
    <t>LP5X_CSN1_A</t>
    <phoneticPr fontId="12" type="noConversion"/>
  </si>
  <si>
    <t>LP5_CSN1_A</t>
    <phoneticPr fontId="12" type="noConversion"/>
  </si>
  <si>
    <t>LP4X_CKE1_A</t>
    <phoneticPr fontId="12" type="noConversion"/>
  </si>
  <si>
    <t>LP4_CKE1_A</t>
    <phoneticPr fontId="12" type="noConversion"/>
  </si>
  <si>
    <t>LP4_CKE1_A/LP4X_CKE1_A/LP5_CSN1_A/LP5X_CSN1_A</t>
  </si>
  <si>
    <t>1T2</t>
  </si>
  <si>
    <t>LP5X_CSN0_A</t>
    <phoneticPr fontId="12" type="noConversion"/>
  </si>
  <si>
    <t>LP5_CSN0_A</t>
    <phoneticPr fontId="12" type="noConversion"/>
  </si>
  <si>
    <t>LP4X_CKE0_A</t>
    <phoneticPr fontId="12" type="noConversion"/>
  </si>
  <si>
    <t>LP4_CKE0_A</t>
    <phoneticPr fontId="12" type="noConversion"/>
  </si>
  <si>
    <t>LP4_CKE0_A/LP4X_CKE0_A/LP5_CSN0_A/LP5X_CSN0_A</t>
  </si>
  <si>
    <t>AF2</t>
  </si>
  <si>
    <t>LP5X_CLKN_A</t>
    <phoneticPr fontId="12" type="noConversion"/>
  </si>
  <si>
    <t>LP5_CLKN_A</t>
  </si>
  <si>
    <t>LP4X_CLKN_A</t>
  </si>
  <si>
    <t>LP4_CLKN_A</t>
  </si>
  <si>
    <t>LP4_CLKN_A/LP4X_CLKN_A/LP5_CLKN_A/LP5X_CLKN_A</t>
  </si>
  <si>
    <t>AB2</t>
  </si>
  <si>
    <t>LP5X_CLKP_A</t>
    <phoneticPr fontId="12" type="noConversion"/>
  </si>
  <si>
    <t>LP5_CLKP_A</t>
  </si>
  <si>
    <t>LP4X_CLKP_A</t>
  </si>
  <si>
    <t>LP4_CLKP_A</t>
  </si>
  <si>
    <t>LP4_CLKP_A/LP4X_CLKP_A/LP5_CLKP_A/LP5X_CLKP_A</t>
  </si>
  <si>
    <t>AC2</t>
  </si>
  <si>
    <t>LP5X_A5_A</t>
    <phoneticPr fontId="12" type="noConversion"/>
  </si>
  <si>
    <t>LP5_A5_A</t>
  </si>
  <si>
    <t>LP4X_A5_A</t>
  </si>
  <si>
    <t>LP4_A5_A</t>
  </si>
  <si>
    <t>LP4_A5_A/LP4X_A5_A/LP5_A5_A/LP5X_A5_A</t>
  </si>
  <si>
    <t>AF1</t>
  </si>
  <si>
    <t>LP5X_A4_A</t>
    <phoneticPr fontId="12" type="noConversion"/>
  </si>
  <si>
    <t>LP5_A4_A</t>
  </si>
  <si>
    <t>LP4X_A4_A</t>
  </si>
  <si>
    <t>LP4_A4_A</t>
  </si>
  <si>
    <t>LP4_A4_A/LP4X_A4_A/LP5_A4_A/LP5X_A4_A</t>
  </si>
  <si>
    <t>AE2</t>
  </si>
  <si>
    <t>LP5X_A3_A</t>
    <phoneticPr fontId="12" type="noConversion"/>
  </si>
  <si>
    <t>LP5_A3_A</t>
  </si>
  <si>
    <t>LP4X_A3_A</t>
  </si>
  <si>
    <t>LP4_A3_A</t>
  </si>
  <si>
    <t>LP4_A3_A/LP4X_A3_A/LP5_A3_A/LP5X_A3_A</t>
  </si>
  <si>
    <t>AJ2</t>
  </si>
  <si>
    <t>LP5X_A2_A</t>
    <phoneticPr fontId="12" type="noConversion"/>
  </si>
  <si>
    <t>LP5_A2_A</t>
  </si>
  <si>
    <t>LP4X_A2_A</t>
  </si>
  <si>
    <t>LP4_A2_A</t>
  </si>
  <si>
    <t>LP4_A2_A/LP4X_A2_A/LP5_A2_A/LP5X_A2_A</t>
  </si>
  <si>
    <t>AG1</t>
  </si>
  <si>
    <t>LP5X_A1_A</t>
    <phoneticPr fontId="12" type="noConversion"/>
  </si>
  <si>
    <t>LP5_A1_A</t>
  </si>
  <si>
    <t>LP4X_A1_A</t>
  </si>
  <si>
    <t>LP4_A1_A</t>
  </si>
  <si>
    <t>LP4_A1_A/LP4X_A1_A/LP5_A1_A/LP5X_A1_A</t>
  </si>
  <si>
    <t>AD2</t>
  </si>
  <si>
    <t>LP5X_A0_A</t>
    <phoneticPr fontId="12" type="noConversion"/>
  </si>
  <si>
    <t>LP5_A0_A</t>
  </si>
  <si>
    <t>LP4X_A0_A</t>
  </si>
  <si>
    <t>LP4_A0_A</t>
  </si>
  <si>
    <t>LP4_A0_A/LP4X_A0_A/LP5_A0_A/LP5X_A0_A</t>
  </si>
  <si>
    <t>AD1</t>
  </si>
  <si>
    <t>LP5X_WCK1N_A</t>
    <phoneticPr fontId="12" type="noConversion"/>
  </si>
  <si>
    <t>LP5_WCK1N_A/LP5X_WCK1N_A</t>
  </si>
  <si>
    <t>1AB3</t>
  </si>
  <si>
    <t>LP5X_WCK1P_A</t>
    <phoneticPr fontId="12" type="noConversion"/>
  </si>
  <si>
    <t>LP5_WCK1P_A/LP5X_WCK1P_A</t>
  </si>
  <si>
    <t>1AB2</t>
  </si>
  <si>
    <t>LP5X_RDQS1N_A</t>
    <phoneticPr fontId="12" type="noConversion"/>
  </si>
  <si>
    <t>LP5_RDQS1N_A</t>
  </si>
  <si>
    <t>LP4X_DQS1N_A</t>
  </si>
  <si>
    <t>LP4_DQS1N_A</t>
  </si>
  <si>
    <t>LP4_DQS1N_A/LP4X_DQS1N_A/LP5_RDQS1N_A/LP5X_RDQS1N_A</t>
  </si>
  <si>
    <t>1AD2</t>
  </si>
  <si>
    <t>LP5X_RDQS1P_A</t>
    <phoneticPr fontId="12" type="noConversion"/>
  </si>
  <si>
    <t>LP5_RDQS1P_A</t>
  </si>
  <si>
    <t>LP4X_DQS1P_A</t>
  </si>
  <si>
    <t>LP4_DQS1P_A</t>
  </si>
  <si>
    <t>LP4_DQS1P_A/LP4X_DQS1P_A/LP5_RDQS1P_A/LP5X_RDQS1P_A</t>
  </si>
  <si>
    <t>1AD3</t>
  </si>
  <si>
    <t>LP5X_DMI1_A</t>
    <phoneticPr fontId="12" type="noConversion"/>
  </si>
  <si>
    <t>LP5_DMI1_A</t>
  </si>
  <si>
    <t>LP4X_DMI1_A</t>
  </si>
  <si>
    <t>LP4_DMI1_A</t>
  </si>
  <si>
    <t>LP4_DM1_A/LP4X_DM1_A/LP5_DM1_A/LP5X_DM1_A</t>
  </si>
  <si>
    <t>AR3</t>
  </si>
  <si>
    <t>LP5X_DQ15_A</t>
    <phoneticPr fontId="12" type="noConversion"/>
  </si>
  <si>
    <t>LP5_DQ15_A</t>
  </si>
  <si>
    <t>LP4X_DQ15_A</t>
  </si>
  <si>
    <t>LP4_DQ15_A</t>
  </si>
  <si>
    <t>LP4_DQ15_A/LP4X_DQ15_A/LP5_DQ15_A/LP5X_DQ15_A</t>
  </si>
  <si>
    <t>AT3</t>
  </si>
  <si>
    <t>LP5X_DQ14_A</t>
    <phoneticPr fontId="12" type="noConversion"/>
  </si>
  <si>
    <t>LP5_DQ14_A</t>
  </si>
  <si>
    <t>LP4X_DQ14_A</t>
  </si>
  <si>
    <t>LP4_DQ14_A</t>
  </si>
  <si>
    <t>LP4_DQ14_A/LP4X_DQ14_A/LP5_DQ14_A/LP5X_DQ14_A</t>
  </si>
  <si>
    <t>AT5</t>
  </si>
  <si>
    <t>LP5X_DQ13_A</t>
    <phoneticPr fontId="12" type="noConversion"/>
  </si>
  <si>
    <t>LP5_DQ13_A</t>
  </si>
  <si>
    <t>LP4X_DQ13_A</t>
  </si>
  <si>
    <t>LP4_DQ13_A</t>
  </si>
  <si>
    <t>LP4_DQ13_A/LP4X_DQ13_A/LP5_DQ13_A/LP5X_DQ13_A</t>
  </si>
  <si>
    <t>1AE3</t>
  </si>
  <si>
    <t>LP5X_DQ12_A</t>
    <phoneticPr fontId="12" type="noConversion"/>
  </si>
  <si>
    <t>LP5_DQ12_A</t>
  </si>
  <si>
    <t>LP4X_DQ12_A</t>
  </si>
  <si>
    <t>LP4_DQ12_A</t>
  </si>
  <si>
    <t>LP4_DQ12_A/LP4X_DQ12_A/LP5_DQ12_A/LP5X_DQ12_A</t>
  </si>
  <si>
    <t>AT2</t>
  </si>
  <si>
    <t>LP5X_DQ11_A</t>
    <phoneticPr fontId="12" type="noConversion"/>
  </si>
  <si>
    <t>LP5_DQ11_A</t>
  </si>
  <si>
    <t>LP4X_DQ11_A</t>
  </si>
  <si>
    <t>LP4_DQ11_A</t>
  </si>
  <si>
    <t>LP4_DQ11_A/LP4X_DQ11_A/LP5_DQ11_A/LP5X_DQ11_A</t>
  </si>
  <si>
    <t>AR5</t>
  </si>
  <si>
    <t>LP5X_DQ10_A</t>
    <phoneticPr fontId="12" type="noConversion"/>
  </si>
  <si>
    <t>LP5_DQ10_A</t>
  </si>
  <si>
    <t>LP4X_DQ10_A</t>
  </si>
  <si>
    <t>LP4_DQ10_A</t>
  </si>
  <si>
    <t>LP4_DQ10_A/LP4X_DQ10_A/LP5_DQ10_A/LP5X_DQ10_A</t>
  </si>
  <si>
    <t>AR6</t>
  </si>
  <si>
    <t>LP5X_DQ9_A</t>
    <phoneticPr fontId="12" type="noConversion"/>
  </si>
  <si>
    <t>LP5_DQ9_A</t>
  </si>
  <si>
    <t>LP4X_DQ9_A</t>
  </si>
  <si>
    <t>LP4_DQ9_A</t>
  </si>
  <si>
    <t>LP4_DQ9_A/LP4X_DQ9_A/LP5_DQ9_A/LP5X_DQ9_A</t>
  </si>
  <si>
    <t>AT6</t>
  </si>
  <si>
    <t>LP5X_DQ8_A</t>
    <phoneticPr fontId="12" type="noConversion"/>
  </si>
  <si>
    <t>LP5_DQ8_A</t>
  </si>
  <si>
    <t>LP4X_DQ8_A</t>
  </si>
  <si>
    <t>LP4_DQ8_A</t>
  </si>
  <si>
    <t>LP4_DQ8_A/LP4X_DQ8_A/LP5_DQ8_A/LP5X_DQ8_A</t>
  </si>
  <si>
    <t>AR4</t>
  </si>
  <si>
    <t>LP5X_WCK0N_A</t>
    <phoneticPr fontId="12" type="noConversion"/>
  </si>
  <si>
    <t>LP5_WCK0N_A/LP5X_WCK0N_A</t>
  </si>
  <si>
    <t>1V3</t>
  </si>
  <si>
    <t>LP5X_WCK0P_A</t>
    <phoneticPr fontId="12" type="noConversion"/>
  </si>
  <si>
    <t>LP5_WCK0P_A/LP5X_WCK0P_A</t>
  </si>
  <si>
    <t>1V2</t>
  </si>
  <si>
    <t>LP5X_RDQS0N_A</t>
    <phoneticPr fontId="12" type="noConversion"/>
  </si>
  <si>
    <t>LP5_RDQS0N_A</t>
  </si>
  <si>
    <t>LP4X_DQS0N_A</t>
  </si>
  <si>
    <t>LP4_DQS0N_A</t>
  </si>
  <si>
    <t>LP4_DQS0N_A/LP4X_DQS0N_A/LP5_RDQS0N_A/LP5X_RDQS0N_A</t>
  </si>
  <si>
    <t>1Y3</t>
  </si>
  <si>
    <t>LP5X_RDQS0P_A</t>
    <phoneticPr fontId="12" type="noConversion"/>
  </si>
  <si>
    <t>LP5_RDQS0P_A</t>
  </si>
  <si>
    <t>LP4X_DQS0P_A</t>
  </si>
  <si>
    <t>LP4_DQS0P_A</t>
  </si>
  <si>
    <t>LP4_DQS0P_A/LP4X_DQS0P_A/LP5_RDQS0P_A/LP5X_RDQS0P_A</t>
  </si>
  <si>
    <t>1Y2</t>
  </si>
  <si>
    <t>LP5X_DMI0_A</t>
    <phoneticPr fontId="12" type="noConversion"/>
  </si>
  <si>
    <t>LP5_DMI0_A</t>
  </si>
  <si>
    <t>LP4X_DMI0_A</t>
  </si>
  <si>
    <t>LP4_DMI0_A</t>
  </si>
  <si>
    <t>LP4_DM0_A/LP4X_DM0_A/LP5_DM0_A/LP5X_DM0_A</t>
  </si>
  <si>
    <t>AN2</t>
  </si>
  <si>
    <t>LP5X_DQ7_A</t>
    <phoneticPr fontId="12" type="noConversion"/>
  </si>
  <si>
    <t>LP5_DQ7_A</t>
  </si>
  <si>
    <t>LP4X_DQ7_A</t>
  </si>
  <si>
    <t>LP4_DQ7_A</t>
  </si>
  <si>
    <t>LP4_DQ7_A/LP4X_DQ7_A/LP5_DQ7_A/LP5X_DQ7_A</t>
  </si>
  <si>
    <t>AP2</t>
  </si>
  <si>
    <t>LP5X_DQ6_A</t>
    <phoneticPr fontId="12" type="noConversion"/>
  </si>
  <si>
    <t>LP5_DQ6_A</t>
  </si>
  <si>
    <t>LP4X_DQ6_A</t>
  </si>
  <si>
    <t>LP4_DQ6_A</t>
  </si>
  <si>
    <t>LP4_DQ6_A/LP4X_DQ6_A/LP5_DQ6_A/LP5X_DQ6_A</t>
  </si>
  <si>
    <t>AR2</t>
  </si>
  <si>
    <t>LP5X_DQ5_A</t>
    <phoneticPr fontId="12" type="noConversion"/>
  </si>
  <si>
    <t>LP5_DQ5_A</t>
  </si>
  <si>
    <t>LP4X_DQ5_A</t>
  </si>
  <si>
    <t>LP4_DQ5_A</t>
  </si>
  <si>
    <t>LP4_DQ5_A/LP4X_DQ5_A/LP5_DQ5_A/LP5X_DQ5_A</t>
  </si>
  <si>
    <t>AR1</t>
  </si>
  <si>
    <t>LP5X_DQ4_A</t>
    <phoneticPr fontId="12" type="noConversion"/>
  </si>
  <si>
    <t>LP5_DQ4_A</t>
  </si>
  <si>
    <t>LP4X_DQ4_A</t>
  </si>
  <si>
    <t>LP4_DQ4_A</t>
  </si>
  <si>
    <t>LP4_DQ4_A/LP4X_DQ4_A/LP5_DQ4_A/LP5X_DQ4_A</t>
  </si>
  <si>
    <t>AM1</t>
  </si>
  <si>
    <t>LP5X_DQ3_A</t>
    <phoneticPr fontId="12" type="noConversion"/>
  </si>
  <si>
    <t>LP5_DQ3_A</t>
  </si>
  <si>
    <t>LP4X_DQ3_A</t>
  </si>
  <si>
    <t>LP4_DQ3_A</t>
  </si>
  <si>
    <t>LP4_DQ3_A/LP4X_DQ3_A/LP5_DQ3_A/LP5X_DQ3_A</t>
  </si>
  <si>
    <t>AK1</t>
  </si>
  <si>
    <t>LP5X_DQ2_A</t>
    <phoneticPr fontId="12" type="noConversion"/>
  </si>
  <si>
    <t>LP5_DQ2_A</t>
  </si>
  <si>
    <t>LP4X_DQ2_A</t>
  </si>
  <si>
    <t>LP4_DQ2_A</t>
  </si>
  <si>
    <t>LP4_DQ2_A/LP4X_DQ2_A/LP5_DQ2_A/LP5X_DQ2_A</t>
  </si>
  <si>
    <t>AK2</t>
  </si>
  <si>
    <t>LP5X_DQ1_A</t>
    <phoneticPr fontId="12" type="noConversion"/>
  </si>
  <si>
    <t>LP5_DQ1_A</t>
  </si>
  <si>
    <t>LP4X_DQ1_A</t>
  </si>
  <si>
    <t>LP4_DQ1_A</t>
  </si>
  <si>
    <t>LP4_DQ1_A/LP4X_DQ1_A/LP5_DQ1_A/LP5X_DQ1_A</t>
  </si>
  <si>
    <t>AM2</t>
  </si>
  <si>
    <t>LP5X_DQ0_A</t>
    <phoneticPr fontId="12" type="noConversion"/>
  </si>
  <si>
    <t>LP5_DQ0_A</t>
  </si>
  <si>
    <t>LP4X_DQ0_A</t>
  </si>
  <si>
    <t>LP4_DQ0_A</t>
  </si>
  <si>
    <t>LP4_DQ0_A/LP4X_DQ0_A/LP5_DQ0_A/LP5X_DQ0_A</t>
  </si>
  <si>
    <t>AN1</t>
  </si>
  <si>
    <t>Part A</t>
    <phoneticPr fontId="2" type="noConversion"/>
  </si>
  <si>
    <t>Check Function 15</t>
  </si>
  <si>
    <t>Check Function 14</t>
  </si>
  <si>
    <t>Check Function 13</t>
  </si>
  <si>
    <t>Check Function 12</t>
  </si>
  <si>
    <t>Check Function 11</t>
  </si>
  <si>
    <t>Check Function 10</t>
  </si>
  <si>
    <t>Check Function 9</t>
  </si>
  <si>
    <t>Check Function 8</t>
  </si>
  <si>
    <t>Check Function 7</t>
  </si>
  <si>
    <t>Check Function 6</t>
  </si>
  <si>
    <t>Check Function 5</t>
  </si>
  <si>
    <t>Check Function 4</t>
  </si>
  <si>
    <t>Check Function 3</t>
  </si>
  <si>
    <t>Check Function 2</t>
  </si>
  <si>
    <t>Check Function 1</t>
  </si>
  <si>
    <t>Check Function 0</t>
  </si>
  <si>
    <t>Function 15</t>
  </si>
  <si>
    <t>Function 14</t>
  </si>
  <si>
    <t>Function 13</t>
  </si>
  <si>
    <t>Function 12</t>
  </si>
  <si>
    <t>Function 11</t>
  </si>
  <si>
    <t>Function 10</t>
  </si>
  <si>
    <t>Function 9</t>
  </si>
  <si>
    <t>Function 8</t>
  </si>
  <si>
    <t>Function 7</t>
  </si>
  <si>
    <t>Function 6</t>
  </si>
  <si>
    <t>Function 5</t>
  </si>
  <si>
    <t>Function 4</t>
  </si>
  <si>
    <t>Function 3</t>
  </si>
  <si>
    <t>Function 2</t>
  </si>
  <si>
    <t>Function 1</t>
  </si>
  <si>
    <t>Function 0</t>
    <phoneticPr fontId="2" type="noConversion"/>
  </si>
  <si>
    <t>备注</t>
    <phoneticPr fontId="12" type="noConversion"/>
  </si>
  <si>
    <t>Function Description</t>
    <phoneticPr fontId="2" type="noConversion"/>
  </si>
  <si>
    <t>Support
Interruptable</t>
    <phoneticPr fontId="2" type="noConversion"/>
  </si>
  <si>
    <t>Support
Schmitt
trigger</t>
    <phoneticPr fontId="2" type="noConversion"/>
  </si>
  <si>
    <t>Default 
IO Driver strength</t>
    <phoneticPr fontId="12" type="noConversion"/>
  </si>
  <si>
    <t>Support 
Drive
strength</t>
    <phoneticPr fontId="12" type="noConversion"/>
  </si>
  <si>
    <t>Pull
Resistor,Normal</t>
    <phoneticPr fontId="12" type="noConversion"/>
  </si>
  <si>
    <t>Default Pin type</t>
    <phoneticPr fontId="2" type="noConversion"/>
  </si>
  <si>
    <t>Pin type</t>
    <phoneticPr fontId="12" type="noConversion"/>
  </si>
  <si>
    <t>Support
Voltage</t>
    <phoneticPr fontId="12" type="noConversion"/>
  </si>
  <si>
    <t xml:space="preserve">Power
Domain </t>
    <phoneticPr fontId="12" type="noConversion"/>
  </si>
  <si>
    <t>Pin Name</t>
    <phoneticPr fontId="2" type="noConversion"/>
  </si>
  <si>
    <t>Pin Number</t>
    <phoneticPr fontId="2"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</si>
  <si>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本文档及其附件可能含有机密信息，来自福州瑞芯微电子股份有限公司，仅发送给指定接收者。若非该特定接收人，请勿复制、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6" type="noConversion"/>
  </si>
  <si>
    <t>Analog ground</t>
  </si>
  <si>
    <t>-</t>
    <phoneticPr fontId="12" type="noConversion"/>
  </si>
  <si>
    <t>-</t>
    <phoneticPr fontId="12" type="noConversion"/>
  </si>
  <si>
    <t>-</t>
    <phoneticPr fontId="12" type="noConversion"/>
  </si>
  <si>
    <t>Digital ground</t>
  </si>
  <si>
    <t>GPU power supply</t>
  </si>
  <si>
    <t>LOGIC power supply</t>
    <phoneticPr fontId="12" type="noConversion"/>
  </si>
  <si>
    <t>ARM CPU LIT  core power supply</t>
  </si>
  <si>
    <t>ARM CPU BIG core power supply</t>
  </si>
  <si>
    <t>OTP core power supply</t>
    <phoneticPr fontId="12" type="noConversion"/>
  </si>
  <si>
    <t>SAR ADC Analog power supply</t>
    <phoneticPr fontId="12" type="noConversion"/>
  </si>
  <si>
    <t>SAR ADC channel 7 input</t>
  </si>
  <si>
    <t>SAR ADC channel 6 input</t>
  </si>
  <si>
    <t>SAR ADC channel 5 input</t>
  </si>
  <si>
    <t>SAR ADC channel 4 input</t>
  </si>
  <si>
    <t>SAR ADC channel 3 input</t>
  </si>
  <si>
    <t>SAR ADC channel 2 input</t>
  </si>
  <si>
    <t>SAR ADC channel 1 input,with Recovery</t>
  </si>
  <si>
    <t>SAR ADC channel 0 input,with BOOT</t>
  </si>
  <si>
    <t>HDMI 1.8V common block power supply</t>
  </si>
  <si>
    <t>HDMI 1.8V lane power supply</t>
  </si>
  <si>
    <t>HDMI 0.75V power supply</t>
    <phoneticPr fontId="12" type="noConversion"/>
  </si>
  <si>
    <t>eDP reference resistor connection,Attach a 8.2K ohm 1% resistor to ground</t>
  </si>
  <si>
    <t>HDMI reference resistor connection,Attach a 8.2K ohm 1% resistor to ground</t>
  </si>
  <si>
    <t>eDP transmit differential data lane 3 negative</t>
  </si>
  <si>
    <t>O</t>
  </si>
  <si>
    <t>HDMI transmit differential data lane 3 negative</t>
  </si>
  <si>
    <t>HDMI transmit differential data lane 3 positive</t>
  </si>
  <si>
    <t>eDP transmit differential data lane 2 negative</t>
  </si>
  <si>
    <t>HDMI transmit differential data lane 2 negative</t>
  </si>
  <si>
    <t>eDP transmit differential data lane 2 positive</t>
  </si>
  <si>
    <t>HDMI transmit differential data lane 2 positive</t>
  </si>
  <si>
    <t>eDP transmit differential data lane 1 negative</t>
  </si>
  <si>
    <t>HDMI transmit differential data lane 1 negative</t>
  </si>
  <si>
    <t>eDP transmit differential data lane 1 positive</t>
  </si>
  <si>
    <t>HDMI transmit differential data lane 1 positive</t>
  </si>
  <si>
    <t>eDP transmit differential data lane 0 negative</t>
  </si>
  <si>
    <t>HDMI transmit differential data lane 0 negative</t>
  </si>
  <si>
    <t>eDP transmit differential data lane 0 positive</t>
  </si>
  <si>
    <t>HDMI transmit differential data lane 0 positive</t>
  </si>
  <si>
    <t>EDP AUX differential Nesitive</t>
  </si>
  <si>
    <t>HDMI sideband differential data lane Nesitive</t>
  </si>
  <si>
    <t>EDP AUX differential positive</t>
  </si>
  <si>
    <t>HDMI sideband differential data lane positive</t>
  </si>
  <si>
    <t>MIPI_DPHY_CSI0_RX_D2P</t>
  </si>
  <si>
    <t>MIPI_DPHY_CSI0_RX_D2N</t>
  </si>
  <si>
    <t>PCIe21 Port1 receive differential negative</t>
  </si>
  <si>
    <t>PCIe21 Port1 receive differential positive</t>
  </si>
  <si>
    <t>SATA30 Port0 receive differential negative</t>
  </si>
  <si>
    <t>PCIe21 Port0 receive differential negative</t>
  </si>
  <si>
    <t>SATA30 Port0 receive differential positive</t>
  </si>
  <si>
    <t>PCIe21 Port0 receive differential positive</t>
  </si>
  <si>
    <t>SATA30 Port0 transmit differential negative</t>
  </si>
  <si>
    <t>PCIe21 Port0 transmit differential  negative</t>
  </si>
  <si>
    <t>SATA30 Port0 transmit differential positive</t>
  </si>
  <si>
    <t>PCIe21 Port0 transmit differential  positive</t>
  </si>
  <si>
    <t>PCIe21 Port0 differential clock negative,input or output</t>
  </si>
  <si>
    <t>PCIe21 Port0 differential clock positive, input or output</t>
  </si>
  <si>
    <t>USB2 PHY 3.3V power supply</t>
    <phoneticPr fontId="12" type="noConversion"/>
  </si>
  <si>
    <t>USB2_OTG_AVDD3V3</t>
  </si>
  <si>
    <t>USB2 PHY 1.8V power supply</t>
    <phoneticPr fontId="12" type="noConversion"/>
  </si>
  <si>
    <t>USB2_OTG_AVDD1V8</t>
    <phoneticPr fontId="12" type="noConversion"/>
  </si>
  <si>
    <t>USB2 PHY 0.75V power supply</t>
    <phoneticPr fontId="12" type="noConversion"/>
  </si>
  <si>
    <t>USB2_OTG_DVDD0V75</t>
  </si>
  <si>
    <t>USB2 reference resistor connection,Attach a 200 ohm 1% resistor to ground</t>
  </si>
  <si>
    <t>USB2 OTG1 ID detect(Internal weak pull-up to USB2_OTG_AVDD1V8)</t>
  </si>
  <si>
    <t xml:space="preserve">USB2 OTG Port1 data Minus </t>
  </si>
  <si>
    <t xml:space="preserve">USB2 OTG Port1 data Plus </t>
  </si>
  <si>
    <t>USB2 OTG0 ID detect(Internal weak pull-up to USB2_OTG_AVDD1V8)</t>
  </si>
  <si>
    <t xml:space="preserve">USB2 OTG Port0 data Minus </t>
  </si>
  <si>
    <t xml:space="preserve">USB2 OTG Port0 data Plus </t>
  </si>
  <si>
    <t>GPIO</t>
    <phoneticPr fontId="12" type="noConversion"/>
  </si>
  <si>
    <t>Part K</t>
  </si>
  <si>
    <t>VCCIO6 domain power supply, 1.8V or 3.3V</t>
  </si>
  <si>
    <t>GPIO</t>
  </si>
  <si>
    <t>synchronization output signal of VP0</t>
  </si>
  <si>
    <t>HDMI TX I2C bus data/address</t>
  </si>
  <si>
    <t>HDMI TX I2C bus clock</t>
  </si>
  <si>
    <t>VCCIO5 domain power supply, 1.8V or 3.3V</t>
  </si>
  <si>
    <t>Double data Rate Serial Memory controller interrupt 2</t>
  </si>
  <si>
    <t>Post linebuffer empty,Debug used,just for Rockchip internal</t>
  </si>
  <si>
    <t>GPIO4_A1_d</t>
  </si>
  <si>
    <t>Double data Rate Serial Memory controller interrupt 0</t>
  </si>
  <si>
    <t>GPIO4_A0_d</t>
  </si>
  <si>
    <t>PWM2_CH7_M3</t>
  </si>
  <si>
    <t>Double data Rate Serial Memory controller reset</t>
  </si>
  <si>
    <t>E-book interface source output enable</t>
    <phoneticPr fontId="12" type="noConversion"/>
  </si>
  <si>
    <t>LCDC output clock</t>
  </si>
  <si>
    <t>GPIO3_D7_d</t>
  </si>
  <si>
    <t>PWM2_CH6_M3</t>
  </si>
  <si>
    <t>Double data Rate Serial Memory controller clock out negative</t>
  </si>
  <si>
    <t>E-book interface source clock</t>
  </si>
  <si>
    <t>LCDC output vertical sync</t>
  </si>
  <si>
    <t>GPIO3_D6_d</t>
  </si>
  <si>
    <t>Double data Rate Serial Memory controller clock out positive</t>
  </si>
  <si>
    <t>E-book interface gate clock</t>
  </si>
  <si>
    <t>LCDC output horizontal sync</t>
  </si>
  <si>
    <t>GPIO3_D5_d</t>
  </si>
  <si>
    <t>Double data Rate Serial Memory controller data 0</t>
  </si>
  <si>
    <t>E-book interface source latch enable</t>
    <phoneticPr fontId="12" type="noConversion"/>
  </si>
  <si>
    <t>LCDC output data enable</t>
  </si>
  <si>
    <t>GPIO3_D4_d</t>
  </si>
  <si>
    <t>Double data Rate Serial Memory controller chip select 0</t>
  </si>
  <si>
    <t>E-book interface data 0</t>
  </si>
  <si>
    <t>LCDC output data 0</t>
  </si>
  <si>
    <t>Double data Rate Serial Memory controller chip select 3</t>
  </si>
  <si>
    <t>SAI2_SDI_M2</t>
  </si>
  <si>
    <t>E-book interface data 1</t>
  </si>
  <si>
    <t>LCDC output data 1</t>
  </si>
  <si>
    <t>GPIO3_D2_d</t>
  </si>
  <si>
    <t>Double data Rate Serial Memory controller chip select 2</t>
  </si>
  <si>
    <t>E-book interface data 2</t>
  </si>
  <si>
    <t>LCDC output data 2</t>
  </si>
  <si>
    <t>GPIO3_D1_d</t>
  </si>
  <si>
    <t>Double data Rate Serial Memory controller data 1</t>
  </si>
  <si>
    <t>E-book interface data 3</t>
  </si>
  <si>
    <t>LCDC output data 3</t>
  </si>
  <si>
    <t>GPIO3_D0_d</t>
  </si>
  <si>
    <t>Double data Rate Serial Memory controller data 2</t>
  </si>
  <si>
    <t>LCDC output data 4</t>
  </si>
  <si>
    <t>GPIO3_C7_d</t>
  </si>
  <si>
    <t>Double data Rate Serial Memory controller data 3</t>
  </si>
  <si>
    <t>E-book interface data 5</t>
  </si>
  <si>
    <t>LCDC output data 5</t>
  </si>
  <si>
    <t>GPIO3_C6_d</t>
  </si>
  <si>
    <t>Double data Rate Serial Memory controller data 4</t>
  </si>
  <si>
    <t>E-book interface data 6</t>
  </si>
  <si>
    <t>LCDC output data 6</t>
  </si>
  <si>
    <t>GPIO3_C5_d</t>
  </si>
  <si>
    <t>Double data Rate Serial Memory controller data 5</t>
  </si>
  <si>
    <t>E-book interface data 7</t>
  </si>
  <si>
    <t>LCDC output data 7</t>
  </si>
  <si>
    <t>GPIO3_C4_d</t>
  </si>
  <si>
    <t>Double data Rate Serial Memory controller interrupt 3</t>
  </si>
  <si>
    <t>E-book interface data 8</t>
  </si>
  <si>
    <t>LCDC output data 8</t>
  </si>
  <si>
    <t>GPIO3_C3_d</t>
  </si>
  <si>
    <t>Double data Rate Serial Memory controller interrupt 1</t>
  </si>
  <si>
    <t>E-book interface data 9</t>
  </si>
  <si>
    <t>LCDC output data 9</t>
  </si>
  <si>
    <t>GPIO3_C2_d</t>
  </si>
  <si>
    <t>Double data Rate Serial Memory controller data 6</t>
  </si>
  <si>
    <t>E-book interface data 10</t>
  </si>
  <si>
    <t>LCDC output data 10</t>
  </si>
  <si>
    <t>GPIO3_C1_d</t>
  </si>
  <si>
    <t>Double data Rate Serial Memory controller data 7</t>
  </si>
  <si>
    <t>E-book interface data 11</t>
  </si>
  <si>
    <t>LCDC output data 11</t>
  </si>
  <si>
    <t>GPIO3_C0_d</t>
  </si>
  <si>
    <t>Double data Rate Serial Memory controller data Strobe 0</t>
  </si>
  <si>
    <t>E-book interface data 12</t>
  </si>
  <si>
    <t>LCDC output data 12</t>
  </si>
  <si>
    <t>GPIO3_B7_d</t>
  </si>
  <si>
    <t>Double data Rate Serial Memory controller data Strobe 1</t>
  </si>
  <si>
    <t>E-book interface data 13</t>
  </si>
  <si>
    <t>LCDC output data 13</t>
  </si>
  <si>
    <t>GPIO3_B6_d</t>
  </si>
  <si>
    <t>PWM1_CH5_M3</t>
  </si>
  <si>
    <t>Double data Rate Serial Memory controller data 8</t>
  </si>
  <si>
    <t>E-book interface data 14</t>
  </si>
  <si>
    <t>LCDC output data 14</t>
  </si>
  <si>
    <t>GPIO3_B5_d</t>
  </si>
  <si>
    <t>Double data Rate Serial Memory controller data 9</t>
  </si>
  <si>
    <t>E-book interface data 15</t>
  </si>
  <si>
    <t>LCDC output data 15</t>
  </si>
  <si>
    <t>GPIO3_B4_d</t>
  </si>
  <si>
    <t>Double data Rate Serial Memory controller data 10</t>
  </si>
  <si>
    <t>E-book interface source chip select 0</t>
  </si>
  <si>
    <t>LCDC output data 16</t>
  </si>
  <si>
    <t>GPIO3_B3_d</t>
  </si>
  <si>
    <t>Double data Rate Serial Memory controller data 11</t>
  </si>
  <si>
    <t>E-book interface source chip select 1</t>
  </si>
  <si>
    <t>LCDC output data 17</t>
  </si>
  <si>
    <t>GPIO3_B2_d</t>
  </si>
  <si>
    <t>Double data Rate Serial Memory controller data 12</t>
  </si>
  <si>
    <t>E-book interface source chip select 2</t>
  </si>
  <si>
    <t>LCDC output data 18</t>
  </si>
  <si>
    <t>GPIO3_B1_d</t>
  </si>
  <si>
    <t>Double data Rate Serial Memory controller chip select 1</t>
  </si>
  <si>
    <t>E-book interface source chip select 3</t>
  </si>
  <si>
    <t>LCDC output data 19</t>
  </si>
  <si>
    <t>GPIO3_B0_d</t>
  </si>
  <si>
    <t>E-book interface com voltage control</t>
    <phoneticPr fontId="12" type="noConversion"/>
  </si>
  <si>
    <t>LCDC output data 20</t>
  </si>
  <si>
    <t>GPIO3_A7_d</t>
  </si>
  <si>
    <t>Double data Rate Serial Memory controller data 14</t>
  </si>
  <si>
    <t>E-book interface gate output enable</t>
    <phoneticPr fontId="12" type="noConversion"/>
  </si>
  <si>
    <t>LCDC output data 21</t>
  </si>
  <si>
    <t>GPIO3_A6_d</t>
  </si>
  <si>
    <t>E-book interface gate start pulse</t>
    <phoneticPr fontId="12" type="noConversion"/>
  </si>
  <si>
    <t>LCDC output data 22</t>
  </si>
  <si>
    <t>GPIO3_A5_d</t>
  </si>
  <si>
    <t>Double data rate Serial Memory Controller backpressure ready</t>
    <phoneticPr fontId="12" type="noConversion"/>
  </si>
  <si>
    <t>LCDC output data 23</t>
  </si>
  <si>
    <t>GPIO3_A4_d</t>
  </si>
  <si>
    <t>VCCIO4 domain power supply, 1.8V or 3.3V</t>
  </si>
  <si>
    <t>GPIO2_D7_d</t>
  </si>
  <si>
    <t>GPIO2_D5_d</t>
  </si>
  <si>
    <t>GPIO2_D4_d</t>
  </si>
  <si>
    <t>GPIO2_D3_d</t>
  </si>
  <si>
    <t>GPIO2_D2_d</t>
  </si>
  <si>
    <t>GPIO2_D1_d</t>
  </si>
  <si>
    <t>GPIO2_D0_d</t>
  </si>
  <si>
    <t>GPIO2_C7_d</t>
  </si>
  <si>
    <t>GPIO2_C6_d</t>
  </si>
  <si>
    <t>GPIO2_C5_d</t>
  </si>
  <si>
    <t>GPIO2_C4_d</t>
  </si>
  <si>
    <t>GPIO2_B7_d</t>
  </si>
  <si>
    <t>GPIO2_B4_d</t>
  </si>
  <si>
    <t>GPIO2_B3_d</t>
  </si>
  <si>
    <t>VCCIO3 domain power supply, 1.8V or 3.3V</t>
  </si>
  <si>
    <t>GPIO1_D5_d</t>
  </si>
  <si>
    <t>GPIO1_D4_d</t>
  </si>
  <si>
    <t>GPIO1_D3_d</t>
  </si>
  <si>
    <t>GPIO1_D2_d</t>
  </si>
  <si>
    <t>GPIO1_D1_d</t>
  </si>
  <si>
    <t>GPIO1_D0_d</t>
  </si>
  <si>
    <t>GPIO1_C7_d</t>
  </si>
  <si>
    <t>GPIO1_C6_d</t>
  </si>
  <si>
    <t>GPIO1_C5_d</t>
  </si>
  <si>
    <t>GPIO1_C4_d</t>
  </si>
  <si>
    <t>GPIO1_C3_u</t>
  </si>
  <si>
    <t>GPIO1_C2_u</t>
    <phoneticPr fontId="12" type="noConversion"/>
  </si>
  <si>
    <t>GPIO1_C1_d</t>
  </si>
  <si>
    <t>GPIO1_C0_d</t>
  </si>
  <si>
    <t>GPIO1_B7_d</t>
  </si>
  <si>
    <t>GPIO1_B6_d</t>
  </si>
  <si>
    <t>GPIO1_B5_d</t>
  </si>
  <si>
    <t>GPIO1_B4_d</t>
  </si>
  <si>
    <t>VCCIO2 domain power supply, 1.8V or 3.3V</t>
  </si>
  <si>
    <t>PMU domain core power 0.75V</t>
  </si>
  <si>
    <t>PMUIO 1 domain power 1.8V or 3.3V</t>
  </si>
  <si>
    <t>GPIO0_D5_u</t>
  </si>
  <si>
    <t>GPIO0_D4_u</t>
  </si>
  <si>
    <t>GPU Power AVS control</t>
  </si>
  <si>
    <t>GPIO0_D3_d</t>
  </si>
  <si>
    <t>ARM CPU BIG Power AVS control</t>
  </si>
  <si>
    <t>GPIO0_D2_d</t>
  </si>
  <si>
    <t>GPIO0_D1_d</t>
  </si>
  <si>
    <t>GPIO0_D0_d</t>
  </si>
  <si>
    <t>GPIO0_C7_d</t>
  </si>
  <si>
    <t>GPIO0_C6_d</t>
  </si>
  <si>
    <t>GPIO0_C5_d</t>
  </si>
  <si>
    <t>GPIO0_C4_d</t>
  </si>
  <si>
    <t>GPIO0_C3_d</t>
  </si>
  <si>
    <t>GPIO0_C2_d</t>
  </si>
  <si>
    <t>UART8_TX_M2</t>
  </si>
  <si>
    <t>GPIO0_C1_d</t>
  </si>
  <si>
    <t>ARM CPU LIT Power AVS control</t>
  </si>
  <si>
    <t>GPIO0_C0_d</t>
  </si>
  <si>
    <t>NPU Power AVS control</t>
  </si>
  <si>
    <t>GPIO0_B7_d</t>
  </si>
  <si>
    <t>GPIO0_B6_d</t>
  </si>
  <si>
    <t>REF clock output 2</t>
  </si>
  <si>
    <t>GPIO0_B5_d</t>
  </si>
  <si>
    <t>REF clock output 1</t>
  </si>
  <si>
    <t>GPIO0_B4_d</t>
  </si>
  <si>
    <t>PMUIO 0 domain power 1.8V</t>
  </si>
  <si>
    <t>GPIO0_B3_z</t>
  </si>
  <si>
    <t>GPIO0_B2_z</t>
  </si>
  <si>
    <t>GPIO0_B1_z</t>
  </si>
  <si>
    <t>GPIO0_B0_z</t>
  </si>
  <si>
    <t>GPIO0_A7_u</t>
  </si>
  <si>
    <t>PMIC Interupt input</t>
  </si>
  <si>
    <t>GPIO0_A6_u</t>
  </si>
  <si>
    <t>PMIC control output 3</t>
    <phoneticPr fontId="12" type="noConversion"/>
  </si>
  <si>
    <t>GPIO0_A5_d</t>
  </si>
  <si>
    <t>PMIC control output 2</t>
    <phoneticPr fontId="12" type="noConversion"/>
  </si>
  <si>
    <t>GPIO0_A4_d</t>
  </si>
  <si>
    <t>PMIC control output 1</t>
    <phoneticPr fontId="12" type="noConversion"/>
  </si>
  <si>
    <t>GPIO0_A3_d</t>
  </si>
  <si>
    <t>GPIO0_A2_d</t>
  </si>
  <si>
    <t>GPIO0_A1_z</t>
  </si>
  <si>
    <t>REF clock output 0</t>
  </si>
  <si>
    <t>GPIO0_A0_d</t>
  </si>
  <si>
    <t>Connect to Ground</t>
    <phoneticPr fontId="12" type="noConversion"/>
  </si>
  <si>
    <t>TVSS</t>
  </si>
  <si>
    <t>System reset input</t>
  </si>
  <si>
    <t>System PLL Ground</t>
  </si>
  <si>
    <t>System PLL 1.8V power supply</t>
    <phoneticPr fontId="12" type="noConversion"/>
  </si>
  <si>
    <t>System PLL 0.75V power supply</t>
    <phoneticPr fontId="12" type="noConversion"/>
  </si>
  <si>
    <t>OSC 1.8V power supply</t>
    <phoneticPr fontId="12" type="noConversion"/>
  </si>
  <si>
    <t>System Oscillator clock input</t>
  </si>
  <si>
    <t>System Oscillator clock output</t>
  </si>
  <si>
    <t>VCCIO1 domain power supply, 1.8V or 3.3V</t>
  </si>
  <si>
    <t>SAI3_SCLK_M3</t>
  </si>
  <si>
    <t>SDMMC0 clock</t>
  </si>
  <si>
    <t>GPIO2_A5_d</t>
  </si>
  <si>
    <t>SAI3_SDI_M3</t>
  </si>
  <si>
    <t>GPIO2_A3_d</t>
  </si>
  <si>
    <t>SAI3_LRCK_M3</t>
  </si>
  <si>
    <t>GPIO2_A2_d</t>
  </si>
  <si>
    <t>GPIO2_A1_d</t>
  </si>
  <si>
    <t>GPIO2_A0_d</t>
  </si>
  <si>
    <t>VCCIO0 domain power supply, 1.8V</t>
  </si>
  <si>
    <t>eMMC reset</t>
  </si>
  <si>
    <t>GPIO1_B3_u</t>
  </si>
  <si>
    <t>eMMC data Strobe</t>
  </si>
  <si>
    <t>GPIO1_B2_d</t>
  </si>
  <si>
    <t>eMMC clock out</t>
  </si>
  <si>
    <t>GPIO1_B1_d</t>
  </si>
  <si>
    <t>eMMC command</t>
  </si>
  <si>
    <t>GPIO1_B0_u</t>
    <phoneticPr fontId="12" type="noConversion"/>
  </si>
  <si>
    <t>eMMC data7</t>
  </si>
  <si>
    <t>GPIO1_A7_u</t>
  </si>
  <si>
    <t>eMMC data6</t>
  </si>
  <si>
    <t>GPIO1_A6_u</t>
  </si>
  <si>
    <t>eMMC data5</t>
  </si>
  <si>
    <t>GPIO1_A5_u</t>
  </si>
  <si>
    <t>eMMC data4</t>
  </si>
  <si>
    <t>GPIO1_A4_u</t>
  </si>
  <si>
    <t>eMMC data3</t>
  </si>
  <si>
    <t>GPIO1_A3_u</t>
  </si>
  <si>
    <t>eMMC data2</t>
  </si>
  <si>
    <t>GPIO1_A2_u</t>
  </si>
  <si>
    <t>eMMC data1</t>
  </si>
  <si>
    <t>GPIO1_A1_u</t>
  </si>
  <si>
    <t>eMMC data0</t>
  </si>
  <si>
    <t>GPIO1_A0_u</t>
  </si>
  <si>
    <t>UFS 0.85V power supply</t>
    <phoneticPr fontId="12" type="noConversion"/>
  </si>
  <si>
    <t>External reference resistor connection. Attach a 8.2K ohm 1% resistor to ground</t>
  </si>
  <si>
    <t>UFS receive differential data lane1 negative</t>
  </si>
  <si>
    <t>UFS receive differential data lane1 positive</t>
  </si>
  <si>
    <t>UFS receive differential data lane0 negative</t>
  </si>
  <si>
    <t>UFS receive differential data lane0 positive</t>
  </si>
  <si>
    <t>UFS transmit differential data lane1 negative</t>
  </si>
  <si>
    <t>UFS transmit differential data lane1 positive</t>
  </si>
  <si>
    <t>UFS transmit differential data lane0 negative</t>
  </si>
  <si>
    <t>UFS transmit differential data lane0 positive</t>
  </si>
  <si>
    <t>Power for Digital Core, V=0.75V-0.85V</t>
  </si>
  <si>
    <t>Power for DDR PLL Anolog, V=1.8V</t>
  </si>
  <si>
    <t xml:space="preserve">LP5 reset </t>
  </si>
  <si>
    <t xml:space="preserve">LP4X reset </t>
  </si>
  <si>
    <t xml:space="preserve">LP4 reset </t>
  </si>
  <si>
    <t>LP5 chip select 1 of channel B</t>
  </si>
  <si>
    <t>LP4X clock enable 1 of channel B</t>
  </si>
  <si>
    <t>LP4 clock enable 1 of channel B</t>
  </si>
  <si>
    <t>LP5 chip select 0 of channel B</t>
  </si>
  <si>
    <t>LP4X clock enable 0 of channel B</t>
  </si>
  <si>
    <t>LP4 clock enable 0 of channel B</t>
  </si>
  <si>
    <t>LP4X chip select 1 of channel B</t>
  </si>
  <si>
    <t>LP4 chip select 1 of channel B</t>
  </si>
  <si>
    <t>LP4X chip select 0 of channel B</t>
  </si>
  <si>
    <t>LP4 chip select 0 of channel B</t>
  </si>
  <si>
    <t>LP5 clock negative  of channel B</t>
  </si>
  <si>
    <t>LP4X clock negative  of channel B</t>
  </si>
  <si>
    <t>LP4 clock negative  of channel B</t>
  </si>
  <si>
    <t>LP5 clock positive  of channel B</t>
  </si>
  <si>
    <t>LP4X clock positive  of channel B</t>
  </si>
  <si>
    <t>LP4 clock positive  of channel B</t>
  </si>
  <si>
    <t>LP5 address 5 of channel B</t>
  </si>
  <si>
    <t>LP4X address 5 of channel B</t>
  </si>
  <si>
    <t>LP4 address 5 of channel B</t>
  </si>
  <si>
    <t>LP5 address 4 of channel B</t>
  </si>
  <si>
    <t>LP4X address 4 of channel B</t>
  </si>
  <si>
    <t>LP4 address 4 of channel B</t>
  </si>
  <si>
    <t>LP5 address 3 of channel B</t>
  </si>
  <si>
    <t>LP4X address 3 of channel B</t>
  </si>
  <si>
    <t>LP4 address 3 of channel B</t>
  </si>
  <si>
    <t>LP5 address 2 of channel B</t>
  </si>
  <si>
    <t>LP4X address 2 of channel B</t>
  </si>
  <si>
    <t>LP4 address 2 of channel B</t>
  </si>
  <si>
    <t>LP5 address 1 of channel B</t>
  </si>
  <si>
    <t>LP4X address 1 of channel B</t>
  </si>
  <si>
    <t>LP4 address 1 of channel B</t>
  </si>
  <si>
    <t>LP5 address 0 of channel B</t>
  </si>
  <si>
    <t>LP4X address 0 of channel B</t>
  </si>
  <si>
    <t>LP4 address 0 of channel B</t>
  </si>
  <si>
    <t>LP5 write clock negative 1 of channel B</t>
  </si>
  <si>
    <t>LP5 write clock positive 1 of channel B</t>
  </si>
  <si>
    <t>LP5 RDQS negative 1 of channel B</t>
  </si>
  <si>
    <t>LP4X data strobes negative 1 of channel B</t>
  </si>
  <si>
    <t>LP4 data strobes negative 1 of channel B</t>
  </si>
  <si>
    <t>LP5 RDQS positive 1 of channel B</t>
  </si>
  <si>
    <t>LP4X data strobes positive 1 of channel B</t>
  </si>
  <si>
    <t>LP4 data strobes positive 1 of channel B</t>
  </si>
  <si>
    <t>LP5 data mask inversion 1 of channel B</t>
  </si>
  <si>
    <t>LP4X data mask inversion 1 of channel B</t>
  </si>
  <si>
    <t>LP4 data mask inversion 1 of channel B</t>
  </si>
  <si>
    <t>LP5 data 15 of channel B</t>
  </si>
  <si>
    <t>LP4X data 15 of channel B</t>
  </si>
  <si>
    <t>LP4 data 15 of channel B</t>
  </si>
  <si>
    <t>LP5 data 14 of channel B</t>
  </si>
  <si>
    <t>LP4X data 14 of channel B</t>
  </si>
  <si>
    <t>LP4 data 14 of channel B</t>
  </si>
  <si>
    <t>LP5 data 13 of channel B</t>
  </si>
  <si>
    <t>LP4X data 13 of channel B</t>
  </si>
  <si>
    <t>LP4 data 13 of channel B</t>
  </si>
  <si>
    <t>LP5 data 12 of channel B</t>
  </si>
  <si>
    <t>LP4X data 12 of channel B</t>
  </si>
  <si>
    <t>LP4 data 12 of channel B</t>
  </si>
  <si>
    <t>LP5 data 11 of channel B</t>
  </si>
  <si>
    <t>LP4X data 11 of channel B</t>
  </si>
  <si>
    <t>LP4 data 11 of channel B</t>
  </si>
  <si>
    <t>LP5 data 10 of channel B</t>
  </si>
  <si>
    <t>LP4X data 10 of channel B</t>
  </si>
  <si>
    <t>LP4 data 10 of channel B</t>
  </si>
  <si>
    <t>LP5 data 9 of channel B</t>
  </si>
  <si>
    <t>LP4X data 9 of channel B</t>
  </si>
  <si>
    <t>LP4 data 9 of channel B</t>
  </si>
  <si>
    <t>LP5 data 8 of channel B</t>
  </si>
  <si>
    <t>LP4X data 8 of channel B</t>
  </si>
  <si>
    <t>LP4 data 8 of channel B</t>
  </si>
  <si>
    <t>LP5 write clock negative 0 of channel B</t>
  </si>
  <si>
    <t>LP5 write clock positive 0 of channel B</t>
  </si>
  <si>
    <t>LP5 RDQS negative 0 of channel B</t>
  </si>
  <si>
    <t>LP4X data strobes negative 0 of channel B</t>
  </si>
  <si>
    <t>LP4 data strobes negative 0 of channel B</t>
  </si>
  <si>
    <t>LP5 RDQS positive 0 of channel B</t>
  </si>
  <si>
    <t>LP4X data strobes positive 0 of channel B</t>
  </si>
  <si>
    <t>LP4 data strobes positive 0 of channel B</t>
  </si>
  <si>
    <t>LP5 data mask inversion 0 of channel B</t>
  </si>
  <si>
    <t>LP4X data mask inversion 0 of channel B</t>
  </si>
  <si>
    <t>LP4 data mask inversion 0 of channel B</t>
  </si>
  <si>
    <t>LP5 data 7 of channel B</t>
  </si>
  <si>
    <t>LP4X data 7 of channel B</t>
  </si>
  <si>
    <t>LP4 data 7 of channel B</t>
  </si>
  <si>
    <t>LP5 data 6 of channel B</t>
  </si>
  <si>
    <t>LP4X data 6 of channel B</t>
  </si>
  <si>
    <t>LP4 data 6 of channel B</t>
  </si>
  <si>
    <t>LP5 data 5 of channel B</t>
  </si>
  <si>
    <t>LP4X data 5 of channel B</t>
  </si>
  <si>
    <t>LP4 data 5 of channel B</t>
  </si>
  <si>
    <t>LP5 data 4 of channel B</t>
  </si>
  <si>
    <t>LP4X data 4 of channel B</t>
  </si>
  <si>
    <t>LP4 data 4 of channel B</t>
  </si>
  <si>
    <t>LP5 data 3 of channel B</t>
  </si>
  <si>
    <t>LP4X data 3 of channel B</t>
  </si>
  <si>
    <t>LP4 data 3 of channel B</t>
  </si>
  <si>
    <t>LP5 data 2 of channel B</t>
  </si>
  <si>
    <t>LP4X data 2 of channel B</t>
  </si>
  <si>
    <t>LP4 data 2 of channel B</t>
  </si>
  <si>
    <t>LP5 data 1 of channel B</t>
  </si>
  <si>
    <t>LP4X data 1 of channel B</t>
  </si>
  <si>
    <t>LP4 data 1 of channel B</t>
  </si>
  <si>
    <t>LP5 data 0 of channel B</t>
  </si>
  <si>
    <t>LP4X data 0 of channel B</t>
  </si>
  <si>
    <t>LP4 data 0 of channel B</t>
  </si>
  <si>
    <t>ZQ_A</t>
  </si>
  <si>
    <t>LP5 chip select 1 of channel A</t>
  </si>
  <si>
    <t>LP5_CSN1_A</t>
  </si>
  <si>
    <t>LP4X clock enable 1 of channel A</t>
  </si>
  <si>
    <t>LP4X_CKE1_A</t>
  </si>
  <si>
    <t>LP4 clock enable 1 of channel A</t>
  </si>
  <si>
    <t>LP4_CKE1_A</t>
  </si>
  <si>
    <t>LP5 chip select 0 of channel A</t>
  </si>
  <si>
    <t>LP5_CSN0_A</t>
  </si>
  <si>
    <t>LP4X clock enable 0 of channel A</t>
  </si>
  <si>
    <t>LP4X_CKE0_A</t>
  </si>
  <si>
    <t>LP4 clock enable 0 of channel A</t>
  </si>
  <si>
    <t>LP4_CKE0_A</t>
  </si>
  <si>
    <t>LP4X chip select 1 of channel A</t>
  </si>
  <si>
    <t>LP4X_CSN1_A</t>
  </si>
  <si>
    <t>LP4 chip select 1 of channel A</t>
  </si>
  <si>
    <t>LP4_CSN1_A</t>
  </si>
  <si>
    <t>LP4X chip select 0 of channel A</t>
  </si>
  <si>
    <t>LP4X_CSN0_A</t>
  </si>
  <si>
    <t>LP4 chip select 0 of channel A</t>
  </si>
  <si>
    <t>LP4_CSN0_A</t>
  </si>
  <si>
    <t>LP5 clock negative  of channel A</t>
  </si>
  <si>
    <t>LP4X clock negative  of channel A</t>
  </si>
  <si>
    <t>LP4 clock negative  of channel A</t>
  </si>
  <si>
    <t>LP5 clock positive  of channel A</t>
  </si>
  <si>
    <t>LP4X clock positive  of channel A</t>
  </si>
  <si>
    <t>LP4 clock positive  of channel A</t>
  </si>
  <si>
    <t>LP4X address 5 of channel A</t>
  </si>
  <si>
    <t>LP4 address 5 of channel A</t>
  </si>
  <si>
    <t>LP5 address 4 of channel A</t>
  </si>
  <si>
    <t>LP4X address 4 of channel A</t>
  </si>
  <si>
    <t>LP4 address 4 of channel A</t>
  </si>
  <si>
    <t>LP5 address 3 of channel A</t>
  </si>
  <si>
    <t>LP4X address 3 of channel A</t>
  </si>
  <si>
    <t>LP4 address 3 of channel A</t>
  </si>
  <si>
    <t>LP5 address 2 of channel A</t>
  </si>
  <si>
    <t>LP4X address 2 of channel A</t>
  </si>
  <si>
    <t>LP4 address 2 of channel A</t>
  </si>
  <si>
    <t>LP5 address 1 of channel A</t>
  </si>
  <si>
    <t>LP4X address 1 of channel A</t>
  </si>
  <si>
    <t>LP4 address 1 of channel A</t>
  </si>
  <si>
    <t>LP5 address 0 of channel A</t>
  </si>
  <si>
    <t>LP4X address 0 of channel A</t>
  </si>
  <si>
    <t>LP4 address 0 of channel A</t>
  </si>
  <si>
    <t>LP5 write clock negative 1 of channel A</t>
  </si>
  <si>
    <t>LP5 write clock positive 1 of channel A</t>
  </si>
  <si>
    <t>LP5 RDQS negative 1 of channel A</t>
  </si>
  <si>
    <t>LP4X data strobes negative 1 of channel A</t>
  </si>
  <si>
    <t>LP4 data strobes negative 1 of channel A</t>
  </si>
  <si>
    <t>LP5 RDQS positive 1 of channel A</t>
  </si>
  <si>
    <t>LP4X data strobes positive 1 of channel A</t>
  </si>
  <si>
    <t>LP4 data strobes positive 1 of channel A</t>
  </si>
  <si>
    <t>LP5 data mask inversion 1 of channel A</t>
  </si>
  <si>
    <t>LP4X data mask inversion 1 of channel A</t>
  </si>
  <si>
    <t>LP4 data mask inversion 1 of channel A</t>
  </si>
  <si>
    <t>LP5 data 15 of channel A</t>
  </si>
  <si>
    <t>LP4X data 15 of channel A</t>
  </si>
  <si>
    <t>LP4 data 15 of channel A</t>
  </si>
  <si>
    <t>LP5 data 14 of channel A</t>
  </si>
  <si>
    <t>LP4X data 14 of channel A</t>
  </si>
  <si>
    <t>LP4 data 14 of channel A</t>
  </si>
  <si>
    <t>LP5 data 13 of channel A</t>
  </si>
  <si>
    <t>LP4X data 13 of channel A</t>
  </si>
  <si>
    <t>LP4 data 13 of channel A</t>
  </si>
  <si>
    <t>LP5 data 12 of channel A</t>
  </si>
  <si>
    <t>LP4X data 12 of channel A</t>
  </si>
  <si>
    <t>LP4 data 12 of channel A</t>
  </si>
  <si>
    <t>LP5 data 11 of channel A</t>
  </si>
  <si>
    <t>LP4X data 11 of channel A</t>
  </si>
  <si>
    <t>LP4 data 11 of channel A</t>
  </si>
  <si>
    <t>LP5 data 10 of channel A</t>
  </si>
  <si>
    <t>LP4X data 10 of channel A</t>
  </si>
  <si>
    <t>LP4 data 10 of channel A</t>
  </si>
  <si>
    <t>LP5 data 9 of channel A</t>
  </si>
  <si>
    <t>LP4X data 9 of channel A</t>
  </si>
  <si>
    <t>LP4 data 9 of channel A</t>
  </si>
  <si>
    <t>LP5 data 8 of channel A</t>
  </si>
  <si>
    <t>LP4X data 8 of channel A</t>
  </si>
  <si>
    <t>LP4 data 8 of channel A</t>
  </si>
  <si>
    <t>LP5 write clock negative 0 of channel A</t>
  </si>
  <si>
    <t>LP5 write clock positive 0 of channel A</t>
  </si>
  <si>
    <t>LP5 RDQS negative 0 of channel A</t>
  </si>
  <si>
    <t>LP4X data strobes negative 0 of channel A</t>
  </si>
  <si>
    <t>LP4 data strobes negative 0 of channel A</t>
  </si>
  <si>
    <t>LP5 RDQS positive 0 of channel A</t>
  </si>
  <si>
    <t>LP4X data strobes positive 0 of channel A</t>
  </si>
  <si>
    <t>LP4 data strobes positive 0 of channel A</t>
  </si>
  <si>
    <t>LP5 data mask inversion 0 of channel A</t>
  </si>
  <si>
    <t>LP4X data mask inversion 0 of channel A</t>
  </si>
  <si>
    <t>LP4 data mask inversion 0 of channel A</t>
  </si>
  <si>
    <t>LP5 data 7 of channel A</t>
  </si>
  <si>
    <t>LP4X data 7 of channel A</t>
  </si>
  <si>
    <t>LP4 data 7 of channel A</t>
  </si>
  <si>
    <t>LP5 data 6 of channel A</t>
  </si>
  <si>
    <t>LP4X data 6 of channel A</t>
  </si>
  <si>
    <t>LP4 data 6 of channel A</t>
  </si>
  <si>
    <t>LP5 data 5 of channel A</t>
  </si>
  <si>
    <t>LP4X data 5 of channel A</t>
  </si>
  <si>
    <t>LP4 data 5 of channel A</t>
  </si>
  <si>
    <t>LP5 data 4 of channel A</t>
  </si>
  <si>
    <t>LP4X data 4 of channel A</t>
  </si>
  <si>
    <t>LP4 data 4 of channel A</t>
  </si>
  <si>
    <t>LP5 data 3 of channel A</t>
  </si>
  <si>
    <t>LP4X data 3 of channel A</t>
  </si>
  <si>
    <t>LP4 data 3 of channel A</t>
  </si>
  <si>
    <t>LP5 data 2 of channel A</t>
  </si>
  <si>
    <t>LP4X data 2 of channel A</t>
  </si>
  <si>
    <t>LP4 data 2 of channel A</t>
  </si>
  <si>
    <t>LP5 data 1 of channel A</t>
  </si>
  <si>
    <t>LP4X data 1 of channel A</t>
  </si>
  <si>
    <t>LP4 data 1 of channel A</t>
  </si>
  <si>
    <t>LP5 data 0 of channel A</t>
  </si>
  <si>
    <t>LP4X data 0 of channel A</t>
  </si>
  <si>
    <t>LP4 data 0 of channel A</t>
  </si>
  <si>
    <t>Description</t>
    <phoneticPr fontId="12" type="noConversion"/>
  </si>
  <si>
    <t>Direction</t>
    <phoneticPr fontId="12" type="noConversion"/>
  </si>
  <si>
    <t>Signal Name</t>
    <phoneticPr fontId="12" type="noConversion"/>
  </si>
  <si>
    <t>Function Number</t>
    <phoneticPr fontId="2" type="noConversion"/>
  </si>
  <si>
    <t>Pin Name</t>
  </si>
  <si>
    <t>PCIE0_TXP_M0</t>
    <phoneticPr fontId="2" type="noConversion"/>
  </si>
  <si>
    <t>PCIE0_TXN_M0</t>
    <phoneticPr fontId="2" type="noConversion"/>
  </si>
  <si>
    <t>PCIE0_RXP_M0</t>
    <phoneticPr fontId="2" type="noConversion"/>
  </si>
  <si>
    <t>PCIE0_RXN_M0</t>
    <phoneticPr fontId="2" type="noConversion"/>
  </si>
  <si>
    <t>SATA0_TXN_M0</t>
    <phoneticPr fontId="2" type="noConversion"/>
  </si>
  <si>
    <t>SATA0_RXP_M0</t>
    <phoneticPr fontId="2" type="noConversion"/>
  </si>
  <si>
    <t>SATA0_RXN_M0</t>
    <phoneticPr fontId="2" type="noConversion"/>
  </si>
  <si>
    <t>USB_DRD0_SSTXP</t>
    <phoneticPr fontId="2" type="noConversion"/>
  </si>
  <si>
    <t>USB_DRD0_SSTXN</t>
    <phoneticPr fontId="2" type="noConversion"/>
  </si>
  <si>
    <t>USB_DRD0_SSRXP</t>
    <phoneticPr fontId="2" type="noConversion"/>
  </si>
  <si>
    <t>USB_DRD0_SSRXN</t>
    <phoneticPr fontId="2" type="noConversion"/>
  </si>
  <si>
    <t>SATA0_TXP_M0</t>
    <phoneticPr fontId="2" type="noConversion"/>
  </si>
  <si>
    <t>PCIE0_TXP_M1</t>
    <phoneticPr fontId="2" type="noConversion"/>
  </si>
  <si>
    <t>PCIE0_TXN_M1</t>
    <phoneticPr fontId="2" type="noConversion"/>
  </si>
  <si>
    <t>PCIE0_RXP_M1</t>
    <phoneticPr fontId="2" type="noConversion"/>
  </si>
  <si>
    <t>PCIE0_RXN_M1</t>
    <phoneticPr fontId="2" type="noConversion"/>
  </si>
  <si>
    <t>USB_DRD1_SSTXP</t>
  </si>
  <si>
    <t>USB_DRD1_SSTXN</t>
  </si>
  <si>
    <t>USB_DRD1_SSRXP</t>
  </si>
  <si>
    <t>USB_DRD1_SSRXN</t>
  </si>
  <si>
    <t>SATA0_TXP_M1</t>
    <phoneticPr fontId="2" type="noConversion"/>
  </si>
  <si>
    <t>SATA0_TXN_M1</t>
    <phoneticPr fontId="2" type="noConversion"/>
  </si>
  <si>
    <t>SATA0_RXP_M1</t>
    <phoneticPr fontId="2" type="noConversion"/>
  </si>
  <si>
    <t>SATA0_RXN_M1</t>
    <phoneticPr fontId="2" type="noConversion"/>
  </si>
  <si>
    <t>SATA1_TXP</t>
    <phoneticPr fontId="2" type="noConversion"/>
  </si>
  <si>
    <t>SATA1_TXN</t>
    <phoneticPr fontId="2" type="noConversion"/>
  </si>
  <si>
    <t>SATA1_RXP</t>
    <phoneticPr fontId="2" type="noConversion"/>
  </si>
  <si>
    <t>SATA1_RXN</t>
    <phoneticPr fontId="2" type="noConversion"/>
  </si>
  <si>
    <t>PCIE1_TXP</t>
    <phoneticPr fontId="2" type="noConversion"/>
  </si>
  <si>
    <t>PCIE1_TXN</t>
    <phoneticPr fontId="2" type="noConversion"/>
  </si>
  <si>
    <t>PCIE1_RXP</t>
    <phoneticPr fontId="2" type="noConversion"/>
  </si>
  <si>
    <t>PCIE1_RXN</t>
    <phoneticPr fontId="2" type="noConversion"/>
  </si>
  <si>
    <t>0.75V</t>
    <phoneticPr fontId="2" type="noConversion"/>
  </si>
  <si>
    <t>MIPI_DPHY_CSI0_RX_D2P</t>
    <phoneticPr fontId="2" type="noConversion"/>
  </si>
  <si>
    <t>MIPI_DPHY_CSI0_RX_D2N</t>
    <phoneticPr fontId="2" type="noConversion"/>
  </si>
  <si>
    <t>MIPI_DPHY_CSI0_RX_D3P</t>
    <phoneticPr fontId="2" type="noConversion"/>
  </si>
  <si>
    <t>MIPI_DPHY_CSI0_RX_D3N</t>
    <phoneticPr fontId="2" type="noConversion"/>
  </si>
  <si>
    <t>MIPI_DPHY_CSI1_RX_D0P</t>
    <phoneticPr fontId="2" type="noConversion"/>
  </si>
  <si>
    <t>MIPI_DPHY_CSI1_RX_D0N</t>
    <phoneticPr fontId="2" type="noConversion"/>
  </si>
  <si>
    <t>MIPI_DPHY_CSI1_RX_D1P</t>
    <phoneticPr fontId="2" type="noConversion"/>
  </si>
  <si>
    <t>MIPI_DPHY_CSI1_RX_D1N</t>
    <phoneticPr fontId="2" type="noConversion"/>
  </si>
  <si>
    <t>MIPI_DPHY_CSI3_RX_D1N</t>
    <phoneticPr fontId="2" type="noConversion"/>
  </si>
  <si>
    <t>MIPI_DPHY_CSI3_RX_D1P</t>
    <phoneticPr fontId="2" type="noConversion"/>
  </si>
  <si>
    <t>MIPI_DPHY_CSI3_RX_D0N</t>
    <phoneticPr fontId="2" type="noConversion"/>
  </si>
  <si>
    <t>MIPI_DPHY_CSI3_RX_D0P</t>
    <phoneticPr fontId="2" type="noConversion"/>
  </si>
  <si>
    <t>MIPI_DPHY_CSI2_RX_D2P</t>
    <phoneticPr fontId="2" type="noConversion"/>
  </si>
  <si>
    <t>MIPI_DPHY_CSI2_RX_D2N</t>
    <phoneticPr fontId="2" type="noConversion"/>
  </si>
  <si>
    <t>MIPI_DPHY_CSI2_RX_D3P</t>
    <phoneticPr fontId="2" type="noConversion"/>
  </si>
  <si>
    <t>MIPI_DPHY_CSI2_RX_D3N</t>
    <phoneticPr fontId="2" type="noConversion"/>
  </si>
  <si>
    <t>I</t>
    <phoneticPr fontId="2" type="noConversion"/>
  </si>
  <si>
    <t>GPIO4_C0_D</t>
    <phoneticPr fontId="2" type="noConversion"/>
  </si>
  <si>
    <t>GPIO4_C1_D</t>
    <phoneticPr fontId="2" type="noConversion"/>
  </si>
  <si>
    <t>UFS_RSTN</t>
    <phoneticPr fontId="2" type="noConversion"/>
  </si>
  <si>
    <t>UFS_REFCLK</t>
    <phoneticPr fontId="2" type="noConversion"/>
  </si>
  <si>
    <t>10~50K@1.8V  10~100K@3.4V</t>
  </si>
  <si>
    <t>100/66/50/40/33/26</t>
  </si>
  <si>
    <t>IO</t>
    <phoneticPr fontId="12" type="noConversion"/>
  </si>
  <si>
    <t>UFS_TX_REXT</t>
    <phoneticPr fontId="2" type="noConversion"/>
  </si>
  <si>
    <t>AO</t>
  </si>
  <si>
    <t>API</t>
  </si>
  <si>
    <t>API</t>
    <phoneticPr fontId="12" type="noConversion"/>
  </si>
  <si>
    <t>AG</t>
    <phoneticPr fontId="2" type="noConversion"/>
  </si>
  <si>
    <t>LP5_WCK1P_B</t>
    <phoneticPr fontId="2" type="noConversion"/>
  </si>
  <si>
    <t>LP5_WCK1N_B</t>
    <phoneticPr fontId="2" type="noConversion"/>
  </si>
  <si>
    <t>AUPLL_CLK_IN</t>
    <phoneticPr fontId="2" type="noConversion"/>
  </si>
  <si>
    <t>REF_CLK0_OUT</t>
    <phoneticPr fontId="2" type="noConversion"/>
  </si>
  <si>
    <t>GPIO0_A0</t>
    <phoneticPr fontId="2" type="noConversion"/>
  </si>
  <si>
    <t>PWM1_CH5_M3</t>
    <phoneticPr fontId="2" type="noConversion"/>
  </si>
  <si>
    <t>I2C8_SDA_M3/UART3_RX_M1/PDM_SDI1_M4/VO_EBC_SDCE1/VO_LCDC_D17/DSMC_DATA11/ETH1_RXD0_M0/GPIO3_B2_d</t>
    <phoneticPr fontId="2" type="noConversion"/>
  </si>
  <si>
    <t>I2C8_SCL_M3/UART3_TX_M1/PDM_SDI0_M4/VO_EBC_SDCE0/VO_LCDC_D16/DSMC_DATA10/ETH1_TXCTL_M0/GPIO3_B3_d</t>
    <phoneticPr fontId="2" type="noConversion"/>
  </si>
  <si>
    <t>I2C3_SCL_M2/SPI3_CLK_M1/UART5_RX_M0/SAI1_SDI1_M1/VO_EBC_SDLE/VO_LCDC_DEN/DSMC_DATA0/GPIO3_D4_d</t>
    <phoneticPr fontId="2" type="noConversion"/>
  </si>
  <si>
    <t>I2C3_SDA_M2/SPI3_MISO_M1/UART5_TX_M0/SAI1_SDI2_M1/VO_EBC_GDCLK/VO_LCDC_HSYNC/DSMC_CLKP/GPIO3_D5_d</t>
    <phoneticPr fontId="2" type="noConversion"/>
  </si>
  <si>
    <t>ISP_PRELIGHT_TRIG_M1/PWM2_CH6_M1/I2C7_SCL_M3/SPI4_CSN0_M0/UART9_TX_M0/VO_EBC_SDDO20/SAI3_SDO_M2/GPIO4_B4_d</t>
    <phoneticPr fontId="2" type="noConversion"/>
  </si>
  <si>
    <t>ISP_FLASH_TRIGOUT_M1/PWM2_CH5_M1/I2C7_SDA_M3/SPI4_MOSI_M0/UART9_RX_M0/VO_EBC_SDDO21/VP0_SYNC_OUT/SATA30_PORT0_ACTLED_M1/GPIO4_B5_d</t>
    <phoneticPr fontId="2" type="noConversion"/>
  </si>
  <si>
    <t>SPI3_CLK_M0</t>
    <phoneticPr fontId="2" type="noConversion"/>
  </si>
  <si>
    <t>SPI3_MOSI_M0</t>
    <phoneticPr fontId="2" type="noConversion"/>
  </si>
  <si>
    <t>CAN3_TX_M1/I2C5_SCL_M2/SPI3_CLK_M0/UART3_TX_M0/VI_CIF_HREF/SAI0_SDO2_M0/CAM_CLK0_OUT_M1/FSPI1_DQS_M1/ETH0_TXD0/GPIO2_D4_d</t>
    <phoneticPr fontId="2" type="noConversion"/>
  </si>
  <si>
    <t>CAN3_RX_M1/I2C5_SDA_M2/SPI3_MOSI_M0/UART3_RX_M0/VI_CIF_VSYNC/SPDIF_TX1_M2/SAI0_SDO3_M0/CAM_CLK1_OUT_M1/FSPI1_CLK_M1/ETH0_TXD1/GPIO2_D5_d</t>
    <phoneticPr fontId="2" type="noConversion"/>
  </si>
  <si>
    <t>PWM2_CH4_M0</t>
    <phoneticPr fontId="2" type="noConversion"/>
  </si>
  <si>
    <t>CAN2_RX_M0</t>
    <phoneticPr fontId="2" type="noConversion"/>
  </si>
  <si>
    <t>I2C5_SDA_M0</t>
    <phoneticPr fontId="2" type="noConversion"/>
  </si>
  <si>
    <t>SPI0_CSN0_M1</t>
    <phoneticPr fontId="2" type="noConversion"/>
  </si>
  <si>
    <t>UART5_RX_M2</t>
    <phoneticPr fontId="2" type="noConversion"/>
  </si>
  <si>
    <t>SAI3_SDO_M1</t>
    <phoneticPr fontId="2" type="noConversion"/>
  </si>
  <si>
    <t>SDMMC0_CMD_M0</t>
    <phoneticPr fontId="2" type="noConversion"/>
  </si>
  <si>
    <t>FSPI1_CSN0_M0</t>
    <phoneticPr fontId="2" type="noConversion"/>
  </si>
  <si>
    <t>GPIO2_A4</t>
    <phoneticPr fontId="2" type="noConversion"/>
  </si>
  <si>
    <t>LP5X_DQ0_A</t>
    <phoneticPr fontId="2" type="noConversion"/>
  </si>
  <si>
    <t>LP5X data 0 of channel A</t>
    <phoneticPr fontId="2" type="noConversion"/>
  </si>
  <si>
    <t>LP5X_DQ1_A</t>
    <phoneticPr fontId="2" type="noConversion"/>
  </si>
  <si>
    <t>LP5X data 1 of channel A</t>
    <phoneticPr fontId="2" type="noConversion"/>
  </si>
  <si>
    <t>LP5X_DQ2_A</t>
    <phoneticPr fontId="2" type="noConversion"/>
  </si>
  <si>
    <t>LP5X data 2 of channel A</t>
    <phoneticPr fontId="2" type="noConversion"/>
  </si>
  <si>
    <t>LP5X_DQ3_A</t>
    <phoneticPr fontId="2" type="noConversion"/>
  </si>
  <si>
    <t>LP5X data 3 of channel A</t>
    <phoneticPr fontId="2" type="noConversion"/>
  </si>
  <si>
    <t>LP5X_DQ4_A</t>
    <phoneticPr fontId="2" type="noConversion"/>
  </si>
  <si>
    <t>LP5X data 4 of channel A</t>
    <phoneticPr fontId="2" type="noConversion"/>
  </si>
  <si>
    <t>LP5X_DQ5_A</t>
    <phoneticPr fontId="2" type="noConversion"/>
  </si>
  <si>
    <t>LP5X data 5 of channel A</t>
    <phoneticPr fontId="2" type="noConversion"/>
  </si>
  <si>
    <t>LP5X_DQ6_A</t>
    <phoneticPr fontId="2" type="noConversion"/>
  </si>
  <si>
    <t>LP5X data 6 of channel A</t>
    <phoneticPr fontId="2" type="noConversion"/>
  </si>
  <si>
    <t>LP5X_DQ7_A</t>
    <phoneticPr fontId="2" type="noConversion"/>
  </si>
  <si>
    <t>LP5X data 7 of channel A</t>
    <phoneticPr fontId="2" type="noConversion"/>
  </si>
  <si>
    <t>LP5X_DMI0_A</t>
    <phoneticPr fontId="2" type="noConversion"/>
  </si>
  <si>
    <t>LP5X data mask inversion 0 of channel A</t>
    <phoneticPr fontId="2" type="noConversion"/>
  </si>
  <si>
    <t>LP5_RDQS0P_A</t>
    <phoneticPr fontId="2" type="noConversion"/>
  </si>
  <si>
    <t>LP5X_RDQS0P_A</t>
    <phoneticPr fontId="2" type="noConversion"/>
  </si>
  <si>
    <t>LP5X RDQS positive 0 of channel A</t>
    <phoneticPr fontId="2" type="noConversion"/>
  </si>
  <si>
    <t>LP5X_RDQS0N_A</t>
    <phoneticPr fontId="2" type="noConversion"/>
  </si>
  <si>
    <t>LP5X RDQS negative 0 of channel A</t>
    <phoneticPr fontId="2" type="noConversion"/>
  </si>
  <si>
    <t>LP5X_WCK0N_A</t>
    <phoneticPr fontId="2" type="noConversion"/>
  </si>
  <si>
    <t>LP5X write clock negative 0 of channel A</t>
    <phoneticPr fontId="2" type="noConversion"/>
  </si>
  <si>
    <t>LP5X_WCK0P_A</t>
    <phoneticPr fontId="2" type="noConversion"/>
  </si>
  <si>
    <t>LP5X write clock positive 0 of channel A</t>
    <phoneticPr fontId="2" type="noConversion"/>
  </si>
  <si>
    <t>LP5X_DQ8_A</t>
    <phoneticPr fontId="2" type="noConversion"/>
  </si>
  <si>
    <t>LP5X data 8 of channel A</t>
    <phoneticPr fontId="2" type="noConversion"/>
  </si>
  <si>
    <t>LP4_DQ8_A/LP4X_DQ8_A/LP5_DQ8_A/LP5X_DQ8_A</t>
    <phoneticPr fontId="2" type="noConversion"/>
  </si>
  <si>
    <t>LP4_DQ9_A/LP4X_DQ9_A/LP5_DQ9_A/LP5X_DQ9_A</t>
    <phoneticPr fontId="2" type="noConversion"/>
  </si>
  <si>
    <t>LP5X_DQ9_A</t>
    <phoneticPr fontId="2" type="noConversion"/>
  </si>
  <si>
    <t>LP5X data 9 of channel A</t>
    <phoneticPr fontId="2" type="noConversion"/>
  </si>
  <si>
    <t>LP5X_DQ10_A</t>
    <phoneticPr fontId="2" type="noConversion"/>
  </si>
  <si>
    <t>LP5X data 10 of channel A</t>
    <phoneticPr fontId="2" type="noConversion"/>
  </si>
  <si>
    <t>LP5X_DQ11_A</t>
    <phoneticPr fontId="2" type="noConversion"/>
  </si>
  <si>
    <t>LP5X data 11 of channel A</t>
    <phoneticPr fontId="2" type="noConversion"/>
  </si>
  <si>
    <t>LP5X_DQ12_A</t>
    <phoneticPr fontId="2" type="noConversion"/>
  </si>
  <si>
    <t>LP5X data 12 of channel A</t>
    <phoneticPr fontId="2" type="noConversion"/>
  </si>
  <si>
    <t>LP5X_DQ13_A</t>
    <phoneticPr fontId="2" type="noConversion"/>
  </si>
  <si>
    <t>LP5X data 13 of channel A</t>
    <phoneticPr fontId="2" type="noConversion"/>
  </si>
  <si>
    <t>LP5X_DQ14_A</t>
    <phoneticPr fontId="2" type="noConversion"/>
  </si>
  <si>
    <t>LP5X data 14 of channel A</t>
    <phoneticPr fontId="2" type="noConversion"/>
  </si>
  <si>
    <t>LP5X_DQ15_A</t>
    <phoneticPr fontId="2" type="noConversion"/>
  </si>
  <si>
    <t>LP5X data 15 of channel A</t>
    <phoneticPr fontId="2" type="noConversion"/>
  </si>
  <si>
    <t>LP5X_DMI1_A</t>
    <phoneticPr fontId="2" type="noConversion"/>
  </si>
  <si>
    <t>LP5X data mask inversion 1 of channel A</t>
    <phoneticPr fontId="2" type="noConversion"/>
  </si>
  <si>
    <t>LP5X_RDQS1P_A</t>
    <phoneticPr fontId="2" type="noConversion"/>
  </si>
  <si>
    <t>LP5X RDQS positive 1 of channel A</t>
    <phoneticPr fontId="2" type="noConversion"/>
  </si>
  <si>
    <t>LP5X_RDQS1N_A</t>
    <phoneticPr fontId="2" type="noConversion"/>
  </si>
  <si>
    <t>LP5X RDQS negative 1 of channel A</t>
    <phoneticPr fontId="2" type="noConversion"/>
  </si>
  <si>
    <t>LP5X_WCK1P_A</t>
    <phoneticPr fontId="2" type="noConversion"/>
  </si>
  <si>
    <t>LP5X write clock positive 1 of channel A</t>
    <phoneticPr fontId="2" type="noConversion"/>
  </si>
  <si>
    <t>LP5X_WCK1N_A</t>
    <phoneticPr fontId="2" type="noConversion"/>
  </si>
  <si>
    <t>LP5X write clock negative 1 of channel A</t>
    <phoneticPr fontId="2" type="noConversion"/>
  </si>
  <si>
    <t>LP5X_CSN1_A</t>
    <phoneticPr fontId="2" type="noConversion"/>
  </si>
  <si>
    <t>LP5X chip select 1 of channel A</t>
    <phoneticPr fontId="2" type="noConversion"/>
  </si>
  <si>
    <t>LP5X_CSN0_A</t>
    <phoneticPr fontId="2" type="noConversion"/>
  </si>
  <si>
    <t>LP5X chip select 0 of channel A</t>
    <phoneticPr fontId="2" type="noConversion"/>
  </si>
  <si>
    <t>LP4_CSN0_A/LP4X_CSN0_A/LP5_A6_A/LP5X_A6_A</t>
    <phoneticPr fontId="2" type="noConversion"/>
  </si>
  <si>
    <t>LP5X_A6_A</t>
    <phoneticPr fontId="2" type="noConversion"/>
  </si>
  <si>
    <t>O</t>
    <phoneticPr fontId="2" type="noConversion"/>
  </si>
  <si>
    <t>LP5_A6_A</t>
    <phoneticPr fontId="2" type="noConversion"/>
  </si>
  <si>
    <t>LP5 address 5 of channel A</t>
    <phoneticPr fontId="2" type="noConversion"/>
  </si>
  <si>
    <t>LP5X address 5 of channel A</t>
    <phoneticPr fontId="2" type="noConversion"/>
  </si>
  <si>
    <t>LP5X_CLKP_A</t>
    <phoneticPr fontId="2" type="noConversion"/>
  </si>
  <si>
    <t>LP5X clock positive  of channel A</t>
    <phoneticPr fontId="2" type="noConversion"/>
  </si>
  <si>
    <t>LP5X_DQ0_B</t>
    <phoneticPr fontId="2" type="noConversion"/>
  </si>
  <si>
    <t>LP5X data 0 of channel B</t>
    <phoneticPr fontId="2" type="noConversion"/>
  </si>
  <si>
    <t>LP5X_DQ1_B</t>
    <phoneticPr fontId="2" type="noConversion"/>
  </si>
  <si>
    <t>LP5X data 1 of channel B</t>
    <phoneticPr fontId="2" type="noConversion"/>
  </si>
  <si>
    <t>LP5X data 2 of channel B</t>
    <phoneticPr fontId="2" type="noConversion"/>
  </si>
  <si>
    <t>LP5X_DQ2_B</t>
    <phoneticPr fontId="2" type="noConversion"/>
  </si>
  <si>
    <t>LP5X_DQ3_B</t>
    <phoneticPr fontId="2" type="noConversion"/>
  </si>
  <si>
    <t>LP5X data 3 of channel B</t>
    <phoneticPr fontId="2" type="noConversion"/>
  </si>
  <si>
    <t>LP5X_DQ4_B</t>
    <phoneticPr fontId="2" type="noConversion"/>
  </si>
  <si>
    <t>LP5X data 4 of channel B</t>
    <phoneticPr fontId="2" type="noConversion"/>
  </si>
  <si>
    <t>LP5X_DQ5_B</t>
    <phoneticPr fontId="2" type="noConversion"/>
  </si>
  <si>
    <t>LP5X data 5 of channel B</t>
    <phoneticPr fontId="2" type="noConversion"/>
  </si>
  <si>
    <t>LP5X_DQ6_B</t>
    <phoneticPr fontId="2" type="noConversion"/>
  </si>
  <si>
    <t>LP5X data 6 of channel B</t>
    <phoneticPr fontId="2" type="noConversion"/>
  </si>
  <si>
    <t>LP5X_DQ7_B</t>
    <phoneticPr fontId="2" type="noConversion"/>
  </si>
  <si>
    <t>LP5X data 7 of channel B</t>
    <phoneticPr fontId="2" type="noConversion"/>
  </si>
  <si>
    <t>LP5X_DMI0_B</t>
    <phoneticPr fontId="2" type="noConversion"/>
  </si>
  <si>
    <t>LP5X data mask inversion 0 of channel B</t>
    <phoneticPr fontId="2" type="noConversion"/>
  </si>
  <si>
    <t>LP5X_RDQS0P_B</t>
    <phoneticPr fontId="2" type="noConversion"/>
  </si>
  <si>
    <t>LP5X RDQS positive 0 of channel B</t>
    <phoneticPr fontId="2" type="noConversion"/>
  </si>
  <si>
    <t>LP5X_RDQS0N_B</t>
    <phoneticPr fontId="2" type="noConversion"/>
  </si>
  <si>
    <t>LP5X RDQS negative 0 of channel B</t>
    <phoneticPr fontId="2" type="noConversion"/>
  </si>
  <si>
    <t>LP5X_WCK0P_B</t>
    <phoneticPr fontId="2" type="noConversion"/>
  </si>
  <si>
    <t>LP5X write clock positive 0 of channel B</t>
    <phoneticPr fontId="2" type="noConversion"/>
  </si>
  <si>
    <t>LP5X_WCK0N_B</t>
    <phoneticPr fontId="2" type="noConversion"/>
  </si>
  <si>
    <t>LP5X write clock negative 0 of channel B</t>
    <phoneticPr fontId="2" type="noConversion"/>
  </si>
  <si>
    <t>LP5X_DQ8_B</t>
    <phoneticPr fontId="2" type="noConversion"/>
  </si>
  <si>
    <t>LP5X data 8 of channel B</t>
    <phoneticPr fontId="2" type="noConversion"/>
  </si>
  <si>
    <t>LP5X_DQ9_B</t>
    <phoneticPr fontId="2" type="noConversion"/>
  </si>
  <si>
    <t>LP5X data 9 of channel B</t>
    <phoneticPr fontId="2" type="noConversion"/>
  </si>
  <si>
    <t>LP5X_DQ10_B</t>
    <phoneticPr fontId="2" type="noConversion"/>
  </si>
  <si>
    <t>LP5X data 10 of channel B</t>
    <phoneticPr fontId="2" type="noConversion"/>
  </si>
  <si>
    <t>LP5X_DQ11_B</t>
    <phoneticPr fontId="2" type="noConversion"/>
  </si>
  <si>
    <t>LP5X data 11 of channel B</t>
    <phoneticPr fontId="2" type="noConversion"/>
  </si>
  <si>
    <t>LP5X_DQ12_B</t>
    <phoneticPr fontId="2" type="noConversion"/>
  </si>
  <si>
    <t>LP5X data 12 of channel B</t>
    <phoneticPr fontId="2" type="noConversion"/>
  </si>
  <si>
    <t>LP5X_DQ13_B</t>
    <phoneticPr fontId="2" type="noConversion"/>
  </si>
  <si>
    <t>LP5X data 13 of channel B</t>
    <phoneticPr fontId="2" type="noConversion"/>
  </si>
  <si>
    <t>LP5X_DQ14_B</t>
    <phoneticPr fontId="2" type="noConversion"/>
  </si>
  <si>
    <t>LP5X data 14 of channel B</t>
    <phoneticPr fontId="2" type="noConversion"/>
  </si>
  <si>
    <t>LP5X_DQ15_B</t>
    <phoneticPr fontId="2" type="noConversion"/>
  </si>
  <si>
    <t>LP5X data 15 of channel B</t>
    <phoneticPr fontId="2" type="noConversion"/>
  </si>
  <si>
    <t>LP5X_DMI1_B</t>
    <phoneticPr fontId="2" type="noConversion"/>
  </si>
  <si>
    <t>LP5X data mask inversion 1 of channel B</t>
    <phoneticPr fontId="2" type="noConversion"/>
  </si>
  <si>
    <t>LP5X_RDQS1P_B</t>
    <phoneticPr fontId="2" type="noConversion"/>
  </si>
  <si>
    <t>LP5X RDQS positive 1 of channel B</t>
    <phoneticPr fontId="2" type="noConversion"/>
  </si>
  <si>
    <t>LP5X_RDQS1N_B</t>
    <phoneticPr fontId="2" type="noConversion"/>
  </si>
  <si>
    <t>LP5X RDQS negative 1 of channel B</t>
    <phoneticPr fontId="2" type="noConversion"/>
  </si>
  <si>
    <t>LP5X_WCK1P_B</t>
    <phoneticPr fontId="2" type="noConversion"/>
  </si>
  <si>
    <t>LP5X write clock positive 1 of channel B</t>
    <phoneticPr fontId="2" type="noConversion"/>
  </si>
  <si>
    <t>LP5X_WCK1N_B</t>
    <phoneticPr fontId="2" type="noConversion"/>
  </si>
  <si>
    <t>LP5X write clock negative 1 of channel B</t>
    <phoneticPr fontId="2" type="noConversion"/>
  </si>
  <si>
    <t>LP5X_A0_B</t>
    <phoneticPr fontId="2" type="noConversion"/>
  </si>
  <si>
    <t>LP5X address 0 of channel B</t>
    <phoneticPr fontId="2" type="noConversion"/>
  </si>
  <si>
    <t>LP5X_A1_B</t>
    <phoneticPr fontId="2" type="noConversion"/>
  </si>
  <si>
    <t>LP5X address 1 of channel B</t>
    <phoneticPr fontId="2" type="noConversion"/>
  </si>
  <si>
    <t>LP5X_A2_B</t>
    <phoneticPr fontId="2" type="noConversion"/>
  </si>
  <si>
    <t>LP5X address 2 of channel B</t>
    <phoneticPr fontId="2" type="noConversion"/>
  </si>
  <si>
    <t>LP5X_A3_B</t>
    <phoneticPr fontId="2" type="noConversion"/>
  </si>
  <si>
    <t>LP5X address 3 of channel B</t>
    <phoneticPr fontId="2" type="noConversion"/>
  </si>
  <si>
    <t>LP5X_A4_B</t>
    <phoneticPr fontId="2" type="noConversion"/>
  </si>
  <si>
    <t>LP5X address 4 of channel B</t>
    <phoneticPr fontId="2" type="noConversion"/>
  </si>
  <si>
    <t>LP5X_A5_B</t>
    <phoneticPr fontId="2" type="noConversion"/>
  </si>
  <si>
    <t>LP5X address 5 of channel B</t>
    <phoneticPr fontId="2" type="noConversion"/>
  </si>
  <si>
    <t>LP5X_CLKP_B</t>
    <phoneticPr fontId="2" type="noConversion"/>
  </si>
  <si>
    <t>LP5X clock positive  of channel B</t>
    <phoneticPr fontId="2" type="noConversion"/>
  </si>
  <si>
    <t>LP5X_CLKN_B</t>
    <phoneticPr fontId="2" type="noConversion"/>
  </si>
  <si>
    <t>LP5X clock negative  of channel B</t>
    <phoneticPr fontId="2" type="noConversion"/>
  </si>
  <si>
    <t>LP4_CSN0_B/LP4X_CSN0_B/LP5_A6_B/LP5X_A6_B</t>
    <phoneticPr fontId="2" type="noConversion"/>
  </si>
  <si>
    <t>LP5_A6_B</t>
    <phoneticPr fontId="2" type="noConversion"/>
  </si>
  <si>
    <t>LP5X_A6_B</t>
    <phoneticPr fontId="2" type="noConversion"/>
  </si>
  <si>
    <t>LP5 address 6 of channel B</t>
    <phoneticPr fontId="2" type="noConversion"/>
  </si>
  <si>
    <t>LP5X address 6 of channel B</t>
    <phoneticPr fontId="2" type="noConversion"/>
  </si>
  <si>
    <t>LP5X_CSN0_B</t>
    <phoneticPr fontId="2" type="noConversion"/>
  </si>
  <si>
    <t>LP5X chip select 0 of channel B</t>
    <phoneticPr fontId="2" type="noConversion"/>
  </si>
  <si>
    <t>LP5X_CSN1_B</t>
    <phoneticPr fontId="2" type="noConversion"/>
  </si>
  <si>
    <t>LP5X chip select 1 of channel B</t>
    <phoneticPr fontId="2" type="noConversion"/>
  </si>
  <si>
    <t>ZQ Calibration reference
a 120 ohm +/-1% tolerance external resistor must be connected from DDR_ZQ Pin to VDDQ Power in case of lpddr4/4x and lp5/5x</t>
    <phoneticPr fontId="12" type="noConversion"/>
  </si>
  <si>
    <t>UFS 1.8V power supply</t>
  </si>
  <si>
    <t>GPIO</t>
    <phoneticPr fontId="2" type="noConversion"/>
  </si>
  <si>
    <t>UFS reset output</t>
    <phoneticPr fontId="2" type="noConversion"/>
  </si>
  <si>
    <t>UFS reference clock out</t>
    <phoneticPr fontId="2" type="noConversion"/>
  </si>
  <si>
    <t>SPI0_CSN0_M2/UART6_RTSN_M2/SAI4_MCLK_M0/SAI3_MCLK_M0/FSPI0_D4/EMMC_D4/GPIO1_A4_u</t>
    <phoneticPr fontId="2" type="noConversion"/>
  </si>
  <si>
    <t>SAI4_SCLK_M0</t>
    <phoneticPr fontId="2" type="noConversion"/>
  </si>
  <si>
    <t>I2C2_SCL_M1/UART7_RTSN_M1/SAI4_SCLK_M0/FSPI0_D0/EMMC_D0/GPIO1_A0_u</t>
    <phoneticPr fontId="2" type="noConversion"/>
  </si>
  <si>
    <t>I2C2 bus clock, iomux on Pin AR10</t>
    <phoneticPr fontId="2" type="noConversion"/>
  </si>
  <si>
    <t>UART7 request to send, iomux on Pin AR10</t>
    <phoneticPr fontId="2" type="noConversion"/>
  </si>
  <si>
    <t>NOR or Nand SPI Flash 0 data 0, iomux on Pin AR10</t>
    <phoneticPr fontId="2" type="noConversion"/>
  </si>
  <si>
    <t>I2C2 bus data/adress, iomux on Pin AR11</t>
    <phoneticPr fontId="2" type="noConversion"/>
  </si>
  <si>
    <t>I2C2_SDA_M1/UART7_CTSN_M1/SAI4_LRCK_M0/FSPI0_D1/EMMC_D1/GPIO1_A1_u</t>
    <phoneticPr fontId="2" type="noConversion"/>
  </si>
  <si>
    <t>SAI4_LRCK_M0</t>
    <phoneticPr fontId="2" type="noConversion"/>
  </si>
  <si>
    <t>UART7_TX_M1/SAI4_SDO1_M0/SAI4_SDI3_M0/FSPI0_D2/EMMC_D2/GPIO1_A2_u</t>
    <phoneticPr fontId="2" type="noConversion"/>
  </si>
  <si>
    <t>UART7 transmit data, iomux on Pin  AT11</t>
    <phoneticPr fontId="2" type="noConversion"/>
  </si>
  <si>
    <t>UART7_RX_M1/SAI4_SDO2_M0/SAI4_SDI2_M0/FSPI0_D3/EMMC_D3/GPIO1_A3_u</t>
    <phoneticPr fontId="2" type="noConversion"/>
  </si>
  <si>
    <t>SAI4_SDO2_M</t>
  </si>
  <si>
    <t>NOR or Nand SPI Flash 0 data 3, on Pin AT9</t>
    <phoneticPr fontId="2" type="noConversion"/>
  </si>
  <si>
    <t>UART7 receive data, iomux on Pin AT9</t>
    <phoneticPr fontId="2" type="noConversion"/>
  </si>
  <si>
    <t>SAI3_MCLK_M0</t>
    <phoneticPr fontId="2" type="noConversion"/>
  </si>
  <si>
    <t>SAI4_MCLK_M0</t>
    <phoneticPr fontId="2" type="noConversion"/>
  </si>
  <si>
    <t>UART6_RTSN_M2</t>
    <phoneticPr fontId="2" type="noConversion"/>
  </si>
  <si>
    <t>SPI0 chip select 0, iomux on Pin  AR9</t>
    <phoneticPr fontId="2" type="noConversion"/>
  </si>
  <si>
    <t>UART6 request to send, iomux on Pin AR9</t>
    <phoneticPr fontId="2" type="noConversion"/>
  </si>
  <si>
    <t>SAI3 master clock, iomux on Pin  AR9</t>
    <phoneticPr fontId="2" type="noConversion"/>
  </si>
  <si>
    <t>NOR or Nand SPI Flash 0 data 5, on Pin AT8</t>
    <phoneticPr fontId="2" type="noConversion"/>
  </si>
  <si>
    <t>SPI0 master output,slave input, iomux on Pin AT8</t>
    <phoneticPr fontId="2" type="noConversion"/>
  </si>
  <si>
    <t>I2C9 bus clock, iomux on Pin AT8</t>
    <phoneticPr fontId="2" type="noConversion"/>
  </si>
  <si>
    <t>UART7 clear to send, iomux on Pin AR11</t>
    <phoneticPr fontId="2" type="noConversion"/>
  </si>
  <si>
    <t>UART6 clear to send, iomux on Pin AT8</t>
    <phoneticPr fontId="2" type="noConversion"/>
  </si>
  <si>
    <t>AT12</t>
    <phoneticPr fontId="2" type="noConversion"/>
  </si>
  <si>
    <t>NOR or Nand SPI Flash 0 data 6, on Pin AT12</t>
    <phoneticPr fontId="2" type="noConversion"/>
  </si>
  <si>
    <t>I2C9_SDA_M0/SPI0_MISO_M2/SAI3_LRCK_M0/FSPI0_D6/EMMC_D6/GPIO1_A6_u</t>
    <phoneticPr fontId="2" type="noConversion"/>
  </si>
  <si>
    <t>SPI0 master input,slave output, iomux on Pin AT12</t>
    <phoneticPr fontId="2" type="noConversion"/>
  </si>
  <si>
    <t>I2C9 bus data/adress, iomux on Pin AT12</t>
    <phoneticPr fontId="2" type="noConversion"/>
  </si>
  <si>
    <t>SAI3 left/right channel clock(Default for Play and Record), iomux on Pin AT12</t>
    <phoneticPr fontId="2" type="noConversion"/>
  </si>
  <si>
    <t>SAI4_SDO0_M0</t>
    <phoneticPr fontId="2" type="noConversion"/>
  </si>
  <si>
    <t>AR12</t>
    <phoneticPr fontId="2" type="noConversion"/>
  </si>
  <si>
    <t>SPI0 clock, iomux on Pin AR12</t>
    <phoneticPr fontId="2" type="noConversion"/>
  </si>
  <si>
    <t>SPI0_CLK_M2/SAI4_SDO0_M0/SAI3_SDI_M0/FSPI0_D7/EMMC_D7/GPIO1_A7_u</t>
    <phoneticPr fontId="2" type="noConversion"/>
  </si>
  <si>
    <t>SAI3_SDI_M0</t>
    <phoneticPr fontId="2" type="noConversion"/>
  </si>
  <si>
    <t>SAI3 serial clock or Bclock(Default for Play and Record), iomux on Pin AT8</t>
    <phoneticPr fontId="2" type="noConversion"/>
  </si>
  <si>
    <r>
      <t>SAI4 data 2 input, iomux on Pin AT9.(Default for HDMI tx or EDP</t>
    </r>
    <r>
      <rPr>
        <sz val="11"/>
        <color theme="1"/>
        <rFont val="宋体"/>
        <family val="3"/>
        <charset val="134"/>
      </rPr>
      <t>）</t>
    </r>
    <phoneticPr fontId="2" type="noConversion"/>
  </si>
  <si>
    <r>
      <t>SAI4 left/right channel clock(Default for Play and Record), iomux on Pin AR11.(Default for HDMI tx or EDP</t>
    </r>
    <r>
      <rPr>
        <sz val="11"/>
        <color theme="1"/>
        <rFont val="宋体"/>
        <family val="3"/>
        <charset val="134"/>
      </rPr>
      <t>）</t>
    </r>
    <phoneticPr fontId="2" type="noConversion"/>
  </si>
  <si>
    <r>
      <t>SAI4 data 3 input, iomux on Pin  AT11.(Default for HDMI tx or EDP</t>
    </r>
    <r>
      <rPr>
        <sz val="11"/>
        <color theme="1"/>
        <rFont val="宋体"/>
        <family val="3"/>
        <charset val="134"/>
      </rPr>
      <t>）</t>
    </r>
    <phoneticPr fontId="2" type="noConversion"/>
  </si>
  <si>
    <r>
      <t>SAI4 data 1 output, iomux on Pin  AT11.(Default for HDMI tx or EDP</t>
    </r>
    <r>
      <rPr>
        <sz val="11"/>
        <color theme="1"/>
        <rFont val="宋体"/>
        <family val="3"/>
        <charset val="134"/>
      </rPr>
      <t>）</t>
    </r>
    <phoneticPr fontId="2" type="noConversion"/>
  </si>
  <si>
    <r>
      <t>SAI4 data 2 output, iomux on Pin AT9.(Default for HDMI tx or EDP</t>
    </r>
    <r>
      <rPr>
        <sz val="11"/>
        <color theme="1"/>
        <rFont val="宋体"/>
        <family val="3"/>
        <charset val="134"/>
      </rPr>
      <t>）</t>
    </r>
    <phoneticPr fontId="2" type="noConversion"/>
  </si>
  <si>
    <r>
      <t>SAI4 master clock</t>
    </r>
    <r>
      <rPr>
        <sz val="11"/>
        <color theme="1"/>
        <rFont val="Verdana"/>
        <family val="2"/>
      </rPr>
      <t>, iomux on Pin  AR9.(Default for HDMI tx or EDP</t>
    </r>
    <r>
      <rPr>
        <sz val="11"/>
        <color theme="1"/>
        <rFont val="宋体"/>
        <family val="3"/>
        <charset val="134"/>
      </rPr>
      <t>）</t>
    </r>
    <phoneticPr fontId="2" type="noConversion"/>
  </si>
  <si>
    <t>NOR or Nand SPI Flash 0 data 1, iomux on Pin AR11</t>
    <phoneticPr fontId="2" type="noConversion"/>
  </si>
  <si>
    <t>NOR or Nand SPI Flash 0 data 2, iomux on Pin AT11</t>
    <phoneticPr fontId="2" type="noConversion"/>
  </si>
  <si>
    <t>NOR or Nand SPI Flash 0 data 4, iomux on Pin AR9</t>
    <phoneticPr fontId="2" type="noConversion"/>
  </si>
  <si>
    <t>NOR or Nand SPI Flash 0 data 7, iomux on Pin AR12</t>
    <phoneticPr fontId="2" type="noConversion"/>
  </si>
  <si>
    <t>I2C7_SCL_M0/UART6_TX_M2/FSPI0_RST/FSPI0_CSN1/EMMC_CMD/GPIO1_B0_u</t>
    <phoneticPr fontId="2" type="noConversion"/>
  </si>
  <si>
    <t>NOR or NAND SPI Flash 0 chip select 1</t>
    <phoneticPr fontId="2" type="noConversion"/>
  </si>
  <si>
    <t>1AE5</t>
    <phoneticPr fontId="2" type="noConversion"/>
  </si>
  <si>
    <t>I2C7 bus clock, iomux on Pin 1AE5</t>
    <phoneticPr fontId="2" type="noConversion"/>
  </si>
  <si>
    <t>PWM2_CH7_M1/SAI4_SDO3_M0/SAI4_SDI1_M0/FSPI0_CLK/EMMC_CLK/GPIO1_B1_d</t>
    <phoneticPr fontId="2" type="noConversion"/>
  </si>
  <si>
    <t>AR8</t>
    <phoneticPr fontId="2" type="noConversion"/>
  </si>
  <si>
    <t>PWM controller 2 channel 7, iomux on Pin AR8</t>
    <phoneticPr fontId="2" type="noConversion"/>
  </si>
  <si>
    <t>UART6 transmit data, iomux on Pin 1AE5</t>
    <phoneticPr fontId="2" type="noConversion"/>
  </si>
  <si>
    <t>NOR or NAND SPI Flash 0 clock, iomux on Pin AR8</t>
    <phoneticPr fontId="2" type="noConversion"/>
  </si>
  <si>
    <t>SAI3_SDO_M0</t>
    <phoneticPr fontId="2" type="noConversion"/>
  </si>
  <si>
    <t>SPI0_CSN1_M2/SAI4_SDI0_M0/SAI3_SDO_M0/FSPI0_DQS/EMMC_STRB/GPIO1_B2_d</t>
    <phoneticPr fontId="2" type="noConversion"/>
  </si>
  <si>
    <t>SAI4_SDI0_M0</t>
    <phoneticPr fontId="2" type="noConversion"/>
  </si>
  <si>
    <t>1AD5</t>
    <phoneticPr fontId="2" type="noConversion"/>
  </si>
  <si>
    <t>SPI0 chip select 1, iomux on Pin 1AD5</t>
    <phoneticPr fontId="2" type="noConversion"/>
  </si>
  <si>
    <r>
      <t>SAI4 data 0 output, iomux on Pin AR12.(Default for HDMI tx or EDP</t>
    </r>
    <r>
      <rPr>
        <sz val="11"/>
        <color theme="1"/>
        <rFont val="宋体"/>
        <family val="3"/>
        <charset val="134"/>
      </rPr>
      <t>）</t>
    </r>
    <phoneticPr fontId="2" type="noConversion"/>
  </si>
  <si>
    <t>I2C7_SDA_M0/PWM2_CH1_M0/UART6_RX_M2/MIPI_TE_M3/FSPI0_CSN0/EMMC_RSTN/GPIO1_B3_u</t>
    <phoneticPr fontId="2" type="noConversion"/>
  </si>
  <si>
    <t>1AF5</t>
    <phoneticPr fontId="2" type="noConversion"/>
  </si>
  <si>
    <t>UART6 receive data, iomux on Pin 1AF5</t>
    <phoneticPr fontId="2" type="noConversion"/>
  </si>
  <si>
    <t>I2C7 bus data/adress, iomux on Pin 1AF5</t>
    <phoneticPr fontId="2" type="noConversion"/>
  </si>
  <si>
    <t>PWM controller 2 channel 1, iomux on Pin 1AF5</t>
    <phoneticPr fontId="2" type="noConversion"/>
  </si>
  <si>
    <t>MIPI Tearing, iomux on Pin 1AF5</t>
    <phoneticPr fontId="2" type="noConversion"/>
  </si>
  <si>
    <t>1D8</t>
    <phoneticPr fontId="2" type="noConversion"/>
  </si>
  <si>
    <t>UART7 receive data, iomux on Pin 1D8</t>
    <phoneticPr fontId="2" type="noConversion"/>
  </si>
  <si>
    <t>CAN1 receive data, iomux on Pin 1D8</t>
    <phoneticPr fontId="2" type="noConversion"/>
  </si>
  <si>
    <t>1A10</t>
    <phoneticPr fontId="2" type="noConversion"/>
  </si>
  <si>
    <t>NOR or Nand SPI Flash 1 data 1, iomux on Pin 1A10</t>
    <phoneticPr fontId="2" type="noConversion"/>
  </si>
  <si>
    <t>Audio DSM negative  differential left channel data, iomux on Pin 1A10</t>
    <phoneticPr fontId="2" type="noConversion"/>
  </si>
  <si>
    <t>SAI3 master clock, iomux on Pin 1A10</t>
    <phoneticPr fontId="2" type="noConversion"/>
  </si>
  <si>
    <t>UART0 transmit data, iomux on Pin 1A10</t>
    <phoneticPr fontId="2" type="noConversion"/>
  </si>
  <si>
    <t>SPI0 master input,slave output, iomux on Pin 1A10</t>
    <phoneticPr fontId="2" type="noConversion"/>
  </si>
  <si>
    <t>I2C8 bus data/adress, iomux on Pin 1A10</t>
    <phoneticPr fontId="2" type="noConversion"/>
  </si>
  <si>
    <t>PWM controller 2 channel 3, iomux on Pin 1A10</t>
    <phoneticPr fontId="2" type="noConversion"/>
  </si>
  <si>
    <t>UART7 transmit data, iomux on Pin 1A10</t>
    <phoneticPr fontId="2" type="noConversion"/>
  </si>
  <si>
    <t>CAN1 transmit data, iomux on Pin 1A10</t>
    <phoneticPr fontId="2" type="noConversion"/>
  </si>
  <si>
    <t>CAN0_RX_M0</t>
    <phoneticPr fontId="2" type="noConversion"/>
  </si>
  <si>
    <t>B11</t>
    <phoneticPr fontId="2" type="noConversion"/>
  </si>
  <si>
    <t>NOR or Nand SPI Flash 1 data 2, iomux on Pin B11</t>
    <phoneticPr fontId="2" type="noConversion"/>
  </si>
  <si>
    <t>Audio DSM positive   differential right channel data, iomux on Pin B11</t>
    <phoneticPr fontId="2" type="noConversion"/>
  </si>
  <si>
    <t>UART5 request to send, iomux on Pin B11</t>
    <phoneticPr fontId="2" type="noConversion"/>
  </si>
  <si>
    <t>SPI0 chip select 1, iomux on Pin B11</t>
    <phoneticPr fontId="2" type="noConversion"/>
  </si>
  <si>
    <t>ARM JTAG clock, iomux on Pin B11</t>
    <phoneticPr fontId="2" type="noConversion"/>
  </si>
  <si>
    <t>1A8</t>
    <phoneticPr fontId="2" type="noConversion"/>
  </si>
  <si>
    <t>NOR or Nand SPI Flash 1 data 3, iomux on Pin 1A8</t>
    <phoneticPr fontId="2" type="noConversion"/>
  </si>
  <si>
    <t>Audio DSM negative  differential right channel data, iomux on Pin 1A8</t>
    <phoneticPr fontId="2" type="noConversion"/>
  </si>
  <si>
    <t>SAI3 data  input, iomux on Pin 1A8</t>
    <phoneticPr fontId="2" type="noConversion"/>
  </si>
  <si>
    <t>UART5 clear to send, iomux on Pin 1A8</t>
    <phoneticPr fontId="2" type="noConversion"/>
  </si>
  <si>
    <t>ARM JTAG Mode select, iomux on Pin 1A8</t>
    <phoneticPr fontId="2" type="noConversion"/>
  </si>
  <si>
    <t>CAN0 transmit data, iomux on Pin 1A8</t>
    <phoneticPr fontId="2" type="noConversion"/>
  </si>
  <si>
    <t>GPIO2_A4_z</t>
    <phoneticPr fontId="2" type="noConversion"/>
  </si>
  <si>
    <t>CAN2_RX_M0</t>
    <phoneticPr fontId="2" type="noConversion"/>
  </si>
  <si>
    <t>SAI3_SDO_M1</t>
    <phoneticPr fontId="2" type="noConversion"/>
  </si>
  <si>
    <t>CAN2_RX_M0/PWM2_CH4_M0/I2C5_SDA_M0/SPI0_CSN0_M1/UART5_RX_M2/SAI3_SDO_M1/SDMMC0_CMD_M0/FSPI1_CSN0_M0/GPIO2_A4_z</t>
    <phoneticPr fontId="2" type="noConversion"/>
  </si>
  <si>
    <t>CAN0 receive data, iomux on Pin B11</t>
    <phoneticPr fontId="2" type="noConversion"/>
  </si>
  <si>
    <t>1B8</t>
    <phoneticPr fontId="2" type="noConversion"/>
  </si>
  <si>
    <t>SAI3 data  output, iomux on Pin 1B8</t>
    <phoneticPr fontId="2" type="noConversion"/>
  </si>
  <si>
    <t>UART5 receive data, iomux on Pin 1B8</t>
    <phoneticPr fontId="2" type="noConversion"/>
  </si>
  <si>
    <t>SPI0 chip select 0, iomux on Pin 1B8</t>
    <phoneticPr fontId="2" type="noConversion"/>
  </si>
  <si>
    <t>I2C5 bus data/adress, iomux on Pin 1B8</t>
    <phoneticPr fontId="2" type="noConversion"/>
  </si>
  <si>
    <t>PWM controller 2 channel 4, iomux on Pin 1B8</t>
    <phoneticPr fontId="2" type="noConversion"/>
  </si>
  <si>
    <t>CAN2 receive data, iomux on Pin 1B8</t>
    <phoneticPr fontId="2" type="noConversion"/>
  </si>
  <si>
    <t>CAN2_TX_M0</t>
    <phoneticPr fontId="2" type="noConversion"/>
  </si>
  <si>
    <t>TEST_CLK_OUT</t>
    <phoneticPr fontId="2" type="noConversion"/>
  </si>
  <si>
    <t>Clk for test</t>
    <phoneticPr fontId="2" type="noConversion"/>
  </si>
  <si>
    <t>1C8</t>
    <phoneticPr fontId="2" type="noConversion"/>
  </si>
  <si>
    <t>NOR or NAND SPI Flash 1 clock, iomux on Pin 1C8</t>
    <phoneticPr fontId="2" type="noConversion"/>
  </si>
  <si>
    <t>UART5 transmit data, iomux on Pin 1C8</t>
    <phoneticPr fontId="2" type="noConversion"/>
  </si>
  <si>
    <t>SPI0 clock, iomux on Pin 1C8</t>
    <phoneticPr fontId="2" type="noConversion"/>
  </si>
  <si>
    <t>I2C5 bus clock, iomux on Pin 1C8</t>
    <phoneticPr fontId="2" type="noConversion"/>
  </si>
  <si>
    <t>SAI3 serial clock or Bclock(Default for Play and Record), iomux on Pin 1C8</t>
    <phoneticPr fontId="2" type="noConversion"/>
  </si>
  <si>
    <t>RST_OUT_M0/GPIO0_A1_z</t>
    <phoneticPr fontId="2" type="noConversion"/>
  </si>
  <si>
    <t>RST_OUT_M0</t>
    <phoneticPr fontId="2" type="noConversion"/>
  </si>
  <si>
    <t>RST_OUT_M1/PWR_CTRL1/GPIO0_A3_d</t>
    <phoneticPr fontId="2" type="noConversion"/>
  </si>
  <si>
    <t>Global Reset Out</t>
    <phoneticPr fontId="2" type="noConversion"/>
  </si>
  <si>
    <t>Global Reset Out</t>
    <phoneticPr fontId="2" type="noConversion"/>
  </si>
  <si>
    <t>SDMMC0_DETN_M0</t>
    <phoneticPr fontId="2" type="noConversion"/>
  </si>
  <si>
    <t>SPI2_CSN1_M0</t>
    <phoneticPr fontId="2" type="noConversion"/>
  </si>
  <si>
    <t>T33</t>
    <phoneticPr fontId="2" type="noConversion"/>
  </si>
  <si>
    <t>SPI2 chip select 1, iomux on Pin T33</t>
    <phoneticPr fontId="2" type="noConversion"/>
  </si>
  <si>
    <t>1K21</t>
    <phoneticPr fontId="2" type="noConversion"/>
  </si>
  <si>
    <t>SPI2 chip select 0, iomux on Pin 1K21</t>
    <phoneticPr fontId="2" type="noConversion"/>
  </si>
  <si>
    <t>I2C0 bus clock, iomux on Pin 1K21</t>
    <phoneticPr fontId="2" type="noConversion"/>
  </si>
  <si>
    <t>U32</t>
    <phoneticPr fontId="2" type="noConversion"/>
  </si>
  <si>
    <t>SPI2 master input,slave output, iomux on Pin U32</t>
    <phoneticPr fontId="2" type="noConversion"/>
  </si>
  <si>
    <t>I2C0 bus data/adress, iomux on Pin U32</t>
    <phoneticPr fontId="2" type="noConversion"/>
  </si>
  <si>
    <t>1M23</t>
    <phoneticPr fontId="2" type="noConversion"/>
  </si>
  <si>
    <t>SPI2 master output,slave input, iomux on Pin 1M23</t>
    <phoneticPr fontId="2" type="noConversion"/>
  </si>
  <si>
    <t>I2C1 bus data/adress, iomux on Pin 1M23</t>
    <phoneticPr fontId="2" type="noConversion"/>
  </si>
  <si>
    <t>PWM1_CH0_M0/I2C1_SCL_M1/UART4_TX_M2/REF_CLK1_OUT/GPIO0_B4_d</t>
    <phoneticPr fontId="2" type="noConversion"/>
  </si>
  <si>
    <t>AC33</t>
    <phoneticPr fontId="2" type="noConversion"/>
  </si>
  <si>
    <t>UART4 transmit data, iomux on Pin AC33</t>
    <phoneticPr fontId="2" type="noConversion"/>
  </si>
  <si>
    <t>PWM controller 1 channel 0, iomux on Pin AC33</t>
    <phoneticPr fontId="2" type="noConversion"/>
  </si>
  <si>
    <t>I2C1 bus clock, iomux on Pin AC33</t>
    <phoneticPr fontId="2" type="noConversion"/>
  </si>
  <si>
    <t>AB33</t>
    <phoneticPr fontId="2" type="noConversion"/>
  </si>
  <si>
    <t>SDMMC1 detect input, iomux on Pin AB33</t>
    <phoneticPr fontId="2" type="noConversion"/>
  </si>
  <si>
    <t>HDMI Hot Plug detection interrupt, iomux on Pin AB33</t>
    <phoneticPr fontId="2" type="noConversion"/>
  </si>
  <si>
    <t>eDP Hot Plug detection interrupt, iomux on Pin AB33</t>
    <phoneticPr fontId="2" type="noConversion"/>
  </si>
  <si>
    <t>PWM controller 1 channel 2, iomux on Pin AB33</t>
    <phoneticPr fontId="2" type="noConversion"/>
  </si>
  <si>
    <t>AA32</t>
    <phoneticPr fontId="2" type="noConversion"/>
  </si>
  <si>
    <t>UART1 transmit data, iomux on Pin AA32</t>
    <phoneticPr fontId="2" type="noConversion"/>
  </si>
  <si>
    <t>PWM controller 1 channel 4, iomux on Pin AA32</t>
    <phoneticPr fontId="2" type="noConversion"/>
  </si>
  <si>
    <t>I2C2 bus clock, iomux on Pin AA32</t>
    <phoneticPr fontId="2" type="noConversion"/>
  </si>
  <si>
    <t>Y33</t>
    <phoneticPr fontId="2" type="noConversion"/>
  </si>
  <si>
    <t>UART8 transmit data, iomux on Pin Y33</t>
    <phoneticPr fontId="2" type="noConversion"/>
  </si>
  <si>
    <t>I2C0 bus clock, iomux on Pin Y33</t>
    <phoneticPr fontId="2" type="noConversion"/>
  </si>
  <si>
    <t>PDM_CLK1_M0</t>
    <phoneticPr fontId="2" type="noConversion"/>
  </si>
  <si>
    <t>PDM_CLK0_M0</t>
    <phoneticPr fontId="2" type="noConversion"/>
  </si>
  <si>
    <t>1T20</t>
    <phoneticPr fontId="2" type="noConversion"/>
  </si>
  <si>
    <t>SAI0 master clock, iomux on Pin 1T20</t>
    <phoneticPr fontId="2" type="noConversion"/>
  </si>
  <si>
    <t>PWM controller 0 channel 0, iomux on Pin 1T20</t>
    <phoneticPr fontId="2" type="noConversion"/>
  </si>
  <si>
    <t>1T21</t>
    <phoneticPr fontId="2" type="noConversion"/>
  </si>
  <si>
    <t>SAI0 data 0 output, iomux on Pin 1T21</t>
    <phoneticPr fontId="2" type="noConversion"/>
  </si>
  <si>
    <t>UART10 receive data, iomux on Pin 1T21</t>
    <phoneticPr fontId="2" type="noConversion"/>
  </si>
  <si>
    <t>I2C3_SCL_M1/UART8_RTSN_M1/SAI0_SCLK_M1/SPI0_CSN0_M0/GPIO0_C6_d</t>
    <phoneticPr fontId="2" type="noConversion"/>
  </si>
  <si>
    <t>UART8_RTSN_M1</t>
    <phoneticPr fontId="2" type="noConversion"/>
  </si>
  <si>
    <t>I2C3_SDA_M1/UART8_CTSN_M1/SAI0_LRCK_M1/SPI0_CLK_M0/GPIO0_C7_d</t>
    <phoneticPr fontId="2" type="noConversion"/>
  </si>
  <si>
    <t>UART8_CTSN_M1</t>
    <phoneticPr fontId="2" type="noConversion"/>
  </si>
  <si>
    <t>1T23</t>
    <phoneticPr fontId="2" type="noConversion"/>
  </si>
  <si>
    <t>SPI0 clock, iomux on Pin 1T23</t>
    <phoneticPr fontId="2" type="noConversion"/>
  </si>
  <si>
    <t>I2C3 bus data/adress, iomux on Pin 1T23</t>
    <phoneticPr fontId="2" type="noConversion"/>
  </si>
  <si>
    <t>SAI0 left/right channel clock(Default for Play and Record), iomux on Pin 1T23</t>
    <phoneticPr fontId="2" type="noConversion"/>
  </si>
  <si>
    <t>PDM_SDI0_M0</t>
    <phoneticPr fontId="2" type="noConversion"/>
  </si>
  <si>
    <t>UART11_TX_M0/PDM_SDI0_M0/SAI0_SDI0_M1/SPI0_MOSI_M0/GPIO0_D0_d</t>
    <phoneticPr fontId="2" type="noConversion"/>
  </si>
  <si>
    <t>UART11_TX_M0</t>
    <phoneticPr fontId="2" type="noConversion"/>
  </si>
  <si>
    <t>1P20</t>
    <phoneticPr fontId="2" type="noConversion"/>
  </si>
  <si>
    <t>SAI0 data 0 input, iomux on Pin 1P20</t>
    <phoneticPr fontId="2" type="noConversion"/>
  </si>
  <si>
    <t>UART11 transmit data, iomux on Pin 1P20</t>
    <phoneticPr fontId="2" type="noConversion"/>
  </si>
  <si>
    <t>SPI0 master output,slave input, iomux on Pin 1P20</t>
    <phoneticPr fontId="2" type="noConversion"/>
  </si>
  <si>
    <t>PDM_SDI1_M0</t>
    <phoneticPr fontId="2" type="noConversion"/>
  </si>
  <si>
    <t>UART11_RX_M0/PDM_SDI1_M0/SAI0_SDO3_M1/SAI0_SDI1_M1/SPI0_MISO_M0/GPIO0_D1_d</t>
    <phoneticPr fontId="2" type="noConversion"/>
  </si>
  <si>
    <t>UART11_RX_M0</t>
    <phoneticPr fontId="2" type="noConversion"/>
  </si>
  <si>
    <t>1P21</t>
    <phoneticPr fontId="2" type="noConversion"/>
  </si>
  <si>
    <t>SAI0 data 1 input, iomux on Pin 1P21</t>
    <phoneticPr fontId="2" type="noConversion"/>
  </si>
  <si>
    <t>SAI0 data 3 output, iomux on Pin 1P21</t>
    <phoneticPr fontId="2" type="noConversion"/>
  </si>
  <si>
    <t>PDM data 1 input, iomux on Pin 1P21</t>
    <phoneticPr fontId="2" type="noConversion"/>
  </si>
  <si>
    <t>UART11 receive data, iomux on Pin 1P21</t>
    <phoneticPr fontId="2" type="noConversion"/>
  </si>
  <si>
    <t>SPI0 master input,slave output, iomux on Pin 1P21</t>
    <phoneticPr fontId="2" type="noConversion"/>
  </si>
  <si>
    <t>PDM_SDI2_M0</t>
    <phoneticPr fontId="2" type="noConversion"/>
  </si>
  <si>
    <t>1P22</t>
    <phoneticPr fontId="2" type="noConversion"/>
  </si>
  <si>
    <t>SAI0 data 2 input, iomux on Pin 1P22</t>
    <phoneticPr fontId="2" type="noConversion"/>
  </si>
  <si>
    <t>SAI0 data 2 output, iomux on Pin 1P22</t>
    <phoneticPr fontId="2" type="noConversion"/>
  </si>
  <si>
    <t>UART1 clear to send, iomux on Pin 1P22</t>
    <phoneticPr fontId="2" type="noConversion"/>
  </si>
  <si>
    <t>I2C4 bus clock, iomux on Pin 1P22</t>
    <phoneticPr fontId="2" type="noConversion"/>
  </si>
  <si>
    <t>PWM controller 1 channel 5, iomux on Pin 1P22</t>
    <phoneticPr fontId="2" type="noConversion"/>
  </si>
  <si>
    <t>PDM_SDI3_M0</t>
    <phoneticPr fontId="2" type="noConversion"/>
  </si>
  <si>
    <t>SAI0 data 1 output, iomux on Pin 1P23</t>
    <phoneticPr fontId="2" type="noConversion"/>
  </si>
  <si>
    <t>UART1 request to send, iomux on Pin 1P23</t>
    <phoneticPr fontId="2" type="noConversion"/>
  </si>
  <si>
    <t>I2C4 bus data/adress, iomux on Pin 1P23</t>
    <phoneticPr fontId="2" type="noConversion"/>
  </si>
  <si>
    <t>PWM controller 2 channel 0, iomux on Pin 1P23</t>
    <phoneticPr fontId="2" type="noConversion"/>
  </si>
  <si>
    <t>GPIO2_B0_d</t>
    <phoneticPr fontId="2" type="noConversion"/>
  </si>
  <si>
    <t>PWM2_CH5_M0/UART6_RX_M0/SAI0_MCLK_M2/SAI1_MCLK_M0/GPIO2_B0_d</t>
    <phoneticPr fontId="2" type="noConversion"/>
  </si>
  <si>
    <t>SAI0_MCLK_M2</t>
    <phoneticPr fontId="2" type="noConversion"/>
  </si>
  <si>
    <t>UART6_RX_M0</t>
    <phoneticPr fontId="2" type="noConversion"/>
  </si>
  <si>
    <t>1D1</t>
    <phoneticPr fontId="2" type="noConversion"/>
  </si>
  <si>
    <t>SAI1 master clock, iomux on Pin 1D1</t>
    <phoneticPr fontId="2" type="noConversion"/>
  </si>
  <si>
    <t>PWM controller 2 channel 5, iomux on Pin 1D1</t>
    <phoneticPr fontId="2" type="noConversion"/>
  </si>
  <si>
    <t>SAI0 master clock, iomux on Pin 1D1</t>
    <phoneticPr fontId="2" type="noConversion"/>
  </si>
  <si>
    <t>CAN0_TX_M2/PWM2_CH4_M1/I2C2_SCL_M2/SPI3_CSN0_M2/UART6_TX_M0/SAI0_SDI1_M2/SAI1_SCLK_M0/GPIO2_B1_d</t>
    <phoneticPr fontId="2" type="noConversion"/>
  </si>
  <si>
    <t>SAI0_SDI1_M2</t>
    <phoneticPr fontId="12" type="noConversion"/>
  </si>
  <si>
    <t>GPIO2_B1_d</t>
    <phoneticPr fontId="2" type="noConversion"/>
  </si>
  <si>
    <t>UART10 transmit data, iomux on Pin 1T20</t>
    <phoneticPr fontId="2" type="noConversion"/>
  </si>
  <si>
    <t>PDM data 3 input, iomux on Pin 1P23</t>
    <phoneticPr fontId="2" type="noConversion"/>
  </si>
  <si>
    <t>1P23</t>
    <phoneticPr fontId="2" type="noConversion"/>
  </si>
  <si>
    <t>SAI0 data 3 input, iomux on Pin 1P23</t>
    <phoneticPr fontId="2" type="noConversion"/>
  </si>
  <si>
    <t>U33</t>
    <phoneticPr fontId="2" type="noConversion"/>
  </si>
  <si>
    <t>UART0 transmit data, iomux on Pin U33</t>
    <phoneticPr fontId="2" type="noConversion"/>
  </si>
  <si>
    <t>ARM JTAG clock, iomux on Pin U33</t>
    <phoneticPr fontId="2" type="noConversion"/>
  </si>
  <si>
    <t>1A2</t>
    <phoneticPr fontId="2" type="noConversion"/>
  </si>
  <si>
    <t>SAI1 serial clock or Bclock(Default for Play and Record), iomux on Pin 1A2</t>
    <phoneticPr fontId="2" type="noConversion"/>
  </si>
  <si>
    <t>SPI3 chip select 0, iomux on Pin 1A2</t>
    <phoneticPr fontId="2" type="noConversion"/>
  </si>
  <si>
    <t>PWM controller 2 channel 4, iomux on Pin 1A2</t>
    <phoneticPr fontId="2" type="noConversion"/>
  </si>
  <si>
    <t>I2C2 bus clock, iomux on Pin 1A2</t>
    <phoneticPr fontId="2" type="noConversion"/>
  </si>
  <si>
    <t>CAN2 transmit data, iomux on Pin 1C8</t>
    <phoneticPr fontId="2" type="noConversion"/>
  </si>
  <si>
    <t>CAN0 transmit data, iomux on Pin 1A2</t>
    <phoneticPr fontId="2" type="noConversion"/>
  </si>
  <si>
    <t>SAI0_SCLK_M2</t>
    <phoneticPr fontId="2" type="noConversion"/>
  </si>
  <si>
    <t>PDM_CLK0_M1</t>
    <phoneticPr fontId="2" type="noConversion"/>
  </si>
  <si>
    <t>I2C4_SCL_M1/SPI3_MOSI_M2/UART9_TX_M2/PDM_CLK0_M1/SAI0_SCLK_M2/VI_CIF_D15/UART6_RTSN_M0/GPIO2_B2_d</t>
    <phoneticPr fontId="2" type="noConversion"/>
  </si>
  <si>
    <t>GPIO2_B2</t>
    <phoneticPr fontId="2" type="noConversion"/>
  </si>
  <si>
    <t>B3</t>
    <phoneticPr fontId="2" type="noConversion"/>
  </si>
  <si>
    <t>SPI3 master output,slave input, iomux on Pin B3</t>
    <phoneticPr fontId="2" type="noConversion"/>
  </si>
  <si>
    <t>I2C4 bus clock, iomux on Pin B3</t>
    <phoneticPr fontId="2" type="noConversion"/>
  </si>
  <si>
    <t>UART6 request to send, iomux on Pin B3</t>
    <phoneticPr fontId="2" type="noConversion"/>
  </si>
  <si>
    <t>UART6 transmit data, iomux on Pin 1A2</t>
    <phoneticPr fontId="2" type="noConversion"/>
  </si>
  <si>
    <t>PDM clock 0 ouput, iomux on Pin 1T20</t>
    <phoneticPr fontId="2" type="noConversion"/>
  </si>
  <si>
    <t>PDM_CLK1_M1</t>
    <phoneticPr fontId="2" type="noConversion"/>
  </si>
  <si>
    <t>PDM clock 0 ouput, iomux on Pin B3</t>
    <phoneticPr fontId="2" type="noConversion"/>
  </si>
  <si>
    <t>VI_CIF_D15</t>
    <phoneticPr fontId="2" type="noConversion"/>
  </si>
  <si>
    <t>VI_CIF_D14</t>
    <phoneticPr fontId="2" type="noConversion"/>
  </si>
  <si>
    <t>CAN0_RX_M2/PCIE1_CLKREQN_M2/I2C2_SDA_M2/SPI4_CSN1_M2/UART9_RX_M2/SAI0_SDI2_M2/SAI1_LRCK_M0/VI_CIF_D14/UART6_CTSN_M0/GPIO2_B3_d</t>
    <phoneticPr fontId="2" type="noConversion"/>
  </si>
  <si>
    <t>SAI0_SDI2_M2</t>
    <phoneticPr fontId="2" type="noConversion"/>
  </si>
  <si>
    <t>UART9_RX_M2</t>
    <phoneticPr fontId="2" type="noConversion"/>
  </si>
  <si>
    <t>1D2</t>
    <phoneticPr fontId="2" type="noConversion"/>
  </si>
  <si>
    <t>SPI4 chip select 1, iomux on Pin 1D2</t>
    <phoneticPr fontId="2" type="noConversion"/>
  </si>
  <si>
    <t>I2C2 bus data/adress, iomux on Pin 1D2</t>
    <phoneticPr fontId="2" type="noConversion"/>
  </si>
  <si>
    <t>UART6 clear to send, iomux on Pin 1D2</t>
    <phoneticPr fontId="2" type="noConversion"/>
  </si>
  <si>
    <t>CAN0 receive data, iomux on Pin 1D2</t>
    <phoneticPr fontId="2" type="noConversion"/>
  </si>
  <si>
    <t>VI_CIF_D12</t>
    <phoneticPr fontId="2" type="noConversion"/>
  </si>
  <si>
    <t>VI_CIF_D13</t>
    <phoneticPr fontId="2" type="noConversion"/>
  </si>
  <si>
    <t>I2C4_SDA_M1/SPI3_MISO_M2/UART2_RX_M1/PDM_CLK1_M1/SAI0_LRCK_M2/SPDIF_TX1_M0/VI_CIF_D13/GPIO2_B4_d</t>
    <phoneticPr fontId="2" type="noConversion"/>
  </si>
  <si>
    <t>UART2 receive data, iomux on Pin 1B2</t>
    <phoneticPr fontId="2" type="noConversion"/>
  </si>
  <si>
    <t>SPI3 master input,slave output, iomux on Pin 1B2</t>
    <phoneticPr fontId="2" type="noConversion"/>
  </si>
  <si>
    <t>I2C4 bus data/adress, iomux on Pin 1B2</t>
    <phoneticPr fontId="2" type="noConversion"/>
  </si>
  <si>
    <t>SPDIF_TX1_M0</t>
    <phoneticPr fontId="2" type="noConversion"/>
  </si>
  <si>
    <t>SAI0_LRCK_M2</t>
    <phoneticPr fontId="2" type="noConversion"/>
  </si>
  <si>
    <t>SAI0 left/right channel clock(Default for Play and Record), iomux on Pin 1B2</t>
    <phoneticPr fontId="2" type="noConversion"/>
  </si>
  <si>
    <t>PDM clock 1 ouput, iomux on Pin 1B2</t>
    <phoneticPr fontId="2" type="noConversion"/>
  </si>
  <si>
    <t>1B2</t>
    <phoneticPr fontId="2" type="noConversion"/>
  </si>
  <si>
    <t>SPDIF transmit 1, iomux on Pin 1B2</t>
    <phoneticPr fontId="2" type="noConversion"/>
  </si>
  <si>
    <t>UART6 receive data, iomux on Pin 1D1</t>
    <phoneticPr fontId="2" type="noConversion"/>
  </si>
  <si>
    <t>UART9 receive data, iomux on Pin 1D2</t>
    <phoneticPr fontId="2" type="noConversion"/>
  </si>
  <si>
    <t>SAI1 left/right channel clock(Default for Play and Record), iomux on Pin 1D2</t>
    <phoneticPr fontId="2" type="noConversion"/>
  </si>
  <si>
    <t>GPIO2_B5_d</t>
    <phoneticPr fontId="2" type="noConversion"/>
  </si>
  <si>
    <t>ETH0_PTP_REFCLK</t>
    <phoneticPr fontId="2" type="noConversion"/>
  </si>
  <si>
    <t>SAI0_SDI0_M2</t>
    <phoneticPr fontId="2" type="noConversion"/>
  </si>
  <si>
    <t>PWM2_CH6_M0/SPI3_CLK_M2/UART2_TX_M1/SAI0_SDI0_M2/SAI1_SDO0_M0/VI_CIF_D12/ETH0_PTP_REFCLK/GPIO2_B5_d</t>
    <phoneticPr fontId="2" type="noConversion"/>
  </si>
  <si>
    <t>UART2_TX_M1</t>
    <phoneticPr fontId="2" type="noConversion"/>
  </si>
  <si>
    <t>B4</t>
    <phoneticPr fontId="2" type="noConversion"/>
  </si>
  <si>
    <t>SAI1 data 0 output, iomux on Pin B4</t>
    <phoneticPr fontId="2" type="noConversion"/>
  </si>
  <si>
    <t>SPI3 clock, iomux on Pin B4</t>
    <phoneticPr fontId="2" type="noConversion"/>
  </si>
  <si>
    <t>PWM controller 2 channel 6, iomux on Pin B4</t>
    <phoneticPr fontId="2" type="noConversion"/>
  </si>
  <si>
    <t>UART9 transmit data, iomux on Pin B3</t>
    <phoneticPr fontId="2" type="noConversion"/>
  </si>
  <si>
    <t>GPIO2_B6_d</t>
    <phoneticPr fontId="2" type="noConversion"/>
  </si>
  <si>
    <t>ETH0_PPSCLK</t>
    <phoneticPr fontId="2" type="noConversion"/>
  </si>
  <si>
    <t>VI_CIF_D11</t>
    <phoneticPr fontId="2" type="noConversion"/>
  </si>
  <si>
    <t>UART2_RTSN_M1/SPI4_CLK_M2/UART11_TX_M1/PDM_SDI3_M1/SAI1_SDI3_M0/SAI1_SDO1_M0/VI_CIF_D11/ETH0_PPSCLK/GPIO2_B6_d</t>
    <phoneticPr fontId="2" type="noConversion"/>
  </si>
  <si>
    <t>1D3</t>
    <phoneticPr fontId="2" type="noConversion"/>
  </si>
  <si>
    <t>SAI1 data 1 output, iomux on Pin 1D3</t>
    <phoneticPr fontId="2" type="noConversion"/>
  </si>
  <si>
    <t>SAI1 data 3 input, iomux on Pin 1D3</t>
    <phoneticPr fontId="2" type="noConversion"/>
  </si>
  <si>
    <t>SPI4 clock, iomux on Pin 1D3</t>
    <phoneticPr fontId="2" type="noConversion"/>
  </si>
  <si>
    <t>UART2 request to send, iomux on Pin 1D3</t>
    <phoneticPr fontId="2" type="noConversion"/>
  </si>
  <si>
    <t>UART2 transmit data, iomux on Pin B4</t>
    <phoneticPr fontId="2" type="noConversion"/>
  </si>
  <si>
    <t>UART11 transmit data, iomux on Pin 1D3</t>
    <phoneticPr fontId="2" type="noConversion"/>
  </si>
  <si>
    <t>ETH0_PPSTRIG</t>
    <phoneticPr fontId="2" type="noConversion"/>
  </si>
  <si>
    <t>UART2_CTSN_M1/SPI4_MOSI_M2/UART11_RX_M1/PDM_SDI2_M1/SAI1_SDI2_M0/SAI1_SDO2_M0/VI_CIF_D10/ETH0_PPSTRIG/GPIO2_B7_d</t>
    <phoneticPr fontId="2" type="noConversion"/>
  </si>
  <si>
    <t>VI_CIF_D10</t>
    <phoneticPr fontId="2" type="noConversion"/>
  </si>
  <si>
    <t>UART11_RX_M1</t>
    <phoneticPr fontId="2" type="noConversion"/>
  </si>
  <si>
    <t>A4</t>
    <phoneticPr fontId="2" type="noConversion"/>
  </si>
  <si>
    <t>SAI1 data 2 output, iomux on Pin A4</t>
    <phoneticPr fontId="2" type="noConversion"/>
  </si>
  <si>
    <t>SAI1 data 2 input, iomux on Pin A4</t>
    <phoneticPr fontId="2" type="noConversion"/>
  </si>
  <si>
    <t>UART11 receive data, iomux on Pin A4</t>
    <phoneticPr fontId="2" type="noConversion"/>
  </si>
  <si>
    <t>SPI4 master output,slave input, iomux on Pin A4</t>
    <phoneticPr fontId="2" type="noConversion"/>
  </si>
  <si>
    <t>UART2 clear to send, iomux on Pin A4</t>
    <phoneticPr fontId="2" type="noConversion"/>
  </si>
  <si>
    <t>GPIO2_C0_d</t>
    <phoneticPr fontId="2" type="noConversion"/>
  </si>
  <si>
    <t>ETH0_RXD3</t>
    <phoneticPr fontId="2" type="noConversion"/>
  </si>
  <si>
    <t>VI_CIF_D9</t>
    <phoneticPr fontId="2" type="noConversion"/>
  </si>
  <si>
    <t>PDM_SDI1_M1</t>
    <phoneticPr fontId="2" type="noConversion"/>
  </si>
  <si>
    <t>UART5_RTSN_M1</t>
    <phoneticPr fontId="2" type="noConversion"/>
  </si>
  <si>
    <t>1C4</t>
    <phoneticPr fontId="2" type="noConversion"/>
  </si>
  <si>
    <t>SAI1 data 3 output, iomux on Pin 1C4</t>
    <phoneticPr fontId="2" type="noConversion"/>
  </si>
  <si>
    <t>SAI1 data 1 input, iomux on Pin 1C4</t>
    <phoneticPr fontId="2" type="noConversion"/>
  </si>
  <si>
    <t>SPI4 master input,slave output, iomux on Pin 1C4</t>
    <phoneticPr fontId="2" type="noConversion"/>
  </si>
  <si>
    <t>GPIO2_C1_d</t>
    <phoneticPr fontId="2" type="noConversion"/>
  </si>
  <si>
    <t>ETH0_RXD2</t>
    <phoneticPr fontId="2" type="noConversion"/>
  </si>
  <si>
    <t>VI_CIF_D8</t>
    <phoneticPr fontId="2" type="noConversion"/>
  </si>
  <si>
    <t>SAI0_SDO_M2</t>
    <phoneticPr fontId="2" type="noConversion"/>
  </si>
  <si>
    <t>PDM_SDI0_M1</t>
    <phoneticPr fontId="2" type="noConversion"/>
  </si>
  <si>
    <t>UART5_CTSN_M1</t>
    <phoneticPr fontId="2" type="noConversion"/>
  </si>
  <si>
    <t>1B4</t>
    <phoneticPr fontId="2" type="noConversion"/>
  </si>
  <si>
    <t>SAI1 data 0 input, iomux on Pin 1B4</t>
    <phoneticPr fontId="2" type="noConversion"/>
  </si>
  <si>
    <t>SPI4 chip select 0, iomux on Pin 1B4</t>
    <phoneticPr fontId="2" type="noConversion"/>
  </si>
  <si>
    <t>SPI3 chip select 1, iomux on Pin 1B4</t>
    <phoneticPr fontId="2" type="noConversion"/>
  </si>
  <si>
    <t>PWM controller 2 channel 7, iomux on Pin 1B4</t>
    <phoneticPr fontId="2" type="noConversion"/>
  </si>
  <si>
    <t>ETH0_TXD2</t>
    <phoneticPr fontId="2" type="noConversion"/>
  </si>
  <si>
    <t>CAN1_RX_M2/MIPI_TE_M0/I2C3_SDA_M0/UART5_RX_M1/SAI0_SDI3_M2/SPDIF_RX0_M0/ETH0_TXD2/GPIO2_C2_d</t>
    <phoneticPr fontId="2" type="noConversion"/>
  </si>
  <si>
    <t>UART5_RX_M1</t>
    <phoneticPr fontId="2" type="noConversion"/>
  </si>
  <si>
    <t>MIPI_TE_M0</t>
    <phoneticPr fontId="2" type="noConversion"/>
  </si>
  <si>
    <t>GPIO2_C2_d</t>
    <phoneticPr fontId="2" type="noConversion"/>
  </si>
  <si>
    <t>A5</t>
    <phoneticPr fontId="2" type="noConversion"/>
  </si>
  <si>
    <t>I2C3 bus data/adress, iomux on Pin A5</t>
    <phoneticPr fontId="2" type="noConversion"/>
  </si>
  <si>
    <t>CAN1 receive data, iomux on Pin A5</t>
    <phoneticPr fontId="2" type="noConversion"/>
  </si>
  <si>
    <t>UART5 receive data, iomux on Pin A5</t>
    <phoneticPr fontId="2" type="noConversion"/>
  </si>
  <si>
    <t>ETH0_TXD3</t>
    <phoneticPr fontId="2" type="noConversion"/>
  </si>
  <si>
    <t>UART5_TX_M1</t>
    <phoneticPr fontId="2" type="noConversion"/>
  </si>
  <si>
    <t>SPDIF transmit 0, iomux on Pin B5</t>
    <phoneticPr fontId="2" type="noConversion"/>
  </si>
  <si>
    <t>I2C3 bus clock, iomux on Pin B5</t>
    <phoneticPr fontId="2" type="noConversion"/>
  </si>
  <si>
    <t>CAN1 transmit data, iomux on Pin B5</t>
    <phoneticPr fontId="2" type="noConversion"/>
  </si>
  <si>
    <t>GPIO2_C3_d</t>
    <phoneticPr fontId="2" type="noConversion"/>
  </si>
  <si>
    <t>PCIE0_CLKREQN_M2</t>
    <phoneticPr fontId="2" type="noConversion"/>
  </si>
  <si>
    <t>B5</t>
    <phoneticPr fontId="2" type="noConversion"/>
  </si>
  <si>
    <t>PCIe21 PORT0 reference clock request, iomux on Pin B5</t>
    <phoneticPr fontId="2" type="noConversion"/>
  </si>
  <si>
    <t>GMAC0 transmit data 3, iomux on Pin B5</t>
    <phoneticPr fontId="2" type="noConversion"/>
  </si>
  <si>
    <t>GMAC0 receive data 2, iomux on Pin 1B4</t>
    <phoneticPr fontId="2" type="noConversion"/>
  </si>
  <si>
    <t>GMAC0 receive data 3, iomux on Pin 1C4</t>
    <phoneticPr fontId="2" type="noConversion"/>
  </si>
  <si>
    <t>SAI4_MCLK_M</t>
    <phoneticPr fontId="2" type="noConversion"/>
  </si>
  <si>
    <t>AR14</t>
    <phoneticPr fontId="2" type="noConversion"/>
  </si>
  <si>
    <t>GMAC1 receive data 2, iomux on Pin AR14</t>
    <phoneticPr fontId="2" type="noConversion"/>
  </si>
  <si>
    <t>SPI1 clock, iomux on Pin AR14</t>
    <phoneticPr fontId="2" type="noConversion"/>
  </si>
  <si>
    <t>I2C9 bus data/adress, iomux on Pin AR14</t>
    <phoneticPr fontId="2" type="noConversion"/>
  </si>
  <si>
    <t>PWM controller 1 channel 0, iomux on Pin AR14</t>
    <phoneticPr fontId="2" type="noConversion"/>
  </si>
  <si>
    <t>SAI4_LRCK_M1</t>
    <phoneticPr fontId="2" type="noConversion"/>
  </si>
  <si>
    <t>AR13</t>
    <phoneticPr fontId="2" type="noConversion"/>
  </si>
  <si>
    <t>GMAC1 receive data 3, iomux on Pin AR13</t>
    <phoneticPr fontId="2" type="noConversion"/>
  </si>
  <si>
    <t>SPI1 master output,slave input, iomux on Pin AR13</t>
    <phoneticPr fontId="2" type="noConversion"/>
  </si>
  <si>
    <t>I2C9 bus clock, iomux on Pin AR13</t>
    <phoneticPr fontId="2" type="noConversion"/>
  </si>
  <si>
    <t>PWM controller 1 channel 1, iomux on Pin AR13</t>
    <phoneticPr fontId="2" type="noConversion"/>
  </si>
  <si>
    <t>SDMMC1_D2</t>
    <phoneticPr fontId="2" type="noConversion"/>
  </si>
  <si>
    <t>SAI4_SDO_M1</t>
    <phoneticPr fontId="2" type="noConversion"/>
  </si>
  <si>
    <t>AT14</t>
    <phoneticPr fontId="2" type="noConversion"/>
  </si>
  <si>
    <t>GMAC1 receive clock, iomux on Pin AT14</t>
    <phoneticPr fontId="2" type="noConversion"/>
  </si>
  <si>
    <t>SDMMC1 data 2, iomux on Pin AT14</t>
    <phoneticPr fontId="2" type="noConversion"/>
  </si>
  <si>
    <t>UART3 clear to send, iomux on Pin AT14</t>
    <phoneticPr fontId="2" type="noConversion"/>
  </si>
  <si>
    <t>SPI1 master input,slave output, iomux on Pin AT14</t>
    <phoneticPr fontId="2" type="noConversion"/>
  </si>
  <si>
    <t>SDMMC1_D3</t>
    <phoneticPr fontId="2" type="noConversion"/>
  </si>
  <si>
    <t>AT15</t>
    <phoneticPr fontId="2" type="noConversion"/>
  </si>
  <si>
    <t>GMAC1 transmit data 2, iomux on Pin AT15</t>
    <phoneticPr fontId="2" type="noConversion"/>
  </si>
  <si>
    <t>SDMMC1 data 3, iomux on Pin AT15</t>
    <phoneticPr fontId="2" type="noConversion"/>
  </si>
  <si>
    <t>UART3 request to send, iomux on Pin AT15</t>
    <phoneticPr fontId="2" type="noConversion"/>
  </si>
  <si>
    <t>SPI1 chip select 0, iomux on Pin AT15</t>
    <phoneticPr fontId="2" type="noConversion"/>
  </si>
  <si>
    <t>SDMMC1_CMD</t>
    <phoneticPr fontId="2" type="noConversion"/>
  </si>
  <si>
    <t>PDM_SDI2_M2</t>
    <phoneticPr fontId="2" type="noConversion"/>
  </si>
  <si>
    <t>SAI4_SCLK_M1</t>
    <phoneticPr fontId="2" type="noConversion"/>
  </si>
  <si>
    <t>AR16</t>
    <phoneticPr fontId="2" type="noConversion"/>
  </si>
  <si>
    <t>GMAC1 transmit data 3, iomux on Pin AR16</t>
    <phoneticPr fontId="2" type="noConversion"/>
  </si>
  <si>
    <t>SDMMC1 command, iomux on Pin AR16</t>
    <phoneticPr fontId="2" type="noConversion"/>
  </si>
  <si>
    <t>UART3 transmit data, iomux on Pin AR16</t>
    <phoneticPr fontId="2" type="noConversion"/>
  </si>
  <si>
    <t>PWM controller 0 channel 0, iomux on Pin AR16</t>
    <phoneticPr fontId="2" type="noConversion"/>
  </si>
  <si>
    <t>SAI0 serial clock or Bclock(Default for Play and Record), iomux on Pin B3</t>
    <phoneticPr fontId="2" type="noConversion"/>
  </si>
  <si>
    <t>PDM data 2 input, iomux on Pin AR16</t>
    <phoneticPr fontId="2" type="noConversion"/>
  </si>
  <si>
    <t>SDMMC1_CLK</t>
    <phoneticPr fontId="2" type="noConversion"/>
  </si>
  <si>
    <t>PDM_CLK0_M2</t>
    <phoneticPr fontId="2" type="noConversion"/>
  </si>
  <si>
    <t>AR15</t>
    <phoneticPr fontId="2" type="noConversion"/>
  </si>
  <si>
    <t>GMAC1 transmit clock, iomux on Pin AR15</t>
    <phoneticPr fontId="2" type="noConversion"/>
  </si>
  <si>
    <t>SDMMC1 clock, iomux on Pin AR15</t>
    <phoneticPr fontId="2" type="noConversion"/>
  </si>
  <si>
    <t>UART3 receive data, iomux on Pin AR15</t>
    <phoneticPr fontId="2" type="noConversion"/>
  </si>
  <si>
    <t>PDM clock 0 ouput, iomux on Pin AR15</t>
    <phoneticPr fontId="2" type="noConversion"/>
  </si>
  <si>
    <t>SDMMC1_PWREN</t>
    <phoneticPr fontId="2" type="noConversion"/>
  </si>
  <si>
    <t>1AE11</t>
    <phoneticPr fontId="2" type="noConversion"/>
  </si>
  <si>
    <t>SDMMC1 power enable, iomux on Pin 1AE11</t>
    <phoneticPr fontId="2" type="noConversion"/>
  </si>
  <si>
    <t>UART4 request to send, iomux on Pin 1AE11</t>
    <phoneticPr fontId="2" type="noConversion"/>
  </si>
  <si>
    <t>I2C6 bus clock, iomux on Pin 1AE11</t>
    <phoneticPr fontId="2" type="noConversion"/>
  </si>
  <si>
    <t>SATA0_CPDET_M0/CAN2_TX_M1/I2C6_SDA_M1/UART4_CTSN_M1/SDMMC1_DETN_M0/ETH1_PPSTRIG_M1/GPIO1_C3_d</t>
    <phoneticPr fontId="2" type="noConversion"/>
  </si>
  <si>
    <t>AR17</t>
    <phoneticPr fontId="2" type="noConversion"/>
  </si>
  <si>
    <t>SDMMC1 detect input, iomux on Pin AR17</t>
    <phoneticPr fontId="2" type="noConversion"/>
  </si>
  <si>
    <t>UART4 clear to send, iomux on Pin AR17</t>
    <phoneticPr fontId="2" type="noConversion"/>
  </si>
  <si>
    <t>I2C6 bus data/adress, iomux on Pin AR17</t>
    <phoneticPr fontId="2" type="noConversion"/>
  </si>
  <si>
    <t>AT17</t>
    <phoneticPr fontId="2" type="noConversion"/>
  </si>
  <si>
    <t>GMAC1 transmit data 0, iomux on Pin AT17</t>
    <phoneticPr fontId="2" type="noConversion"/>
  </si>
  <si>
    <t>UART4 transmit data, iomux on Pin AT17</t>
    <phoneticPr fontId="2" type="noConversion"/>
  </si>
  <si>
    <t>SPI2 master output,slave input, iomux on Pin AT17</t>
    <phoneticPr fontId="2" type="noConversion"/>
  </si>
  <si>
    <t>UART2 request to send, iomux on Pin AT17</t>
    <phoneticPr fontId="2" type="noConversion"/>
  </si>
  <si>
    <t>AT18</t>
    <phoneticPr fontId="2" type="noConversion"/>
  </si>
  <si>
    <t>GMAC1 transmit data 1, iomux on Pin AT18</t>
    <phoneticPr fontId="2" type="noConversion"/>
  </si>
  <si>
    <t>UART4 receive data, iomux on Pin AT18</t>
    <phoneticPr fontId="2" type="noConversion"/>
  </si>
  <si>
    <t>SPI2 master input,slave output, iomux on Pin AT18</t>
    <phoneticPr fontId="2" type="noConversion"/>
  </si>
  <si>
    <t>UART2 clear to send, iomux on Pin AT18</t>
    <phoneticPr fontId="2" type="noConversion"/>
  </si>
  <si>
    <t>PDM_SDI0_M2</t>
    <phoneticPr fontId="2" type="noConversion"/>
  </si>
  <si>
    <t>SPI2_CSN0_M1</t>
    <phoneticPr fontId="2" type="noConversion"/>
  </si>
  <si>
    <t>HDMI_TX_SCL_M1</t>
    <phoneticPr fontId="2" type="noConversion"/>
  </si>
  <si>
    <t>1AE7</t>
    <phoneticPr fontId="2" type="noConversion"/>
  </si>
  <si>
    <t>GMAC1 transmit controller signal, iomux on Pin 1AE7</t>
    <phoneticPr fontId="2" type="noConversion"/>
  </si>
  <si>
    <t>UART2 transmit data, iomux on Pin 1AE7</t>
    <phoneticPr fontId="2" type="noConversion"/>
  </si>
  <si>
    <t>I2C8 bus clock, iomux on Pin 1AE7</t>
    <phoneticPr fontId="2" type="noConversion"/>
  </si>
  <si>
    <t>SPI2_CSN1_M1</t>
    <phoneticPr fontId="2" type="noConversion"/>
  </si>
  <si>
    <t>UART7_TX_M0/SAI2_SDO_M0/ETH1_RXD1_M1/GPIO1_D0_d</t>
    <phoneticPr fontId="2" type="noConversion"/>
  </si>
  <si>
    <t>UART7_TX_M0</t>
    <phoneticPr fontId="2" type="noConversion"/>
  </si>
  <si>
    <t>1AF9</t>
    <phoneticPr fontId="2" type="noConversion"/>
  </si>
  <si>
    <t>GMAC1 receive data 1, iomux on Pin 1AF9</t>
    <phoneticPr fontId="2" type="noConversion"/>
  </si>
  <si>
    <t>SAI2 data  output, iomux on Pin 1AF9</t>
    <phoneticPr fontId="2" type="noConversion"/>
  </si>
  <si>
    <t>UART7 transmit data, iomux on Pin 1AF9</t>
    <phoneticPr fontId="2" type="noConversion"/>
  </si>
  <si>
    <t>UART7_RX_M0</t>
    <phoneticPr fontId="2" type="noConversion"/>
  </si>
  <si>
    <t>SATA1_CPPOD_M0</t>
    <phoneticPr fontId="2" type="noConversion"/>
  </si>
  <si>
    <t>1AD11</t>
    <phoneticPr fontId="2" type="noConversion"/>
  </si>
  <si>
    <t>GMAC1 receive data valid/carrier sense, iomux on Pin 1AD11</t>
    <phoneticPr fontId="2" type="noConversion"/>
  </si>
  <si>
    <t>SAI2 serial clock or Bclock(Default for Play and Record), iomux on Pin 1AD11</t>
    <phoneticPr fontId="2" type="noConversion"/>
  </si>
  <si>
    <t>UART7 receive data, iomux on Pin 1AD11</t>
    <phoneticPr fontId="2" type="noConversion"/>
  </si>
  <si>
    <t>1AD9</t>
    <phoneticPr fontId="2" type="noConversion"/>
  </si>
  <si>
    <t>GMAC1 management data clock, iomux on Pin 1AD9</t>
    <phoneticPr fontId="2" type="noConversion"/>
  </si>
  <si>
    <t>SAI2 left/right channel clock(Default for Play and Record), iomux on Pin 1AD9</t>
    <phoneticPr fontId="2" type="noConversion"/>
  </si>
  <si>
    <t>PWM controller 1 channel 3, iomux on Pin 1AD9</t>
    <phoneticPr fontId="2" type="noConversion"/>
  </si>
  <si>
    <t>1AE9</t>
    <phoneticPr fontId="2" type="noConversion"/>
  </si>
  <si>
    <t>GAMC1 management data, iomux on Pin 1AE9</t>
    <phoneticPr fontId="2" type="noConversion"/>
  </si>
  <si>
    <t>SAI2 data  input, iomux on Pin 1AE9</t>
    <phoneticPr fontId="2" type="noConversion"/>
  </si>
  <si>
    <t>PWM controller 1 channel 4, iomux on Pin 1AE9</t>
    <phoneticPr fontId="2" type="noConversion"/>
  </si>
  <si>
    <t>PDM_SDI3_M2</t>
    <phoneticPr fontId="2" type="noConversion"/>
  </si>
  <si>
    <t>SPDIF_RX0_M1</t>
    <phoneticPr fontId="2" type="noConversion"/>
  </si>
  <si>
    <t>PWM1_CH5_M3/I2C5_SCL_M1/UART7_RTSN_M0/PDM_SDI3_M2/SAI2_MCLK_M0/SPDIF_RX0_M1/ETH1_MCLK_M1/GPIO1_D4_d</t>
    <phoneticPr fontId="2" type="noConversion"/>
  </si>
  <si>
    <t>1AD7</t>
    <phoneticPr fontId="2" type="noConversion"/>
  </si>
  <si>
    <t>GMAC1 master clock input or output, iomux on Pin 1AD7</t>
    <phoneticPr fontId="2" type="noConversion"/>
  </si>
  <si>
    <t>SAI2 master clock, iomux on Pin 1AD7</t>
    <phoneticPr fontId="2" type="noConversion"/>
  </si>
  <si>
    <t>I2C5 bus clock, iomux on Pin 1AD7</t>
    <phoneticPr fontId="2" type="noConversion"/>
  </si>
  <si>
    <t>CLK1_32K_OUT/CAN3_TX_M0/I2C5_SDA_M1/SPI2_CLK_M1/UART7_CTSN_M0/PDM_CLK1_M2/SPDIF_TX0_M1/ETH_CLK1_25M_OUT_M1/GPIO1_D5_d</t>
    <phoneticPr fontId="2" type="noConversion"/>
  </si>
  <si>
    <t>GPIO1_D6_d</t>
    <phoneticPr fontId="2" type="noConversion"/>
  </si>
  <si>
    <t>ETH1_PTP_REFCLK_M1</t>
    <phoneticPr fontId="2" type="noConversion"/>
  </si>
  <si>
    <t>SPDIF_TX1_M1</t>
    <phoneticPr fontId="2" type="noConversion"/>
  </si>
  <si>
    <t>PWM1_CH2_M1</t>
    <phoneticPr fontId="2" type="noConversion"/>
  </si>
  <si>
    <t>CAN3_RX_M0</t>
    <phoneticPr fontId="2" type="noConversion"/>
  </si>
  <si>
    <t>SATA0_MPSWIT_M0/CAN3_RX_M0/PWM1_CH2_M1/SPDIF_TX1_M1/ETH1_PTP_REFCLK_M1/GPIO1_D6_d</t>
    <phoneticPr fontId="2" type="noConversion"/>
  </si>
  <si>
    <t>SATA0_MPSWIT_M0</t>
    <phoneticPr fontId="2" type="noConversion"/>
  </si>
  <si>
    <t>ETH_CLK0_25M_OUT</t>
    <phoneticPr fontId="2" type="noConversion"/>
  </si>
  <si>
    <t>VI_CIF_D7</t>
    <phoneticPr fontId="2" type="noConversion"/>
  </si>
  <si>
    <t>I2C8_SCL_M2</t>
    <phoneticPr fontId="2" type="noConversion"/>
  </si>
  <si>
    <t>PWM2_CH4_M2</t>
    <phoneticPr fontId="2" type="noConversion"/>
  </si>
  <si>
    <t>PWM2_CH5_M2</t>
    <phoneticPr fontId="2" type="noConversion"/>
  </si>
  <si>
    <t>UART10_CTSN_M1</t>
    <phoneticPr fontId="2" type="noConversion"/>
  </si>
  <si>
    <t>SPI3_CSN1_M0</t>
    <phoneticPr fontId="2" type="noConversion"/>
  </si>
  <si>
    <t>I2C9_SDA_M2</t>
    <phoneticPr fontId="2" type="noConversion"/>
  </si>
  <si>
    <t>UART11_TX_M2</t>
    <phoneticPr fontId="2" type="noConversion"/>
  </si>
  <si>
    <t>UART10_RTSN_M1</t>
    <phoneticPr fontId="2" type="noConversion"/>
  </si>
  <si>
    <t>UART11_RX_M2</t>
    <phoneticPr fontId="2" type="noConversion"/>
  </si>
  <si>
    <t>SDMMC0_D3_M1</t>
    <phoneticPr fontId="2" type="noConversion"/>
  </si>
  <si>
    <t>VI_CIF_D3</t>
    <phoneticPr fontId="2" type="noConversion"/>
  </si>
  <si>
    <t>UART1_CTSN_M1</t>
    <phoneticPr fontId="2" type="noConversion"/>
  </si>
  <si>
    <t>SPI1_MOSI_M1</t>
    <phoneticPr fontId="2" type="noConversion"/>
  </si>
  <si>
    <t>I2C7_SCL_M1</t>
    <phoneticPr fontId="2" type="noConversion"/>
  </si>
  <si>
    <t>PWM1_CH2_M2</t>
    <phoneticPr fontId="2" type="noConversion"/>
  </si>
  <si>
    <t>ISP_FLASH_TRIGOUT_M0</t>
    <phoneticPr fontId="2" type="noConversion"/>
  </si>
  <si>
    <t>PCIE1_CLKREQN_M0/SATA30_PORT1_ACTLED_M0/PWM0_CH0_M2/I2C7_SDA_M1/SPI1_MISO_M1/UART1_RTSN_M1/VI_CIF_D2/PDM_SDI3_M3/SAI0_LRCK_M0/SDMMC0_CLK_M1/FSPI1_D2_M1/ETH0_RXD1/GPIO2_D1_d</t>
    <phoneticPr fontId="2" type="noConversion"/>
  </si>
  <si>
    <t>SATA30_PORT1_ACTLED_M0</t>
    <phoneticPr fontId="2" type="noConversion"/>
  </si>
  <si>
    <t>UART1_RTSN_M1</t>
    <phoneticPr fontId="2" type="noConversion"/>
  </si>
  <si>
    <t>SPI1_MISO_M1</t>
    <phoneticPr fontId="2" type="noConversion"/>
  </si>
  <si>
    <t>I2C7_SDA_M1</t>
    <phoneticPr fontId="2" type="noConversion"/>
  </si>
  <si>
    <t>PWM0_CH0_M2</t>
    <phoneticPr fontId="2" type="noConversion"/>
  </si>
  <si>
    <t>PCIE1_CLKREQN_M0</t>
    <phoneticPr fontId="2" type="noConversion"/>
  </si>
  <si>
    <t>SATA30_PORT0_ACTLED_M0</t>
    <phoneticPr fontId="2" type="noConversion"/>
  </si>
  <si>
    <t>SDMMC0_DETN_M1</t>
    <phoneticPr fontId="2" type="noConversion"/>
  </si>
  <si>
    <t>PWM1_CH4_M2</t>
    <phoneticPr fontId="2" type="noConversion"/>
  </si>
  <si>
    <t>CAN3_TX_M1/I2C5_SCL_M2/SPI3_CLK_M0/UART3_TX_M0/VI_CIF_HREF/SAI0_SDO2_M0/CAM_CLK0_OUT_M1/FSPI1_DQS_M1/ETH0_TXD0/GPIO2_D4_d</t>
    <phoneticPr fontId="2" type="noConversion"/>
  </si>
  <si>
    <t>SPI3_CLK_M0</t>
    <phoneticPr fontId="2" type="noConversion"/>
  </si>
  <si>
    <t>I2C5_SCL_M2</t>
    <phoneticPr fontId="2" type="noConversion"/>
  </si>
  <si>
    <t>CAN3_TX_M1</t>
    <phoneticPr fontId="2" type="noConversion"/>
  </si>
  <si>
    <t>VI_CIF_VSYNC</t>
    <phoneticPr fontId="2" type="noConversion"/>
  </si>
  <si>
    <t>UART3_RX_M0</t>
    <phoneticPr fontId="2" type="noConversion"/>
  </si>
  <si>
    <t>SPI3_MOSI_M0</t>
    <phoneticPr fontId="2" type="noConversion"/>
  </si>
  <si>
    <t>I2C5_SDA_M2</t>
    <phoneticPr fontId="2" type="noConversion"/>
  </si>
  <si>
    <t>CAN3_RX_M1</t>
    <phoneticPr fontId="2" type="noConversion"/>
  </si>
  <si>
    <t>GPIO2_D6_z</t>
    <phoneticPr fontId="2" type="noConversion"/>
  </si>
  <si>
    <t>MIPI_TE_M1/CAN1_TX_M3/PWM2_CH2_M2/I2C4_SCL_M2/SPI3_MISO_M0/UART3_CTSN_M0/VI_CIF_CLKO/SPDIF_RX0_M2/SAI0_SDI3_M0/CAM_CLK2_OUT_M1/FSPI1_CSN0_M1/ETH0_TXCLK/GPIO2_D6_z</t>
    <phoneticPr fontId="2" type="noConversion"/>
  </si>
  <si>
    <t>I2C4_SCL_M2</t>
    <phoneticPr fontId="2" type="noConversion"/>
  </si>
  <si>
    <t>PWM2_CH2_M2</t>
    <phoneticPr fontId="2" type="noConversion"/>
  </si>
  <si>
    <t>CAN1_TX_M3</t>
    <phoneticPr fontId="2" type="noConversion"/>
  </si>
  <si>
    <t>MIPI_TE_M1</t>
    <phoneticPr fontId="2" type="noConversion"/>
  </si>
  <si>
    <t>CAN1_RX_M3/PWM2_CH3_M2/I2C4_SDA_M2/SPI3_CSN0_M0/UART3_RTSN_M0/VI_CIF_CLKI/SPDIF_TX0_M2/FSPI1_RST/FSPI1_CSN1_M1/ETH0_RXCLK/GPIO2_D7_z</t>
    <phoneticPr fontId="2" type="noConversion"/>
  </si>
  <si>
    <t>SPI3_CSN0_M0</t>
    <phoneticPr fontId="2" type="noConversion"/>
  </si>
  <si>
    <t>I2C3_SCL_M2/SPI3_CLK_M1/UART5_RX_M0/SAI1_SDI1_M1/VO_EBC_SDLE/VO_LCDC_DEN/DSMC_DATA0/GPIO3_D4_d</t>
  </si>
  <si>
    <t>I2C3_SDA_M2/SPI3_MISO_M1/UART5_TX_M0/SAI1_SDI2_M1/VO_EBC_GDCLK/VO_LCDC_HSYNC/DSMC_CLKP/GPIO3_D5_d</t>
  </si>
  <si>
    <t>PWM1_CH0_M2/SPI2_CLK_M2/UART1_CTSN_M2/SAI1_SCLK_M1/VO_EBC_SDSHR/VO_LCDC_D23/DSMC_RDYN/ETH_CLK1_25M_OUT_M0/GPIO3_A4_d</t>
    <phoneticPr fontId="2" type="noConversion"/>
  </si>
  <si>
    <t>PWM1_CH0_M2</t>
    <phoneticPr fontId="2" type="noConversion"/>
  </si>
  <si>
    <t>PWM1_CH1_M2/SPI2_CSN1_M2/UART1_RTSN_M2/PDM_SDI3_M4/VO_EBC_GDSP/VO_LCDC_D22/DSMC_DATA15/ETH1_MDIO_M0/GPIO3_A5_d</t>
    <phoneticPr fontId="2" type="noConversion"/>
  </si>
  <si>
    <t>ETH1_MDC_M0</t>
    <phoneticPr fontId="2" type="noConversion"/>
  </si>
  <si>
    <t>PWM1_CH2_M3/UART10_CTSN_M0/UART1_RX_M2/PDM_SDI2_M4/VO_EBC_GDOE/VO_LCDC_D21/DSMC_DATA14/ETH1_MDC_M0/GPIO3_A6_d</t>
    <phoneticPr fontId="2" type="noConversion"/>
  </si>
  <si>
    <t>PWM1_CH2_M3</t>
    <phoneticPr fontId="2" type="noConversion"/>
  </si>
  <si>
    <t>UART10_RTSN_M0/UART1_TX_M2/PDM_CLK1_M4/VO_EBC_VCOM/VO_LCDC_D20/DSMC_DATA13/ETH1_RXCTL_M0/GPIO3_A7_d</t>
    <phoneticPr fontId="2" type="noConversion"/>
  </si>
  <si>
    <t>ETH1_RXCTL_M0</t>
    <phoneticPr fontId="2" type="noConversion"/>
  </si>
  <si>
    <t>DSMC_DATA13</t>
    <phoneticPr fontId="2" type="noConversion"/>
  </si>
  <si>
    <t>Double data Rate Serial Memory controller data 13</t>
    <phoneticPr fontId="2" type="noConversion"/>
  </si>
  <si>
    <t>ETH1_MCLK_M0</t>
    <phoneticPr fontId="2" type="noConversion"/>
  </si>
  <si>
    <t>PWM0_CH0_M3/SPI2_MOSI_M2/UART10_RX_M0/SAI1_MCLK_M1/VO_EBC_SDCE3/VO_LCDC_D19/DSMC_CSN1/ETH1_MCLK_M0/GPIO3_B0_z</t>
    <phoneticPr fontId="2" type="noConversion"/>
  </si>
  <si>
    <t>ETH1_RXD1_M0</t>
    <phoneticPr fontId="2" type="noConversion"/>
  </si>
  <si>
    <t>PWM1_CH3_M3/SPI4_CSN0_M1/UART10_TX_M0/PDM_CLK0_M4/VO_EBC_SDCE2/VO_LCDC_D18/DSMC_DATA12/ETH1_RXD1_M0/GPIO3_B1_d</t>
    <phoneticPr fontId="2" type="noConversion"/>
  </si>
  <si>
    <t>I2C8_SDA_M3/UART3_RX_M1/PDM_SDI1_M4/VO_EBC_SDCE1/VO_LCDC_D17/DSMC_DATA11/ETH1_RXD0_M0/GPIO3_B2_d</t>
    <phoneticPr fontId="2" type="noConversion"/>
  </si>
  <si>
    <t>PWM1_CH4_M3/UART3_RTSN_M1/SPDIF_RX0_M3/VO_EBC_SDDO15/VO_LCDC_D15/DSMC_DATA9/ETH1_TXD1_M0/GPIO3_B4_d</t>
    <phoneticPr fontId="2" type="noConversion"/>
  </si>
  <si>
    <t>ETH1_TXD0_M0</t>
    <phoneticPr fontId="2" type="noConversion"/>
  </si>
  <si>
    <t>PWM0_CH1_M2</t>
    <phoneticPr fontId="2" type="noConversion"/>
  </si>
  <si>
    <t>ETH1_PPSTRIG_M0</t>
    <phoneticPr fontId="2" type="noConversion"/>
  </si>
  <si>
    <t>I2C4_SDA_M3</t>
    <phoneticPr fontId="2" type="noConversion"/>
  </si>
  <si>
    <t>CAN2_RX_M2/I2C4_SDA_M3/UART9_CTSN_M1/UART2_RX_M2/SAI1_SDI0_M1/VO_EBC_SDDO12/VO_LCDC_D12/DSMC_DQS0/ETH1_PPSTRIG_M0/GPIO3_B7_d</t>
    <phoneticPr fontId="2" type="noConversion"/>
  </si>
  <si>
    <t>ETH1_PPSCLK_M0</t>
    <phoneticPr fontId="2" type="noConversion"/>
  </si>
  <si>
    <t>CAN2_TX_M2/I2C4_SCL_M3/UART9_RTSN_M1/UART2_TX_M2/SAI1_SDO3_M1/VO_EBC_SDDO11/VO_LCDC_D11/DSMC_DATA7/ETH1_PPSCLK_M0/GPIO3_C0_d</t>
    <phoneticPr fontId="2" type="noConversion"/>
  </si>
  <si>
    <t>CAN2_TX_M2</t>
    <phoneticPr fontId="2" type="noConversion"/>
  </si>
  <si>
    <t>ETH1_PTP_REFCLK_M0</t>
    <phoneticPr fontId="2" type="noConversion"/>
  </si>
  <si>
    <t>CAN0_RX_M3/I2C5_SDA_M3/SPI2_MISO_M2/UART4_RX_M0/SAI1_SDO2_M1/VO_EBC_SDDO10/VO_LCDC_D10/DSMC_DATA6/ETH1_PTP_REFCLK_M0/GPIO3_C1_d</t>
    <phoneticPr fontId="2" type="noConversion"/>
  </si>
  <si>
    <t>CAN3_RX_M2/PWM2_CH0_M2/I2C9_SCL_M3/SPI4_MISO_M1/UART4_RTSN_M0/SAI2_SCLK_M1/VO_EBC_SDDO9/VO_LCDC_D9/DSMC_INT1/ETH1_TXD3_M0/GPIO3_C2_d</t>
    <phoneticPr fontId="2" type="noConversion"/>
  </si>
  <si>
    <t>PWM2_CH0_M2</t>
    <phoneticPr fontId="2" type="noConversion"/>
  </si>
  <si>
    <t>CAN3_RX_M2</t>
    <phoneticPr fontId="2" type="noConversion"/>
  </si>
  <si>
    <t>SAI2_LRCK_M1</t>
    <phoneticPr fontId="2" type="noConversion"/>
  </si>
  <si>
    <t>UART4_CTSN_M0</t>
    <phoneticPr fontId="2" type="noConversion"/>
  </si>
  <si>
    <t>PWM2_CH1_M2</t>
    <phoneticPr fontId="2" type="noConversion"/>
  </si>
  <si>
    <t>CAN3_TX_M2/PWM2_CH1_M2/I2C9_SDA_M3/SPI4_MOSI_M1/UART4_CTSN_M0/SAI2_LRCK_M1/VO_EBC_SDDO8/VO_LCDC_D8/DSMC_INT3/ETH1_TXD2_M0/GPIO3_C3_d</t>
    <phoneticPr fontId="2" type="noConversion"/>
  </si>
  <si>
    <t>CAN3_TX_M2</t>
    <phoneticPr fontId="2" type="noConversion"/>
  </si>
  <si>
    <t>UART4_TX_M0</t>
    <phoneticPr fontId="2" type="noConversion"/>
  </si>
  <si>
    <t>SATA0_MPSWIT_M1/CAN0_TX_M3/I2C5_SCL_M3/SPI2_CSN0_M2/UART4_TX_M0/SAI2_MCLK_M1/VO_EBC_SDDO7/VO_LCDC_D7/DSMC_DATA5/GPIO3_C4_d</t>
    <phoneticPr fontId="2" type="noConversion"/>
  </si>
  <si>
    <t>SATA0_MPSWIT_M1</t>
    <phoneticPr fontId="2" type="noConversion"/>
  </si>
  <si>
    <t>SATA0_CPPOD_M1/SPI1_CLK_M2/UART8_RTSN_M0/VO_EBC_SDDO4/VO_LCDC_D4/DSMC_DATA2/GPIO3_C7_d</t>
    <phoneticPr fontId="2" type="noConversion"/>
  </si>
  <si>
    <t>SATA0_CPDET_M1/PWM2_CH3_M3/SPI1_CSN0_M2/UART8_CTSN_M0/VO_EBC_SDDO3/VO_LCDC_D3/DSMC_DATA1/GPIO3_D0_d</t>
    <phoneticPr fontId="2" type="noConversion"/>
  </si>
  <si>
    <t>SATA0_CPDET_M1</t>
    <phoneticPr fontId="2" type="noConversion"/>
  </si>
  <si>
    <t>ETH1_RXD3_M0</t>
    <phoneticPr fontId="2" type="noConversion"/>
  </si>
  <si>
    <t>SAI2_SDO_M1</t>
    <phoneticPr fontId="2" type="noConversion"/>
  </si>
  <si>
    <t>GPIO3_D3_z</t>
    <phoneticPr fontId="2" type="noConversion"/>
  </si>
  <si>
    <t>SATA1_MPSWIT_M1/PWM2_CH7_M2/UART5_RTSN_M0/SAI1_SDO1_M1/VO_EBC_SDOE/VO_LCDC_CLK/DSMC_RESETN/CAM_CLK0_OUT_M0/GPIO3_D7_d</t>
    <phoneticPr fontId="2" type="noConversion"/>
  </si>
  <si>
    <t>SAI1_SDO0_M1</t>
    <phoneticPr fontId="2" type="noConversion"/>
  </si>
  <si>
    <t>SPDIF_RX0_M4</t>
    <phoneticPr fontId="2" type="noConversion"/>
  </si>
  <si>
    <t>UART9_TX_M1</t>
    <phoneticPr fontId="2" type="noConversion"/>
  </si>
  <si>
    <t>SATA1_CPPOD_M1/SPDIF_RX0_M4/I2C7_SCL_M2/SPI1_CSN1_M2/UART9_TX_M1/SAI1_SDO0_M1/VO_EBC_BORDER0/MIPI_TE_M2/DSMC_INT0/CAM_CLK1_OUT_M0/GPIO4_A0_d</t>
    <phoneticPr fontId="2" type="noConversion"/>
  </si>
  <si>
    <t>SATA1_CPPOD_M1</t>
    <phoneticPr fontId="2" type="noConversion"/>
  </si>
  <si>
    <t>SPDIF_TX0_M4</t>
    <phoneticPr fontId="2" type="noConversion"/>
  </si>
  <si>
    <t>UART9_RX_M1</t>
    <phoneticPr fontId="2" type="noConversion"/>
  </si>
  <si>
    <t>SATA1_CPDET_M1/SPDIF_TX0_M4/I2C7_SDA_M2/UART9_RX_M1/SAI1_LRCK_M1/VO_EBC_BORDER1/VO_POST_EMPTY/DSMC_INT2/CAM_CLK2_OUT_M0/GPIO4_A1_d</t>
    <phoneticPr fontId="2" type="noConversion"/>
  </si>
  <si>
    <t>SATA1_CPDET_M1</t>
    <phoneticPr fontId="2" type="noConversion"/>
  </si>
  <si>
    <t>1AB23</t>
    <phoneticPr fontId="2" type="noConversion"/>
  </si>
  <si>
    <t>UART1 clear to send, iomux on Pin 1AB23</t>
    <phoneticPr fontId="2" type="noConversion"/>
  </si>
  <si>
    <t>PWM controller 1 channel 0, iomux on Pin 1AB23</t>
    <phoneticPr fontId="2" type="noConversion"/>
  </si>
  <si>
    <t>SPI2 clock, iomux on Pin 1AB23</t>
    <phoneticPr fontId="2" type="noConversion"/>
  </si>
  <si>
    <t>1V22</t>
    <phoneticPr fontId="2" type="noConversion"/>
  </si>
  <si>
    <t>GAMC1 management data, iomux on Pin 1V22</t>
    <phoneticPr fontId="2" type="noConversion"/>
  </si>
  <si>
    <t>Double data Rate Serial Memory controller data 15</t>
    <phoneticPr fontId="2" type="noConversion"/>
  </si>
  <si>
    <t>UART1 request to send, iomux on Pin 1V22</t>
    <phoneticPr fontId="2" type="noConversion"/>
  </si>
  <si>
    <t>SPI2 chip select 1, iomux on Pin 1V22</t>
    <phoneticPr fontId="2" type="noConversion"/>
  </si>
  <si>
    <t>PWM controller 1 channel 1, iomux on Pin 1V22</t>
    <phoneticPr fontId="2" type="noConversion"/>
  </si>
  <si>
    <t>1V23</t>
    <phoneticPr fontId="2" type="noConversion"/>
  </si>
  <si>
    <t>GMAC1 management data clock, iomux on Pin 1V23</t>
    <phoneticPr fontId="2" type="noConversion"/>
  </si>
  <si>
    <t>UART1 receive data, iomux on Pin 1V23</t>
    <phoneticPr fontId="2" type="noConversion"/>
  </si>
  <si>
    <t>UART10 clear to send, iomux on Pin 1V23</t>
    <phoneticPr fontId="2" type="noConversion"/>
  </si>
  <si>
    <t>PWM controller 1 channel 2, iomux on Pin 1V23</t>
    <phoneticPr fontId="2" type="noConversion"/>
  </si>
  <si>
    <t>1Y21</t>
    <phoneticPr fontId="2" type="noConversion"/>
  </si>
  <si>
    <t>GMAC1 receive data valid/carrier sense, iomux on Pin 1Y21</t>
    <phoneticPr fontId="2" type="noConversion"/>
  </si>
  <si>
    <t>UART1 transmit data, iomux on Pin 1Y21</t>
    <phoneticPr fontId="2" type="noConversion"/>
  </si>
  <si>
    <t>UART10 request to send, iomux on Pin 1Y21</t>
    <phoneticPr fontId="2" type="noConversion"/>
  </si>
  <si>
    <t>AG32</t>
    <phoneticPr fontId="2" type="noConversion"/>
  </si>
  <si>
    <t>GMAC1 receive data 1, iomux on Pin AG32</t>
    <phoneticPr fontId="2" type="noConversion"/>
  </si>
  <si>
    <t>UART10 transmit data, iomux on Pin AG32</t>
    <phoneticPr fontId="2" type="noConversion"/>
  </si>
  <si>
    <t>SPI4 chip select 0, iomux on Pin AG32</t>
    <phoneticPr fontId="2" type="noConversion"/>
  </si>
  <si>
    <t>PWM controller 1 channel 3, iomux on Pin AG32</t>
    <phoneticPr fontId="2" type="noConversion"/>
  </si>
  <si>
    <t>1AB21</t>
    <phoneticPr fontId="2" type="noConversion"/>
  </si>
  <si>
    <t>GMAC1 master clock input or output, iomux on Pin 1AB21</t>
    <phoneticPr fontId="2" type="noConversion"/>
  </si>
  <si>
    <t>SAI1 master clock, iomux on Pin 1AB21</t>
    <phoneticPr fontId="2" type="noConversion"/>
  </si>
  <si>
    <t>UART10 receive data, iomux on Pin 1AB21</t>
    <phoneticPr fontId="2" type="noConversion"/>
  </si>
  <si>
    <t>SPI2 master output,slave input, iomux on Pin 1AB21</t>
    <phoneticPr fontId="2" type="noConversion"/>
  </si>
  <si>
    <t>PWM controller 0 channel 0, iomux on Pin 1AB21</t>
    <phoneticPr fontId="2" type="noConversion"/>
  </si>
  <si>
    <t>1Y22</t>
    <phoneticPr fontId="2" type="noConversion"/>
  </si>
  <si>
    <t>I2C8 bus data/adress, iomux on Pin 1Y22</t>
    <phoneticPr fontId="2" type="noConversion"/>
  </si>
  <si>
    <t>1Y20</t>
    <phoneticPr fontId="2" type="noConversion"/>
  </si>
  <si>
    <t>GMAC0 transmit controller signal, iomux on Pin 1Y20</t>
    <phoneticPr fontId="2" type="noConversion"/>
  </si>
  <si>
    <t>PDM data 0 input, iomux on Pin 1Y20</t>
    <phoneticPr fontId="2" type="noConversion"/>
  </si>
  <si>
    <t>AE33</t>
    <phoneticPr fontId="2" type="noConversion"/>
  </si>
  <si>
    <t>SPDIF receive 0, iomux on Pin AE33</t>
    <phoneticPr fontId="2" type="noConversion"/>
  </si>
  <si>
    <t>PWM controller 1 channel 4, iomux on Pin AE33</t>
    <phoneticPr fontId="2" type="noConversion"/>
  </si>
  <si>
    <t>1V21</t>
    <phoneticPr fontId="2" type="noConversion"/>
  </si>
  <si>
    <t>GMAC1 transmit data 0, iomux on Pin 1V21</t>
    <phoneticPr fontId="2" type="noConversion"/>
  </si>
  <si>
    <t>PWM controller 1 channel 5, iomux on Pin 1V21</t>
    <phoneticPr fontId="2" type="noConversion"/>
  </si>
  <si>
    <t>1Y23</t>
    <phoneticPr fontId="2" type="noConversion"/>
  </si>
  <si>
    <t>SPI3 chip select 0, iomux on Pin 1Y23</t>
    <phoneticPr fontId="2" type="noConversion"/>
  </si>
  <si>
    <t>PWM controller 0 channel 1, iomux on Pin 1Y23</t>
    <phoneticPr fontId="2" type="noConversion"/>
  </si>
  <si>
    <t>GMAC1 PPS clock trigger, iomux on Pin AK32</t>
    <phoneticPr fontId="2" type="noConversion"/>
  </si>
  <si>
    <t>SAI1 data 0 input, iomux on Pin AK32</t>
    <phoneticPr fontId="2" type="noConversion"/>
  </si>
  <si>
    <t>UART2 receive data, iomux on Pin AK32</t>
    <phoneticPr fontId="2" type="noConversion"/>
  </si>
  <si>
    <t>I2C4 bus data/adress, iomux on Pin AK32</t>
    <phoneticPr fontId="2" type="noConversion"/>
  </si>
  <si>
    <t>AH32</t>
    <phoneticPr fontId="2" type="noConversion"/>
  </si>
  <si>
    <t>GMAC1 PPS clock output, iomux on Pin AH32</t>
    <phoneticPr fontId="2" type="noConversion"/>
  </si>
  <si>
    <t>SAI1 data 3 output, iomux on Pin AH32</t>
    <phoneticPr fontId="2" type="noConversion"/>
  </si>
  <si>
    <t>UART2 transmit data, iomux on Pin AH32</t>
    <phoneticPr fontId="2" type="noConversion"/>
  </si>
  <si>
    <t>I2C4 bus clock, iomux on Pin AH32</t>
    <phoneticPr fontId="2" type="noConversion"/>
  </si>
  <si>
    <t>AD32</t>
    <phoneticPr fontId="2" type="noConversion"/>
  </si>
  <si>
    <t>SAI2 serial clock or Bclock(Default for Play and Record), iomux on Pin AD32</t>
    <phoneticPr fontId="2" type="noConversion"/>
  </si>
  <si>
    <t>SPI4 master input,slave output, iomux on Pin AD32</t>
    <phoneticPr fontId="2" type="noConversion"/>
  </si>
  <si>
    <t>I2C9 bus clock, iomux on Pin AD32</t>
    <phoneticPr fontId="2" type="noConversion"/>
  </si>
  <si>
    <t>PWM controller 2 channel 0, iomux on Pin AD32</t>
    <phoneticPr fontId="2" type="noConversion"/>
  </si>
  <si>
    <t>AL33</t>
    <phoneticPr fontId="2" type="noConversion"/>
  </si>
  <si>
    <t>SAI1 data 2 output, iomux on Pin AL33</t>
    <phoneticPr fontId="2" type="noConversion"/>
  </si>
  <si>
    <t>SPI2 master input,slave output, iomux on Pin AL33</t>
    <phoneticPr fontId="2" type="noConversion"/>
  </si>
  <si>
    <t>I2C5 bus data/adress, iomux on Pin AL33</t>
    <phoneticPr fontId="2" type="noConversion"/>
  </si>
  <si>
    <t>AE32</t>
    <phoneticPr fontId="2" type="noConversion"/>
  </si>
  <si>
    <t>SAI2 left/right channel clock(Default for Play and Record), iomux on Pin AE32</t>
    <phoneticPr fontId="2" type="noConversion"/>
  </si>
  <si>
    <t>SPI4 master output,slave input, iomux on Pin AE32</t>
    <phoneticPr fontId="2" type="noConversion"/>
  </si>
  <si>
    <t>UART4 clear to send, iomux on Pin AE32</t>
    <phoneticPr fontId="2" type="noConversion"/>
  </si>
  <si>
    <t>PWM controller 2 channel 1, iomux on Pin AE32</t>
    <phoneticPr fontId="2" type="noConversion"/>
  </si>
  <si>
    <t>I2C9 bus data/adress, iomux on Pin AE32</t>
    <phoneticPr fontId="2" type="noConversion"/>
  </si>
  <si>
    <t>AH33</t>
    <phoneticPr fontId="2" type="noConversion"/>
  </si>
  <si>
    <t>UART4 transmit data, iomux on Pin AH33</t>
    <phoneticPr fontId="2" type="noConversion"/>
  </si>
  <si>
    <t>SPI2 chip select 0, iomux on Pin AH33</t>
    <phoneticPr fontId="2" type="noConversion"/>
  </si>
  <si>
    <t>I2C5 bus clock, iomux on Pin AH33</t>
    <phoneticPr fontId="2" type="noConversion"/>
  </si>
  <si>
    <t>CAN0 transmit data, iomux on Pin AH33</t>
    <phoneticPr fontId="2" type="noConversion"/>
  </si>
  <si>
    <t>AJ32</t>
    <phoneticPr fontId="2" type="noConversion"/>
  </si>
  <si>
    <t>UART8 receive data, iomux on Pin AJ32</t>
    <phoneticPr fontId="2" type="noConversion"/>
  </si>
  <si>
    <t>SPI1 master input,slave output, iomux on Pin AJ32</t>
    <phoneticPr fontId="2" type="noConversion"/>
  </si>
  <si>
    <t>PWM controller 2 channel 2, iomux on Pin AJ32</t>
    <phoneticPr fontId="2" type="noConversion"/>
  </si>
  <si>
    <t>AJ33</t>
    <phoneticPr fontId="2" type="noConversion"/>
  </si>
  <si>
    <t>UART8 transmit data, iomux on Pin AJ33</t>
    <phoneticPr fontId="2" type="noConversion"/>
  </si>
  <si>
    <t>SPI1 master output,slave input, iomux on Pin AJ33</t>
    <phoneticPr fontId="2" type="noConversion"/>
  </si>
  <si>
    <t>AC32</t>
    <phoneticPr fontId="2" type="noConversion"/>
  </si>
  <si>
    <t>UART8 request to send, iomux on Pin AC32</t>
    <phoneticPr fontId="2" type="noConversion"/>
  </si>
  <si>
    <t>SPI1 clock, iomux on Pin AC32</t>
    <phoneticPr fontId="2" type="noConversion"/>
  </si>
  <si>
    <t>1AB22</t>
    <phoneticPr fontId="2" type="noConversion"/>
  </si>
  <si>
    <t>UART8 clear to send, iomux on Pin 1AB22</t>
    <phoneticPr fontId="2" type="noConversion"/>
  </si>
  <si>
    <t>SPI1 chip select 0, iomux on Pin 1AB22</t>
    <phoneticPr fontId="2" type="noConversion"/>
  </si>
  <si>
    <t>PWM controller 2 channel 3, iomux on Pin 1AB22</t>
    <phoneticPr fontId="2" type="noConversion"/>
  </si>
  <si>
    <t>1V20</t>
    <phoneticPr fontId="2" type="noConversion"/>
  </si>
  <si>
    <t>SPI4 clock, iomux on Pin 1V20</t>
    <phoneticPr fontId="2" type="noConversion"/>
  </si>
  <si>
    <t>AF33</t>
    <phoneticPr fontId="2" type="noConversion"/>
  </si>
  <si>
    <t>GMAC1 receive data 3, iomux on Pin AF33</t>
    <phoneticPr fontId="2" type="noConversion"/>
  </si>
  <si>
    <t>SAI2 data  input, iomux on Pin AF33</t>
    <phoneticPr fontId="2" type="noConversion"/>
  </si>
  <si>
    <t>UART2 request to send, iomux on Pin AF33</t>
    <phoneticPr fontId="2" type="noConversion"/>
  </si>
  <si>
    <t>SPI4 chip select 1, iomux on Pin AF33</t>
    <phoneticPr fontId="2" type="noConversion"/>
  </si>
  <si>
    <t>PWM controller 2 channel 4, iomux on Pin AF33</t>
    <phoneticPr fontId="2" type="noConversion"/>
  </si>
  <si>
    <t>AF32</t>
    <phoneticPr fontId="2" type="noConversion"/>
  </si>
  <si>
    <t>SAI2 data  output, iomux on Pin AF32</t>
    <phoneticPr fontId="2" type="noConversion"/>
  </si>
  <si>
    <t>UART2 clear to send, iomux on Pin AF32</t>
    <phoneticPr fontId="2" type="noConversion"/>
  </si>
  <si>
    <t>PWM controller 2 channel 5, iomux on Pin AF32</t>
    <phoneticPr fontId="2" type="noConversion"/>
  </si>
  <si>
    <t>AL32</t>
    <phoneticPr fontId="2" type="noConversion"/>
  </si>
  <si>
    <t>SAI1 data 1 input, iomux on Pin AL32</t>
    <phoneticPr fontId="2" type="noConversion"/>
  </si>
  <si>
    <t>UART5 receive data, iomux on Pin AL32</t>
    <phoneticPr fontId="2" type="noConversion"/>
  </si>
  <si>
    <t>SPI3 clock, iomux on Pin AL32</t>
    <phoneticPr fontId="2" type="noConversion"/>
  </si>
  <si>
    <t>I2C3 bus clock, iomux on Pin AL32</t>
    <phoneticPr fontId="2" type="noConversion"/>
  </si>
  <si>
    <t>1AB20</t>
    <phoneticPr fontId="2" type="noConversion"/>
  </si>
  <si>
    <t>SAI1 data 2 input, iomux on Pin 1AB20</t>
    <phoneticPr fontId="2" type="noConversion"/>
  </si>
  <si>
    <t>UART5 transmit data, iomux on Pin 1AB20</t>
    <phoneticPr fontId="2" type="noConversion"/>
  </si>
  <si>
    <t>SPI3 master input,slave output, iomux on Pin 1AB20</t>
    <phoneticPr fontId="2" type="noConversion"/>
  </si>
  <si>
    <t>I2C3 bus data/adress, iomux on Pin 1AB20</t>
    <phoneticPr fontId="2" type="noConversion"/>
  </si>
  <si>
    <t>AM33</t>
    <phoneticPr fontId="2" type="noConversion"/>
  </si>
  <si>
    <t>SAI1 data 3 input, iomux on Pin AM33</t>
    <phoneticPr fontId="2" type="noConversion"/>
  </si>
  <si>
    <t>UART5 clear to send, iomux on Pin AM33</t>
    <phoneticPr fontId="2" type="noConversion"/>
  </si>
  <si>
    <t>SPI3 master output,slave input, iomux on Pin AM33</t>
    <phoneticPr fontId="2" type="noConversion"/>
  </si>
  <si>
    <t>PWM controller 2 channel 6, iomux on Pin AM33</t>
    <phoneticPr fontId="2" type="noConversion"/>
  </si>
  <si>
    <t>AM32</t>
    <phoneticPr fontId="2" type="noConversion"/>
  </si>
  <si>
    <t>Camera0 master clock output, iomux on Pin AM32</t>
    <phoneticPr fontId="2" type="noConversion"/>
  </si>
  <si>
    <t>PWM controller 2 channel 7, iomux on Pin AM32</t>
    <phoneticPr fontId="2" type="noConversion"/>
  </si>
  <si>
    <t>1AD23</t>
    <phoneticPr fontId="2" type="noConversion"/>
  </si>
  <si>
    <t>Camera1 master clock output, iomux on Pin 1AD23</t>
    <phoneticPr fontId="2" type="noConversion"/>
  </si>
  <si>
    <t>SPDIF receive 0, iomux on Pin 1AD23</t>
    <phoneticPr fontId="2" type="noConversion"/>
  </si>
  <si>
    <t>UART9 transmit data, iomux on Pin 1AD23</t>
    <phoneticPr fontId="2" type="noConversion"/>
  </si>
  <si>
    <t>SPI1 chip select 1, iomux on Pin 1AD23</t>
    <phoneticPr fontId="2" type="noConversion"/>
  </si>
  <si>
    <t>I2C7 bus clock, iomux on Pin 1AD23</t>
    <phoneticPr fontId="2" type="noConversion"/>
  </si>
  <si>
    <t>MIPI Tearing, iomux on Pin 1AD23</t>
    <phoneticPr fontId="2" type="noConversion"/>
  </si>
  <si>
    <t>1AD22</t>
    <phoneticPr fontId="2" type="noConversion"/>
  </si>
  <si>
    <t>Camera2 master clock output, iomux on Pin 1AD22</t>
    <phoneticPr fontId="2" type="noConversion"/>
  </si>
  <si>
    <t>SPDIF transmit 0, iomux on Pin 1AD22</t>
    <phoneticPr fontId="2" type="noConversion"/>
  </si>
  <si>
    <t>UART9 receive data, iomux on Pin 1AD22</t>
    <phoneticPr fontId="2" type="noConversion"/>
  </si>
  <si>
    <t>I2C7 bus data/adress, iomux on Pin 1AD22</t>
    <phoneticPr fontId="2" type="noConversion"/>
  </si>
  <si>
    <t>AK32</t>
    <phoneticPr fontId="2" type="noConversion"/>
  </si>
  <si>
    <t>GPIO4_B0_d</t>
    <phoneticPr fontId="2" type="noConversion"/>
  </si>
  <si>
    <t>GPIO4_B1_d</t>
    <phoneticPr fontId="2" type="noConversion"/>
  </si>
  <si>
    <t>GPIO4_B2_d</t>
    <phoneticPr fontId="2" type="noConversion"/>
  </si>
  <si>
    <t>GPIO4_B3_d</t>
    <phoneticPr fontId="2" type="noConversion"/>
  </si>
  <si>
    <t>GPIO4_B4_d</t>
    <phoneticPr fontId="2" type="noConversion"/>
  </si>
  <si>
    <t>GPIO4_B5_d</t>
    <phoneticPr fontId="2" type="noConversion"/>
  </si>
  <si>
    <t>GPIO4_B6_d</t>
    <phoneticPr fontId="2" type="noConversion"/>
  </si>
  <si>
    <t>GPIO4_B7_d</t>
    <phoneticPr fontId="2" type="noConversion"/>
  </si>
  <si>
    <t>HDMI_TX_CEC_M0/PWM1_CH5_M1/I2C3_SCL_M3/SPI4_CSN1_M0/UART6_TX_M1/VO_EBC_SDDO16/DSM_AUD_LP_M1/SAI3_MCLK_M2/GPIO4_B0_d</t>
    <phoneticPr fontId="2" type="noConversion"/>
  </si>
  <si>
    <t>VO_EBC_SDDO16</t>
    <phoneticPr fontId="2" type="noConversion"/>
  </si>
  <si>
    <t>UART6_TX_M1</t>
    <phoneticPr fontId="2" type="noConversion"/>
  </si>
  <si>
    <t>I2C3_SCL_M3</t>
    <phoneticPr fontId="2" type="noConversion"/>
  </si>
  <si>
    <t>1AD21</t>
    <phoneticPr fontId="2" type="noConversion"/>
  </si>
  <si>
    <t>Audio DSM positive   differential left channel data, iomux on Pin 1AD21</t>
    <phoneticPr fontId="2" type="noConversion"/>
  </si>
  <si>
    <t>SAI3 master clock, iomux on Pin 1AD21</t>
    <phoneticPr fontId="2" type="noConversion"/>
  </si>
  <si>
    <t>UART6 transmit data, iomux on Pin 1AD21</t>
    <phoneticPr fontId="2" type="noConversion"/>
  </si>
  <si>
    <t>SPI4 chip select 1, iomux on Pin 1AD21</t>
    <phoneticPr fontId="2" type="noConversion"/>
  </si>
  <si>
    <t>PWM controller 1 channel 5, iomux on Pin 1AD21</t>
    <phoneticPr fontId="2" type="noConversion"/>
  </si>
  <si>
    <t>HDMI TX CEC, iomux on Pin 1AD21</t>
    <phoneticPr fontId="12" type="noConversion"/>
  </si>
  <si>
    <t>SAI3_SDI_M2</t>
    <phoneticPr fontId="2" type="noConversion"/>
  </si>
  <si>
    <t>PCIE0_CLKREQN_M3/HDMI_TX_HPDIN_M0/PWM0_CH1_M1/I2C3_SDA_M3/EDP_TX_HPDIN_M0/UART6_RX_M1/VO_EBC_SDDO17/DSM_AUD_LN_M1/SAI3_SDI_M2/GPIO4_B1_d</t>
    <phoneticPr fontId="2" type="noConversion"/>
  </si>
  <si>
    <t>VO_EBC_SDDO17</t>
    <phoneticPr fontId="2" type="noConversion"/>
  </si>
  <si>
    <t>UART6_RX_M1</t>
    <phoneticPr fontId="2" type="noConversion"/>
  </si>
  <si>
    <t>I2C3_SDA_M3</t>
    <phoneticPr fontId="2" type="noConversion"/>
  </si>
  <si>
    <t>PCIE0_CLKREQN_M3</t>
    <phoneticPr fontId="2" type="noConversion"/>
  </si>
  <si>
    <t>1AE21</t>
    <phoneticPr fontId="2" type="noConversion"/>
  </si>
  <si>
    <t>Audio DSM negative  differential left channel data, iomux on Pin 1AE21</t>
    <phoneticPr fontId="2" type="noConversion"/>
  </si>
  <si>
    <t>eDP Hot Plug detection interrupt, iomux on Pin 1AE21</t>
    <phoneticPr fontId="2" type="noConversion"/>
  </si>
  <si>
    <t>UART6 receive data, iomux on Pin 1AE21</t>
    <phoneticPr fontId="2" type="noConversion"/>
  </si>
  <si>
    <t>HDMI Hot Plug detection interrupt, iomux on Pin 1AE21</t>
    <phoneticPr fontId="2" type="noConversion"/>
  </si>
  <si>
    <t>PWM controller 0 channel 1, iomux on Pin 1AE21</t>
    <phoneticPr fontId="2" type="noConversion"/>
  </si>
  <si>
    <t>SAI3_LRCK_M2</t>
    <phoneticPr fontId="2" type="noConversion"/>
  </si>
  <si>
    <t>VO_EBC_SDDO18</t>
    <phoneticPr fontId="2" type="noConversion"/>
  </si>
  <si>
    <t>CAN0_TX_M1/HDMI_TX_SCL_M0/PWM2_CH0_M1/I2C2_SCL_M3/UART6_RTSN_M1/VO_EBC_SDDO18/DSM_AUD_RP_M1/SAI3_LRCK_M2/GPIO4_B2_d</t>
    <phoneticPr fontId="2" type="noConversion"/>
  </si>
  <si>
    <t>AT32</t>
    <phoneticPr fontId="2" type="noConversion"/>
  </si>
  <si>
    <t>Audio DSM positive   differential right channel data, iomux on Pin AT32</t>
    <phoneticPr fontId="2" type="noConversion"/>
  </si>
  <si>
    <t>I2C2 bus clock, iomux on Pin AT32</t>
    <phoneticPr fontId="2" type="noConversion"/>
  </si>
  <si>
    <t>PWM controller 2 channel 0, iomux on Pin AT32</t>
    <phoneticPr fontId="2" type="noConversion"/>
  </si>
  <si>
    <t>CAN0 transmit data, iomux on Pin AT32</t>
    <phoneticPr fontId="2" type="noConversion"/>
  </si>
  <si>
    <t>SAI3_SCLK_M2</t>
    <phoneticPr fontId="2" type="noConversion"/>
  </si>
  <si>
    <t>VO_EBC_SDDO19</t>
    <phoneticPr fontId="2" type="noConversion"/>
  </si>
  <si>
    <t>UART6_CTSN_M1</t>
    <phoneticPr fontId="2" type="noConversion"/>
  </si>
  <si>
    <t>CAN0_RX_M1/HDMI_TX_SDA_M0/PWM2_CH1_M1/I2C2_SDA_M3/UART6_CTSN_M1/VO_EBC_SDDO19/DSM_AUD_RN_M1/SAI3_SCLK_M2/GPIO4_B3_d</t>
    <phoneticPr fontId="2" type="noConversion"/>
  </si>
  <si>
    <t>ISP_PRELIGHT_TRIG_M1/PWM2_CH6_M1/I2C7_SCL_M3/SPI4_CSN0_M0/UART9_TX_M0/VO_EBC_SDDO20/SAI3_SDO_M2/GPIO4_B4_d</t>
    <phoneticPr fontId="2" type="noConversion"/>
  </si>
  <si>
    <t>VO_EBC_SDDO20</t>
    <phoneticPr fontId="2" type="noConversion"/>
  </si>
  <si>
    <t>UART9_TX_M3</t>
    <phoneticPr fontId="2" type="noConversion"/>
  </si>
  <si>
    <t>I2C7_SCL_M3</t>
    <phoneticPr fontId="2" type="noConversion"/>
  </si>
  <si>
    <t>AR33</t>
    <phoneticPr fontId="2" type="noConversion"/>
  </si>
  <si>
    <t>ISP control PRELIGHT TRIG, iomux on Pin AR33</t>
    <phoneticPr fontId="2" type="noConversion"/>
  </si>
  <si>
    <t>SPI4 chip select 0, iomux on Pin AR33</t>
    <phoneticPr fontId="2" type="noConversion"/>
  </si>
  <si>
    <t>PWM controller 2 channel 6, iomux on Pin AR33</t>
    <phoneticPr fontId="2" type="noConversion"/>
  </si>
  <si>
    <t>VO_EBC_SDDO21</t>
    <phoneticPr fontId="2" type="noConversion"/>
  </si>
  <si>
    <t>ISP_FLASH_TRIGOUT_M1/PWM2_CH5_M1/I2C7_SDA_M3/SPI4_MOSI_M0/UART9_RX_M0/VO_EBC_SDDO21/VP0_SYNC_OUT/SATA30_PORT0_ACTLED_M1/GPIO4_B5_d</t>
    <phoneticPr fontId="2" type="noConversion"/>
  </si>
  <si>
    <t>UART9_RX_M0</t>
    <phoneticPr fontId="2" type="noConversion"/>
  </si>
  <si>
    <t>I2C7_SDA_M3</t>
    <phoneticPr fontId="2" type="noConversion"/>
  </si>
  <si>
    <t>UART9_CTSN_M0</t>
    <phoneticPr fontId="2" type="noConversion"/>
  </si>
  <si>
    <t>PCIE1_CLKREQN_M3/CAN1_TX_M1/PWM2_CH2_M1/I2C6_SCL_M3/SPI4_MISO_M0/UART9_CTSN_M0/VO_EBC_SDDO22/VP1_SYNC_OUT/SATA30_PORT1_ACTLED_M1/GPIO4_B6_d</t>
    <phoneticPr fontId="2" type="noConversion"/>
  </si>
  <si>
    <t>PCIE1_CLKREQN_M3</t>
    <phoneticPr fontId="2" type="noConversion"/>
  </si>
  <si>
    <t>AP33</t>
    <phoneticPr fontId="2" type="noConversion"/>
  </si>
  <si>
    <t>synchronization output signal of VP1</t>
    <phoneticPr fontId="2" type="noConversion"/>
  </si>
  <si>
    <t>SPI4 master input,slave output, iomux on Pin AP33</t>
    <phoneticPr fontId="2" type="noConversion"/>
  </si>
  <si>
    <t>PWM controller 2 channel 2, iomux on Pin AP33</t>
    <phoneticPr fontId="2" type="noConversion"/>
  </si>
  <si>
    <t>CAN1 transmit data, iomux on Pin AP33</t>
    <phoneticPr fontId="2" type="noConversion"/>
  </si>
  <si>
    <t>I2C6 bus clock, iomux on Pin AP33</t>
    <phoneticPr fontId="2" type="noConversion"/>
  </si>
  <si>
    <t>CAN1_RX_M1/PWM2_CH3_M1/I2C6_SDA_M3/SPI4_CLK_M0/UART9_RTSN_M0/VO_EBC_SDDO23/GPIO4_B7_d</t>
    <phoneticPr fontId="2" type="noConversion"/>
  </si>
  <si>
    <t>AN32</t>
    <phoneticPr fontId="2" type="noConversion"/>
  </si>
  <si>
    <t>SPI4 clock, iomux on Pin AN32</t>
    <phoneticPr fontId="2" type="noConversion"/>
  </si>
  <si>
    <t>I2C6 bus data/adress, iomux on Pin AN32</t>
    <phoneticPr fontId="2" type="noConversion"/>
  </si>
  <si>
    <t>PWM controller 2 channel 3, iomux on Pin AN32</t>
    <phoneticPr fontId="2" type="noConversion"/>
  </si>
  <si>
    <t>CAN1 receive data, iomux on Pin AN32</t>
    <phoneticPr fontId="2" type="noConversion"/>
  </si>
  <si>
    <t>UART3 transmit data, iomux on Pin 1Y20</t>
    <phoneticPr fontId="2" type="noConversion"/>
  </si>
  <si>
    <t>UART9 transmit data, iomux on Pin AR33</t>
    <phoneticPr fontId="2" type="noConversion"/>
  </si>
  <si>
    <t>UART5 transmit data, iomux on Pin B5</t>
    <phoneticPr fontId="2" type="noConversion"/>
  </si>
  <si>
    <t>UART3 receive data, iomux on Pin 1Y22</t>
    <phoneticPr fontId="2" type="noConversion"/>
  </si>
  <si>
    <t>UART4 receive data, iomux on Pin AL33</t>
    <phoneticPr fontId="2" type="noConversion"/>
  </si>
  <si>
    <t>HDMI_TX_SDA_M1/I2C8_SDA_M1/SPI2_CSN1_M1/UART2_RX_M0/PDM_SDI1_M2/ETH1_RXD0_M1/GPIO1_C7_d</t>
    <phoneticPr fontId="2" type="noConversion"/>
  </si>
  <si>
    <t>UART2_RX_M1</t>
    <phoneticPr fontId="2" type="noConversion"/>
  </si>
  <si>
    <t>UART8_RX_M1</t>
    <phoneticPr fontId="2" type="noConversion"/>
  </si>
  <si>
    <t>UART7 request to send, iomux on Pin 1AD7</t>
    <phoneticPr fontId="2" type="noConversion"/>
  </si>
  <si>
    <t>UART3 request to send, iomux on Pin AE33</t>
    <phoneticPr fontId="2" type="noConversion"/>
  </si>
  <si>
    <t>UART9 request to send, iomux on Pin AH32</t>
    <phoneticPr fontId="2" type="noConversion"/>
  </si>
  <si>
    <t>UART4 request to send, iomux on Pin AD32</t>
    <phoneticPr fontId="2" type="noConversion"/>
  </si>
  <si>
    <t>UART8 request to send, iomux on Pin 1T22</t>
    <phoneticPr fontId="2" type="noConversion"/>
  </si>
  <si>
    <t>UART5 request to send, iomux on Pin 1C4</t>
    <phoneticPr fontId="2" type="noConversion"/>
  </si>
  <si>
    <t>UART3 request to send, iomux on Pin B7</t>
    <phoneticPr fontId="2" type="noConversion"/>
  </si>
  <si>
    <t>UART6 clear to send, iomux on Pin AR32</t>
    <phoneticPr fontId="2" type="noConversion"/>
  </si>
  <si>
    <t>UART9 clear to send, iomux on Pin AP33</t>
    <phoneticPr fontId="2" type="noConversion"/>
  </si>
  <si>
    <t>UART3 clear to send, iomux on Pin B8</t>
    <phoneticPr fontId="2" type="noConversion"/>
  </si>
  <si>
    <t>UART5 clear to send, iomux on Pin 1B4</t>
    <phoneticPr fontId="2" type="noConversion"/>
  </si>
  <si>
    <t>UART8 clear to send, iomux on Pin 1T23</t>
    <phoneticPr fontId="2" type="noConversion"/>
  </si>
  <si>
    <t>I2C9_SCL_M0/SPI0_MOSI_M2/UART6_CTSN_M2/SAI3_SCLK_M0/FSPI0_D5/EMMC_D5/GPIO1_A5_u</t>
    <phoneticPr fontId="2" type="noConversion"/>
  </si>
  <si>
    <t>UART6_CTSN_M2</t>
    <phoneticPr fontId="2" type="noConversion"/>
  </si>
  <si>
    <t>1B6</t>
    <phoneticPr fontId="2" type="noConversion"/>
  </si>
  <si>
    <t>UART3 receive data, iomux on Pin 1B6</t>
    <phoneticPr fontId="2" type="noConversion"/>
  </si>
  <si>
    <t>UART3 transmit data, iomux on Pin 1A6</t>
    <phoneticPr fontId="2" type="noConversion"/>
  </si>
  <si>
    <t>UART1 receive data, iomux on Pin 1C6</t>
    <phoneticPr fontId="2" type="noConversion"/>
  </si>
  <si>
    <t>UART1 transmit data, iomux on Pin 1D6</t>
    <phoneticPr fontId="2" type="noConversion"/>
  </si>
  <si>
    <t>1D6</t>
    <phoneticPr fontId="2" type="noConversion"/>
  </si>
  <si>
    <t>A7</t>
    <phoneticPr fontId="2" type="noConversion"/>
  </si>
  <si>
    <t>UART1 request to send, iomux on Pin A7</t>
    <phoneticPr fontId="2" type="noConversion"/>
  </si>
  <si>
    <t>A8</t>
    <phoneticPr fontId="2" type="noConversion"/>
  </si>
  <si>
    <t xml:space="preserve">UART1 clear to send, iomux on Pin A8 </t>
    <phoneticPr fontId="2" type="noConversion"/>
  </si>
  <si>
    <t>A10</t>
    <phoneticPr fontId="2" type="noConversion"/>
  </si>
  <si>
    <t>UART10 request to send, iomux on Pin A10</t>
    <phoneticPr fontId="2" type="noConversion"/>
  </si>
  <si>
    <t>B9</t>
    <phoneticPr fontId="2" type="noConversion"/>
  </si>
  <si>
    <t>UART10 clear to send, iomux on Pin B9</t>
    <phoneticPr fontId="2" type="noConversion"/>
  </si>
  <si>
    <t>B10</t>
    <phoneticPr fontId="2" type="noConversion"/>
  </si>
  <si>
    <t>UART10 receive data, iomux on Pin B10</t>
    <phoneticPr fontId="2" type="noConversion"/>
  </si>
  <si>
    <t>A11</t>
    <phoneticPr fontId="2" type="noConversion"/>
  </si>
  <si>
    <t>UART10 transmit data, iomux on Pin A11</t>
    <phoneticPr fontId="2" type="noConversion"/>
  </si>
  <si>
    <t>CPU output clock 25MHz for Ethernet PHY1, iomux on Pin AR18</t>
    <phoneticPr fontId="2" type="noConversion"/>
  </si>
  <si>
    <t>CPU output clock 25MHz for Ethernet PHY0, iomux on Pin A11</t>
    <phoneticPr fontId="2" type="noConversion"/>
  </si>
  <si>
    <t>CPU output clock 25MHz for Ethernet PHY1, iomux on Pin 1AB23</t>
    <phoneticPr fontId="2" type="noConversion"/>
  </si>
  <si>
    <t>GAMC0 management data, iomux on Pin B10</t>
    <phoneticPr fontId="2" type="noConversion"/>
  </si>
  <si>
    <t>GMAC0 management data clock, iomux on Pin B9</t>
    <phoneticPr fontId="2" type="noConversion"/>
  </si>
  <si>
    <t>GMAC0 receive data valid/carrier sense, iomux on Pin A10</t>
    <phoneticPr fontId="2" type="noConversion"/>
  </si>
  <si>
    <t>GMAC0 master clock input or output, iomux on Pin A8</t>
    <phoneticPr fontId="2" type="noConversion"/>
  </si>
  <si>
    <t>1AF11</t>
    <phoneticPr fontId="2" type="noConversion"/>
  </si>
  <si>
    <t>GMAC1 receive data 0, iomux on Pin 1AF11</t>
    <phoneticPr fontId="2" type="noConversion"/>
  </si>
  <si>
    <t>GMAC0 receive data 0, iomux on Pin 1D6</t>
    <phoneticPr fontId="2" type="noConversion"/>
  </si>
  <si>
    <t>ETH1_RXD2_M0</t>
    <phoneticPr fontId="2" type="noConversion"/>
  </si>
  <si>
    <t>GMAC1 receive data 2, iomux on Pin AF32</t>
    <phoneticPr fontId="2" type="noConversion"/>
  </si>
  <si>
    <t>ETH1_RXD0_M0</t>
    <phoneticPr fontId="2" type="noConversion"/>
  </si>
  <si>
    <t>GMAC1 receive data 0, iomux on Pin 1Y22</t>
    <phoneticPr fontId="2" type="noConversion"/>
  </si>
  <si>
    <t>SPI4_MISO_M2/UART5_RTSN_M1/PDM_SDI1_M1/SAI1_SDI1_M0/SAI1_SDO3_M0/VI_CIF_D9/ETH0_RXD3/GPIO2_C0_d</t>
    <phoneticPr fontId="2" type="noConversion"/>
  </si>
  <si>
    <t>GMAC1 receive data 1, iomux on Pin A7</t>
    <phoneticPr fontId="2" type="noConversion"/>
  </si>
  <si>
    <t>PWM1_CH1_M1/I2C9_SCL_M1/SPI1_MOSI_M0/SAI4_LRCK_M1/SDMMC1_D1/ETH1_RXD3_M1/GPIO1_B5_d</t>
    <phoneticPr fontId="2" type="noConversion"/>
  </si>
  <si>
    <t>PWM2_CH4_M3/SPI4_CSN1_M1/UART2_RTSN_M2/SAI2_SDI_M1/VO_EBC_SDDO1/VO_LCDC_D1/DSMC_CSN3/ETH1_RXD3_M0/GPIO3_D2_z</t>
    <phoneticPr fontId="2" type="noConversion"/>
  </si>
  <si>
    <t>PWM2_CH5_M3/SPI3_CSN1_M1/UART2_CTSN_M2/SAI2_SDO_M1/VO_EBC_SDDO0/VO_LCDC_D0/DSMC_CSN0/ETH1_RXD2_M0/GPIO3_D3_z</t>
    <phoneticPr fontId="2" type="noConversion"/>
  </si>
  <si>
    <t>GMAC0 transmit controller signal, iomux on Pin 1C6</t>
    <phoneticPr fontId="2" type="noConversion"/>
  </si>
  <si>
    <t>I2C8_SCL_M3/UART3_TX_M1/PDM_SDI0_M4/VO_EBC_SDCE0/VO_LCDC_D16/DSMC_DATA10/ETH1_TXCTL_M0/GPIO3_B3_d</t>
    <phoneticPr fontId="2" type="noConversion"/>
  </si>
  <si>
    <t>ETH1_TXCTL_M0</t>
    <phoneticPr fontId="2" type="noConversion"/>
  </si>
  <si>
    <t>HDMI_TX_SCL_M1/I2C8_SCL_M1/SPI2_CSN0_M1/UART2_TX_M0/PDM_SDI0_M2/ETH1_TXCTL_M1/GPIO1_C6_d</t>
    <phoneticPr fontId="2" type="noConversion"/>
  </si>
  <si>
    <t>ETH1_TXD2_M0</t>
    <phoneticPr fontId="2" type="noConversion"/>
  </si>
  <si>
    <t>ETH1_TXD3_M0</t>
    <phoneticPr fontId="2" type="noConversion"/>
  </si>
  <si>
    <t>GMAC1 transmit data 3, iomux on Pin AD32</t>
    <phoneticPr fontId="2" type="noConversion"/>
  </si>
  <si>
    <t>GMAC1 transmit data 2, iomux on Pin AE32</t>
    <phoneticPr fontId="2" type="noConversion"/>
  </si>
  <si>
    <t>PWM1_CH5_M2/UART3_CTSN_M1/SPDIF_TX0_M3/VO_EBC_SDDO14/VO_LCDC_D14/DSMC_DATA8/ETH1_TXD0_M0/GPIO3_B5_d</t>
    <phoneticPr fontId="2" type="noConversion"/>
  </si>
  <si>
    <t>ETH1_TXD1_M0</t>
    <phoneticPr fontId="2" type="noConversion"/>
  </si>
  <si>
    <t>GMAC1 transmit data 1, iomux on Pin AE33</t>
    <phoneticPr fontId="2" type="noConversion"/>
  </si>
  <si>
    <t>SPI2_MISO_M1/UART4_RX_M1/UART2_CTSN_M0/ETH1_TXD1_M1/GPIO1_C5_d</t>
    <phoneticPr fontId="2" type="noConversion"/>
  </si>
  <si>
    <t>SPI2_MOSI_M1/UART4_TX_M1/UART2_RTSN_M0/ETH1_TXD0_M1/GPIO1_C4_d</t>
    <phoneticPr fontId="2" type="noConversion"/>
  </si>
  <si>
    <t>CAN1_TX_M2/PCIE0_CLKREQN_M2/I2C3_SCL_M0/UART5_TX_M1/SPDIF_TX0_M0/ETH0_TXD3/GPIO2_C3_d</t>
    <phoneticPr fontId="2" type="noConversion"/>
  </si>
  <si>
    <t>GMAC0 transmit data 2, iomux on Pin A5</t>
    <phoneticPr fontId="2" type="noConversion"/>
  </si>
  <si>
    <t>GMAC0 transmit data 1, iomux on Pin 1B6</t>
    <phoneticPr fontId="2" type="noConversion"/>
  </si>
  <si>
    <t>PWM0_CH1_M2/SPI3_CSN0_M1/SPDIF_TX1_M3/VO_EBC_SDDO13/VO_LCDC_D13/DSMC_DQS1/ETH1_TXCLK_M0/GPIO3_B6_d</t>
    <phoneticPr fontId="2" type="noConversion"/>
  </si>
  <si>
    <t>ETH1_TXCLK_M0</t>
    <phoneticPr fontId="2" type="noConversion"/>
  </si>
  <si>
    <t>GMAC1 transmit clock, iomux on Pin 1Y23</t>
    <phoneticPr fontId="2" type="noConversion"/>
  </si>
  <si>
    <t>GMAC0 transmit clock, iomux on Pin B8</t>
    <phoneticPr fontId="2" type="noConversion"/>
  </si>
  <si>
    <t>ETH1_RXCLK_M0</t>
    <phoneticPr fontId="2" type="noConversion"/>
  </si>
  <si>
    <t>GMAC1 receive clock, iomux on Pin 1V20</t>
    <phoneticPr fontId="2" type="noConversion"/>
  </si>
  <si>
    <t>W32</t>
    <phoneticPr fontId="2" type="noConversion"/>
  </si>
  <si>
    <t>I2C0 bus data/adress, iomux on Pin W32</t>
    <phoneticPr fontId="2" type="noConversion"/>
  </si>
  <si>
    <t>I2C3 bus data/adress, iomux on Pin 1AE21</t>
    <phoneticPr fontId="2" type="noConversion"/>
  </si>
  <si>
    <t>I2C6 bus data/adress, iomux on Pin 1M20</t>
    <phoneticPr fontId="2" type="noConversion"/>
  </si>
  <si>
    <t>AB32</t>
    <phoneticPr fontId="2" type="noConversion"/>
  </si>
  <si>
    <t>I2C1 bus data/adress, iomux on Pin AB32</t>
    <phoneticPr fontId="2" type="noConversion"/>
  </si>
  <si>
    <t>I2C2 bus data/adress, iomux on Pin Y32</t>
    <phoneticPr fontId="2" type="noConversion"/>
  </si>
  <si>
    <t>I2C8 bus data/adress, iomux on Pin 1AF11</t>
    <phoneticPr fontId="2" type="noConversion"/>
  </si>
  <si>
    <t>I2C5 bus data/adress, iomux on Pin AR18</t>
    <phoneticPr fontId="2" type="noConversion"/>
  </si>
  <si>
    <t>I2C8 bus data/adress, iomux on Pin B10</t>
    <phoneticPr fontId="2" type="noConversion"/>
  </si>
  <si>
    <t>I2C9 bus data/adress, iomux on Pin B9</t>
    <phoneticPr fontId="2" type="noConversion"/>
  </si>
  <si>
    <t>I2C7 bus data/adress, iomux on Pin A7</t>
    <phoneticPr fontId="2" type="noConversion"/>
  </si>
  <si>
    <t>I2C6 bus data/adress, iomux on Pin 1C6</t>
    <phoneticPr fontId="2" type="noConversion"/>
  </si>
  <si>
    <t>I2C5 bus data/adress, iomux on Pin 1B6</t>
    <phoneticPr fontId="2" type="noConversion"/>
  </si>
  <si>
    <t>I2C4 bus data/adress, iomux on Pin B7</t>
    <phoneticPr fontId="2" type="noConversion"/>
  </si>
  <si>
    <t>I2C2 bus data/adress, iomux on Pin AR32</t>
    <phoneticPr fontId="2" type="noConversion"/>
  </si>
  <si>
    <t>I2C7 bus data/adress, iomux on Pin AP32</t>
    <phoneticPr fontId="2" type="noConversion"/>
  </si>
  <si>
    <t>I2C8 bus clock, iomux on Pin 1Y20</t>
    <phoneticPr fontId="2" type="noConversion"/>
  </si>
  <si>
    <t>I2C3 bus clock, iomux on Pin 1AD21</t>
    <phoneticPr fontId="2" type="noConversion"/>
  </si>
  <si>
    <t>I2C7 bus clock, iomux on Pin AR33</t>
    <phoneticPr fontId="2" type="noConversion"/>
  </si>
  <si>
    <t>I2C8 bus clock, iomux on Pin 1D8</t>
    <phoneticPr fontId="2" type="noConversion"/>
  </si>
  <si>
    <t>I2C6 bus clock, iomux on Pin 1K22</t>
    <phoneticPr fontId="2" type="noConversion"/>
  </si>
  <si>
    <t>I2C1 bus clock, iomux on Pin T32</t>
    <phoneticPr fontId="2" type="noConversion"/>
  </si>
  <si>
    <t>I2C3 bus clock, iomux on Pin 1T22</t>
    <phoneticPr fontId="2" type="noConversion"/>
  </si>
  <si>
    <t>I2C8 bus clock, iomux on Pin A11</t>
    <phoneticPr fontId="2" type="noConversion"/>
  </si>
  <si>
    <t>I2C6 bus clock, iomux on Pin 1D6</t>
    <phoneticPr fontId="2" type="noConversion"/>
  </si>
  <si>
    <t>I2C5 bus clock, iomux on Pin 1A6</t>
    <phoneticPr fontId="2" type="noConversion"/>
  </si>
  <si>
    <t>I2C4 bus clock, iomux on Pin B8</t>
    <phoneticPr fontId="2" type="noConversion"/>
  </si>
  <si>
    <t>SPDIF transmit 1, iomux on Pin 1AF7</t>
    <phoneticPr fontId="2" type="noConversion"/>
  </si>
  <si>
    <t>SPDIF transmit 1, iomux on Pin 1B6</t>
    <phoneticPr fontId="2" type="noConversion"/>
  </si>
  <si>
    <t>SPDIF transmit 1, iomux on Pin 1Y23</t>
    <phoneticPr fontId="2" type="noConversion"/>
  </si>
  <si>
    <t>USB2 OTG0 connected vbus power detect,pull-down a 40K resistor internal (Valid voltage range:2.7-3.3V)</t>
    <phoneticPr fontId="2" type="noConversion"/>
  </si>
  <si>
    <t>USB2 OTG1 connected vbus power detect,pull-down a 40K resistor internal (Valid voltage range:2.7-3.3V)</t>
    <phoneticPr fontId="2" type="noConversion"/>
  </si>
  <si>
    <t>Part L</t>
    <phoneticPr fontId="2" type="noConversion"/>
  </si>
  <si>
    <t>PCIE1_SATA1_AVDD0V85</t>
    <phoneticPr fontId="2" type="noConversion"/>
  </si>
  <si>
    <t>PCIE1_SATA1_AVDD1V8</t>
    <phoneticPr fontId="2" type="noConversion"/>
  </si>
  <si>
    <t>PCIE0_RXN_M1</t>
  </si>
  <si>
    <t>SATA0_RXN_M1</t>
  </si>
  <si>
    <t>PCIE0_RXN_M1/SATA0_RXN_M1/USB_DRD1_SSRXN</t>
    <phoneticPr fontId="2" type="noConversion"/>
  </si>
  <si>
    <t>SATA30 Port0 receive differential negative</t>
    <phoneticPr fontId="2" type="noConversion"/>
  </si>
  <si>
    <t>PCIe21 Port0 receive differential negative</t>
    <phoneticPr fontId="2" type="noConversion"/>
  </si>
  <si>
    <t>PCIE0_RXP_M1</t>
  </si>
  <si>
    <t>SATA0_RXP_M1</t>
  </si>
  <si>
    <t>PCIE0_RXP_M1/SATA0_RXP_M1/USB_DRD1_SSRXP</t>
    <phoneticPr fontId="2" type="noConversion"/>
  </si>
  <si>
    <t>SATA30 Port0 receive differential positive</t>
    <phoneticPr fontId="2" type="noConversion"/>
  </si>
  <si>
    <t>PCIE0_TXN_M1</t>
  </si>
  <si>
    <t>SATA0_TXN_M1</t>
    <phoneticPr fontId="2" type="noConversion"/>
  </si>
  <si>
    <t>PCIE0_TXN_M1/SATA0_TXN_M1/USB_DRD1_SSTXN</t>
    <phoneticPr fontId="2" type="noConversion"/>
  </si>
  <si>
    <t>SATA30 Port0 transmit differential negative</t>
    <phoneticPr fontId="2" type="noConversion"/>
  </si>
  <si>
    <t>PCIE0_TXP_M1</t>
  </si>
  <si>
    <t>SATA0_TXP_M1</t>
  </si>
  <si>
    <t>PCIE0_TXP_M1/SATA0_TXP_M1/USB_DRD1_SSTXP</t>
    <phoneticPr fontId="2" type="noConversion"/>
  </si>
  <si>
    <t>PCIe21 Port0 transmit differential  positive</t>
    <phoneticPr fontId="2" type="noConversion"/>
  </si>
  <si>
    <t>SATA30 Port0 transmit differential positive</t>
    <phoneticPr fontId="2" type="noConversion"/>
  </si>
  <si>
    <t>PCIE21_PORT0_REFCLKN</t>
    <phoneticPr fontId="2" type="noConversion"/>
  </si>
  <si>
    <t>USB_DRD0_SSTXP</t>
    <phoneticPr fontId="2" type="noConversion"/>
  </si>
  <si>
    <t>USB30 DRD Port1 transmit differential positive</t>
    <phoneticPr fontId="2" type="noConversion"/>
  </si>
  <si>
    <t>USB30 DRD Port0 transmit differential positive</t>
    <phoneticPr fontId="2" type="noConversion"/>
  </si>
  <si>
    <t>USB_DRD0_SSTXN</t>
    <phoneticPr fontId="2" type="noConversion"/>
  </si>
  <si>
    <t>USB30 DRD Port1 transmit differential negative</t>
    <phoneticPr fontId="2" type="noConversion"/>
  </si>
  <si>
    <t>USB_DRD0_SSRXP</t>
    <phoneticPr fontId="2" type="noConversion"/>
  </si>
  <si>
    <t>USB30 DRD Port0 receive differential positive</t>
    <phoneticPr fontId="2" type="noConversion"/>
  </si>
  <si>
    <t>PCIE0_RXN_M0/SATA0_RXN_M0/USB_DRD0_SSRXN</t>
    <phoneticPr fontId="2" type="noConversion"/>
  </si>
  <si>
    <t>USB_DRD0_SSRXN</t>
    <phoneticPr fontId="2" type="noConversion"/>
  </si>
  <si>
    <t>USB30 DRD Port1 receive differential negative</t>
    <phoneticPr fontId="2" type="noConversion"/>
  </si>
  <si>
    <t>USB30 DRD Port0 receive differential negative</t>
    <phoneticPr fontId="2" type="noConversion"/>
  </si>
  <si>
    <t>PCIe21 &amp; SATA30 &amp; USB3 DRD Port0 0.85V Analog power supply</t>
    <phoneticPr fontId="2" type="noConversion"/>
  </si>
  <si>
    <t>PCIe21 &amp; SATA30 &amp; USB3 DRD Port0 1.8V Analog power supply</t>
    <phoneticPr fontId="2" type="noConversion"/>
  </si>
  <si>
    <t>PCIe21 Port0 differential clock positive, input or output</t>
    <phoneticPr fontId="2" type="noConversion"/>
  </si>
  <si>
    <t>PCIe21 Port0 differential clock negative,input or output</t>
    <phoneticPr fontId="2" type="noConversion"/>
  </si>
  <si>
    <t>PCIe21 &amp; SATA30 Port0 &amp; USB3 DRD Port1 0.85V Analog power supply</t>
    <phoneticPr fontId="12" type="noConversion"/>
  </si>
  <si>
    <t>PCIe21 &amp; SATA30 Port0 &amp; USB3 DRD Port1 1.8V Analog power supply</t>
    <phoneticPr fontId="12" type="noConversion"/>
  </si>
  <si>
    <t>PCIE1_TXP</t>
    <phoneticPr fontId="2" type="noConversion"/>
  </si>
  <si>
    <t>PCIE1_TXP/SATA1_TXP</t>
    <phoneticPr fontId="2" type="noConversion"/>
  </si>
  <si>
    <t>SATA1_TXP</t>
    <phoneticPr fontId="2" type="noConversion"/>
  </si>
  <si>
    <t>SATA1_TXN</t>
    <phoneticPr fontId="2" type="noConversion"/>
  </si>
  <si>
    <t>PCIE1_TXN/SATA1_TXN</t>
    <phoneticPr fontId="2" type="noConversion"/>
  </si>
  <si>
    <t>PCIE1_TXN</t>
    <phoneticPr fontId="2" type="noConversion"/>
  </si>
  <si>
    <t>PCIe21 Port0 receive differential positive</t>
    <phoneticPr fontId="2" type="noConversion"/>
  </si>
  <si>
    <t>PCIe21 Port0 transmit differential  negative</t>
    <phoneticPr fontId="2" type="noConversion"/>
  </si>
  <si>
    <t>USB30 DRD Port1 receive differential positive</t>
    <phoneticPr fontId="2" type="noConversion"/>
  </si>
  <si>
    <t>PCIe21 Port1 transmit differential  positive</t>
    <phoneticPr fontId="2" type="noConversion"/>
  </si>
  <si>
    <t>SATA30 Port1 transmit differential positive</t>
    <phoneticPr fontId="2" type="noConversion"/>
  </si>
  <si>
    <t>PCIe21 Port1 transmit differential  negative</t>
    <phoneticPr fontId="2" type="noConversion"/>
  </si>
  <si>
    <t>SATA30 Port1 transmit differential negative</t>
    <phoneticPr fontId="2" type="noConversion"/>
  </si>
  <si>
    <t>PCIE1_RXP/SATA1_RXP</t>
    <phoneticPr fontId="2" type="noConversion"/>
  </si>
  <si>
    <t>SATA1_RXP</t>
    <phoneticPr fontId="2" type="noConversion"/>
  </si>
  <si>
    <t>PCIE1_RXN/SATA1_RXN</t>
    <phoneticPr fontId="2" type="noConversion"/>
  </si>
  <si>
    <t>SATA1_RXN</t>
    <phoneticPr fontId="2" type="noConversion"/>
  </si>
  <si>
    <t>SATA30 Port1 receive differential negative</t>
    <phoneticPr fontId="2" type="noConversion"/>
  </si>
  <si>
    <t>SATA30 Port1 receive differential positive</t>
    <phoneticPr fontId="2" type="noConversion"/>
  </si>
  <si>
    <t>PCIE21_RXP</t>
    <phoneticPr fontId="2" type="noConversion"/>
  </si>
  <si>
    <t>PCIE21_RXN</t>
    <phoneticPr fontId="2" type="noConversion"/>
  </si>
  <si>
    <t>USB30 DRD Port0 transmit differential negative</t>
    <phoneticPr fontId="2" type="noConversion"/>
  </si>
  <si>
    <t>PCIE0_SATA0_USB_DRD0_AVDD0V85</t>
    <phoneticPr fontId="2" type="noConversion"/>
  </si>
  <si>
    <t>PCIE0_SATA0_USB_DRD0_AVDD1V8</t>
    <phoneticPr fontId="2" type="noConversion"/>
  </si>
  <si>
    <t>PCIe21 Port1 differential clock positive, input or output</t>
    <phoneticPr fontId="2" type="noConversion"/>
  </si>
  <si>
    <t>PCIe21 Port1 differential clock negative,input or output</t>
    <phoneticPr fontId="2" type="noConversion"/>
  </si>
  <si>
    <t>PCIe21 &amp; SATA30 &amp; USB3 DRD Port1 0.85V Analog power supply</t>
    <phoneticPr fontId="2" type="noConversion"/>
  </si>
  <si>
    <t>PCIe21 &amp; SATA30 &amp; USB3 DRD Port1 1.8V Analog power supply</t>
    <phoneticPr fontId="2" type="noConversion"/>
  </si>
  <si>
    <t>PCIE0_TXP_M0</t>
  </si>
  <si>
    <t>PCIE0_TXN_M0</t>
    <phoneticPr fontId="2" type="noConversion"/>
  </si>
  <si>
    <t>PCIE0_RXP_M0/SATA0_RXP_M0/USB_DRD0_SSRXP</t>
    <phoneticPr fontId="2" type="noConversion"/>
  </si>
  <si>
    <t>PCIE0_RXP_M0</t>
  </si>
  <si>
    <t>PCIE0_RXN_M0</t>
    <phoneticPr fontId="2" type="noConversion"/>
  </si>
  <si>
    <t>SATA0_RXP_M0</t>
  </si>
  <si>
    <t>SATA0_RXN_M0</t>
    <phoneticPr fontId="2" type="noConversion"/>
  </si>
  <si>
    <t>PCIE0_TXP_M0/SATA0_TXP_M0/USB_DRD0_SSTXP</t>
    <phoneticPr fontId="2" type="noConversion"/>
  </si>
  <si>
    <t>SATA0_TXP_M0</t>
  </si>
  <si>
    <t>PCIE0_TXN_M0/SATA0_TXN_M0/USB_DRD0_SSTXN</t>
    <phoneticPr fontId="2" type="noConversion"/>
  </si>
  <si>
    <t>SATA0_TXN_M0</t>
  </si>
  <si>
    <t>Part M</t>
    <phoneticPr fontId="2" type="noConversion"/>
  </si>
  <si>
    <t>Part N</t>
    <phoneticPr fontId="2" type="noConversion"/>
  </si>
  <si>
    <t>MIPI D PHY anolog 1.8V power supply</t>
    <phoneticPr fontId="12" type="noConversion"/>
  </si>
  <si>
    <t>MIPI D PHY anolog 0.75V power supply</t>
    <phoneticPr fontId="12" type="noConversion"/>
  </si>
  <si>
    <t>Part O</t>
    <phoneticPr fontId="2" type="noConversion"/>
  </si>
  <si>
    <t>MIPI_DPHY_CSI0_RX_D0N</t>
    <phoneticPr fontId="2" type="noConversion"/>
  </si>
  <si>
    <t>MIPI DPHY CSI0 receive  differential data lane 0 negative</t>
    <phoneticPr fontId="2" type="noConversion"/>
  </si>
  <si>
    <t>MIPI DPHY CSI0 receive  differential data lane 0 positive</t>
    <phoneticPr fontId="2" type="noConversion"/>
  </si>
  <si>
    <t>MIPI DPHY CSI0 receive  differential data lane 1 negative</t>
    <phoneticPr fontId="2" type="noConversion"/>
  </si>
  <si>
    <t>MIPI DPHY CSI0 receive  differential data lane 1 positive</t>
    <phoneticPr fontId="2" type="noConversion"/>
  </si>
  <si>
    <t>MIPI DPHY CSI0 receive  differential clock negative</t>
    <phoneticPr fontId="2" type="noConversion"/>
  </si>
  <si>
    <t>MIPI DPHY CSI0 receive  differential clock positive</t>
    <phoneticPr fontId="2" type="noConversion"/>
  </si>
  <si>
    <t>MIPI_DPHY_CSI0_RX_D2N/MIPI_DPHY_CSI1_RX_D0N</t>
    <phoneticPr fontId="2" type="noConversion"/>
  </si>
  <si>
    <t>MIPI_DPHY_CSI0_RX_D2P/MIPI_DPHY_CSI1_RX_D0P</t>
    <phoneticPr fontId="2" type="noConversion"/>
  </si>
  <si>
    <t>MIPI_DPHY_CSI1_RX_D0N</t>
    <phoneticPr fontId="2" type="noConversion"/>
  </si>
  <si>
    <t>MIPI_DPHY_CSI1_RX_D0P</t>
    <phoneticPr fontId="2" type="noConversion"/>
  </si>
  <si>
    <t>MIPI_DPHY_CSI1_RX_D1N</t>
    <phoneticPr fontId="2" type="noConversion"/>
  </si>
  <si>
    <t>MIPI_DPHY_CSI0_RX_D3N/MIPI_DPHY_CSI1_RX_D1N</t>
    <phoneticPr fontId="2" type="noConversion"/>
  </si>
  <si>
    <t>MIPI_DPHY_CSI0_RX_D3N</t>
    <phoneticPr fontId="2" type="noConversion"/>
  </si>
  <si>
    <t>MIPI_DPHY_CSI0_RX_D3P/MIPI_DPHY_CSI1_RX_D1P</t>
    <phoneticPr fontId="2" type="noConversion"/>
  </si>
  <si>
    <t>MIPI_DPHY_CSI1_RX_D1P</t>
    <phoneticPr fontId="2" type="noConversion"/>
  </si>
  <si>
    <t>MIPI_DPHY_CSI0_RX_D3P</t>
    <phoneticPr fontId="2" type="noConversion"/>
  </si>
  <si>
    <t>MIPI_DPHY_CSI3_RX_D0N</t>
    <phoneticPr fontId="2" type="noConversion"/>
  </si>
  <si>
    <t>MIPI_DPHY_CSI2_RX_D2N/MIPI_DPHY_CSI3_RX_D0N</t>
    <phoneticPr fontId="2" type="noConversion"/>
  </si>
  <si>
    <t>MIPI_DPHY_CSI2_RX_D2N</t>
    <phoneticPr fontId="2" type="noConversion"/>
  </si>
  <si>
    <t>MIPI_DPHY_CSI2_RX_D2P/MIPI_DPHY_CSI3_RX_D0P</t>
    <phoneticPr fontId="2" type="noConversion"/>
  </si>
  <si>
    <t>MIPI_DPHY_CSI2_RX_D2P</t>
  </si>
  <si>
    <t>MIPI_DPHY_CSI3_RX_D1N</t>
    <phoneticPr fontId="2" type="noConversion"/>
  </si>
  <si>
    <t>MIPI_DPHY_CSI2_RX_D3N/MIPI_DPHY_CSI3_RX_D1N</t>
    <phoneticPr fontId="2" type="noConversion"/>
  </si>
  <si>
    <t>MIPI_DPHY_CSI2_RX_D3N</t>
  </si>
  <si>
    <t>MIPI_DPHY_CSI3_RX_D1P</t>
    <phoneticPr fontId="2" type="noConversion"/>
  </si>
  <si>
    <t>MIPI_DPHY_CSI2_RX_D3P/MIPI_DPHY_CSI3_RX_D1P</t>
    <phoneticPr fontId="2" type="noConversion"/>
  </si>
  <si>
    <t>MIPI_DPHY_CSI2_RX_D3P</t>
  </si>
  <si>
    <t>MIPI DPHY CSI0 receive  differential data lane 2 positive</t>
    <phoneticPr fontId="2" type="noConversion"/>
  </si>
  <si>
    <t>MIPI DPHY CSI1 receive  differential data lane 0 positive</t>
    <phoneticPr fontId="2" type="noConversion"/>
  </si>
  <si>
    <t>MIPI DPHY CSI0 receive  differential data lane 3 negative</t>
    <phoneticPr fontId="2" type="noConversion"/>
  </si>
  <si>
    <t>MIPI DPHY CSI1 receive  differential data lane 1 negative</t>
    <phoneticPr fontId="2" type="noConversion"/>
  </si>
  <si>
    <t>MIPI DPHY CSI0 receive  differential data lane 3 positive</t>
    <phoneticPr fontId="2" type="noConversion"/>
  </si>
  <si>
    <t>MIPI DPHY CSI1 receive  differential data lane 1 positive</t>
    <phoneticPr fontId="2" type="noConversion"/>
  </si>
  <si>
    <t>MIPI DPHY CSI1 receive  differential clock negative</t>
    <phoneticPr fontId="2" type="noConversion"/>
  </si>
  <si>
    <t>MIPI DPHY CSI1 receive  differential clock positive</t>
    <phoneticPr fontId="2" type="noConversion"/>
  </si>
  <si>
    <t>MIPI CSI0/1 0.75V Analog power supply</t>
    <phoneticPr fontId="12" type="noConversion"/>
  </si>
  <si>
    <t>MIPI CSI0/1 1.8V Analog power supply</t>
    <phoneticPr fontId="12" type="noConversion"/>
  </si>
  <si>
    <t>MIPI DPHY CSI2 receive  differential data lane 0 negative</t>
    <phoneticPr fontId="2" type="noConversion"/>
  </si>
  <si>
    <t>MIPI DPHY CSI2 receive  differential data lane 0 positive</t>
    <phoneticPr fontId="2" type="noConversion"/>
  </si>
  <si>
    <t>MIPI DPHY CSI2 receive  differential data lane 1 negative</t>
    <phoneticPr fontId="2" type="noConversion"/>
  </si>
  <si>
    <t>MIPI DPHY CSI2 receive  differential data lane 1 positive</t>
    <phoneticPr fontId="2" type="noConversion"/>
  </si>
  <si>
    <t>MIPI DPHY CSI2 receive  differential clock negative</t>
    <phoneticPr fontId="2" type="noConversion"/>
  </si>
  <si>
    <t>MIPI DPHY CSI2 receive  differential clock positive</t>
    <phoneticPr fontId="2" type="noConversion"/>
  </si>
  <si>
    <t>MIPI DPHY CSI2 receive  differential data lane 2 negative</t>
    <phoneticPr fontId="2" type="noConversion"/>
  </si>
  <si>
    <t>MIPI DPHY CSI3 receive  differential data lane 0 negative</t>
    <phoneticPr fontId="2" type="noConversion"/>
  </si>
  <si>
    <t>MIPI DPHY CSI2 receive  differential data lane 2 positive</t>
    <phoneticPr fontId="2" type="noConversion"/>
  </si>
  <si>
    <t>MIPI DPHY CSI3 receive  differential data lane 0 positive</t>
    <phoneticPr fontId="2" type="noConversion"/>
  </si>
  <si>
    <t>MIPI DPHY CSI2 receive  differential data lane 3 negative</t>
    <phoneticPr fontId="2" type="noConversion"/>
  </si>
  <si>
    <t>MIPI DPHY CSI3 receive  differential data lane 1 negative</t>
    <phoneticPr fontId="2" type="noConversion"/>
  </si>
  <si>
    <t>MIPI DPHY CSI2 receive  differential data lane 3 positive</t>
    <phoneticPr fontId="2" type="noConversion"/>
  </si>
  <si>
    <t>MIPI DPHY CSI3 receive  differential data lane 1 positive</t>
    <phoneticPr fontId="2" type="noConversion"/>
  </si>
  <si>
    <t>MIPI DPHY CSI3 receive  differential clock negative</t>
    <phoneticPr fontId="2" type="noConversion"/>
  </si>
  <si>
    <t>MIPI DPHY CSI3 receive  differential clock positive</t>
    <phoneticPr fontId="2" type="noConversion"/>
  </si>
  <si>
    <t>MIPI CSI2/3 0.75V Analog power supply</t>
    <phoneticPr fontId="12" type="noConversion"/>
  </si>
  <si>
    <t>MIPI CSI2/3 1.8V Analog power supply</t>
    <phoneticPr fontId="12" type="noConversion"/>
  </si>
  <si>
    <t>LP5X_RESET</t>
    <phoneticPr fontId="2" type="noConversion"/>
  </si>
  <si>
    <t xml:space="preserve">LP5X reset </t>
    <phoneticPr fontId="2" type="noConversion"/>
  </si>
  <si>
    <t>Part P</t>
    <phoneticPr fontId="2" type="noConversion"/>
  </si>
  <si>
    <t>Part Q</t>
    <phoneticPr fontId="2" type="noConversion"/>
  </si>
  <si>
    <t>LOGIC power supply</t>
  </si>
  <si>
    <t>NPU power supply</t>
    <phoneticPr fontId="2" type="noConversion"/>
  </si>
  <si>
    <t>Part R</t>
    <phoneticPr fontId="2" type="noConversion"/>
  </si>
  <si>
    <t>Analog ground</t>
    <phoneticPr fontId="2" type="noConversion"/>
  </si>
  <si>
    <t>Part S</t>
    <phoneticPr fontId="2" type="noConversion"/>
  </si>
  <si>
    <t>eDP transmit differential data lane 3 positive</t>
    <phoneticPr fontId="2" type="noConversion"/>
  </si>
  <si>
    <t>MIPI DPHY DSI transmit  differential clock positive</t>
    <phoneticPr fontId="2" type="noConversion"/>
  </si>
  <si>
    <t>MIPI DPHY DSI transmit  differential clock negative</t>
    <phoneticPr fontId="2" type="noConversion"/>
  </si>
  <si>
    <t>MIPI DPHY CSI0 receive  differential data lane 2 negative</t>
    <phoneticPr fontId="2" type="noConversion"/>
  </si>
  <si>
    <t>MIPI DPHY CSI1 receive  differential data lane 0 negative</t>
    <phoneticPr fontId="2" type="noConversion"/>
  </si>
  <si>
    <t>MIPI DPHY DSI transmit  differential data lane 0 positive</t>
    <phoneticPr fontId="2" type="noConversion"/>
  </si>
  <si>
    <t>MIPI DPHY DSI transmit  differential data lane 0 negative</t>
    <phoneticPr fontId="2" type="noConversion"/>
  </si>
  <si>
    <t>MIPI DPHY DSI transmit  differential data lane 1 positive</t>
    <phoneticPr fontId="2" type="noConversion"/>
  </si>
  <si>
    <t>MIPI DPHY DSI transmit  differential data lane 1 negative</t>
    <phoneticPr fontId="2" type="noConversion"/>
  </si>
  <si>
    <t>MIPI DPHY DSI transmit  differential data lane 2 positive</t>
    <phoneticPr fontId="2" type="noConversion"/>
  </si>
  <si>
    <t>MIPI DPHY DSI transmit  differential data lane 2 negative</t>
    <phoneticPr fontId="2" type="noConversion"/>
  </si>
  <si>
    <t>MIPI DPHY DSI transmit  differential data lane 3 positive</t>
    <phoneticPr fontId="2" type="noConversion"/>
  </si>
  <si>
    <t>MIPI DPHY DSI transmit  differential data lane 3 negative</t>
    <phoneticPr fontId="2" type="noConversion"/>
  </si>
  <si>
    <t>LP5X_A0_A</t>
    <phoneticPr fontId="2" type="noConversion"/>
  </si>
  <si>
    <t>LP5X address 0 of channel A</t>
    <phoneticPr fontId="2" type="noConversion"/>
  </si>
  <si>
    <t>LP5X_A1_A</t>
    <phoneticPr fontId="2" type="noConversion"/>
  </si>
  <si>
    <t>LP5X address 1 of channel A</t>
    <phoneticPr fontId="2" type="noConversion"/>
  </si>
  <si>
    <t>LP5X_A2_A</t>
    <phoneticPr fontId="2" type="noConversion"/>
  </si>
  <si>
    <t>LP5X address 2 of channel A</t>
    <phoneticPr fontId="2" type="noConversion"/>
  </si>
  <si>
    <t>LP5X_A3_A</t>
    <phoneticPr fontId="2" type="noConversion"/>
  </si>
  <si>
    <t>LP5X address 3 of channel A</t>
    <phoneticPr fontId="2" type="noConversion"/>
  </si>
  <si>
    <t>LP5X_A4_A</t>
    <phoneticPr fontId="2" type="noConversion"/>
  </si>
  <si>
    <t>LP5X address 4 of channel A</t>
    <phoneticPr fontId="2" type="noConversion"/>
  </si>
  <si>
    <t>LP5X_A5_A</t>
    <phoneticPr fontId="2" type="noConversion"/>
  </si>
  <si>
    <t>LP5X address 5 of channel A</t>
    <phoneticPr fontId="2" type="noConversion"/>
  </si>
  <si>
    <t>LP5 address 6 of channel A</t>
    <phoneticPr fontId="2" type="noConversion"/>
  </si>
  <si>
    <t>UFS_RSTN</t>
    <phoneticPr fontId="2" type="noConversion"/>
  </si>
  <si>
    <t>UFS_RSTN/GPIO4_C0_D</t>
    <phoneticPr fontId="2" type="noConversion"/>
  </si>
  <si>
    <t>GPIO4_C0_D</t>
    <phoneticPr fontId="2" type="noConversion"/>
  </si>
  <si>
    <t>GPIO4_C1_D</t>
    <phoneticPr fontId="2" type="noConversion"/>
  </si>
  <si>
    <t>UFS_REFCLK/GPIO4_C1_D</t>
    <phoneticPr fontId="2" type="noConversion"/>
  </si>
  <si>
    <t>UFS_REFCLK</t>
    <phoneticPr fontId="2" type="noConversion"/>
  </si>
  <si>
    <t>UFS  power supply, 1.2V or 1.8V</t>
    <phoneticPr fontId="2" type="noConversion"/>
  </si>
  <si>
    <t>GMAC0 receive clock, iomux on Pin B7</t>
    <phoneticPr fontId="2" type="noConversion"/>
  </si>
  <si>
    <t>GMAC0 transmit data 0, iomux on Pin 1A6</t>
    <phoneticPr fontId="2" type="noConversion"/>
  </si>
  <si>
    <t>NOR or Nand SPI Flash 1 data 7, iomux on Pin A11</t>
    <phoneticPr fontId="2" type="noConversion"/>
  </si>
  <si>
    <t>NOR or NAND SPI Flash 1 data strobe signal output</t>
    <phoneticPr fontId="2" type="noConversion"/>
  </si>
  <si>
    <t>NOR or Nand SPI Flash 1 data 0, iomux on Pin 1C6</t>
    <phoneticPr fontId="2" type="noConversion"/>
  </si>
  <si>
    <t>NOR or Nand SPI Flash 1 data 1, iomux on Pin 1D6</t>
    <phoneticPr fontId="2" type="noConversion"/>
  </si>
  <si>
    <t>NOR or Nand SPI Flash 1 data 2, iomux on Pin A7</t>
    <phoneticPr fontId="2" type="noConversion"/>
  </si>
  <si>
    <t>NOR or Nand SPI Flash 1 data 3, iomux on Pin A8</t>
    <phoneticPr fontId="2" type="noConversion"/>
  </si>
  <si>
    <t>NOR or Nand SPI Flash 1 data 4, iomux on Pin A10</t>
    <phoneticPr fontId="2" type="noConversion"/>
  </si>
  <si>
    <t>NOR or Nand SPI Flash 1 data 5, iomux on Pin B9</t>
    <phoneticPr fontId="2" type="noConversion"/>
  </si>
  <si>
    <t>NOR or Nand SPI Flash 1 data 6, iomux on Pin B10</t>
    <phoneticPr fontId="2" type="noConversion"/>
  </si>
  <si>
    <t>NOR or Nand SPI Flash 1 data 0, iomux on Pin 1D8</t>
    <phoneticPr fontId="2" type="noConversion"/>
  </si>
  <si>
    <t>CAN1_RX_M0/PWM2_CH2_M0/I2C8_SCL_M0/SPI0_MOSI_M1/UART0_RX_M1/UART7_RX_M2/DSM_AUD_LP_M0/SDMMC0_D0_M0/FSPI1_D0_M0/GPIO2_A0_d</t>
    <phoneticPr fontId="2" type="noConversion"/>
  </si>
  <si>
    <t>CAN1_TX_M0/PWM2_CH3_M0/I2C8_SDA_M0/SPI0_MISO_M1/UART0_TX_M1/UART7_TX_M2/SAI3_MCLK_M1/DSM_AUD_LN_M0/SDMMC0_D1_M0/FSPI1_D1_M0/GPIO2_A1_d</t>
    <phoneticPr fontId="2" type="noConversion"/>
  </si>
  <si>
    <t>SDMMC0_D0_M0</t>
    <phoneticPr fontId="2" type="noConversion"/>
  </si>
  <si>
    <t>SDMMC0_D1_M0</t>
    <phoneticPr fontId="2" type="noConversion"/>
  </si>
  <si>
    <t>CAN0_RX_M0/JTAG_TCK_M0/SPI0_CSN1_M1/UART5_RTSN_M2/SAI3_LRCK_M1/DSM_AUD_RP_M0/SDMMC0_D2_M0/FSPI1_D2_M0/GPIO2_A2_d</t>
    <phoneticPr fontId="2" type="noConversion"/>
  </si>
  <si>
    <t>SDMMC0_D2_M0</t>
    <phoneticPr fontId="2" type="noConversion"/>
  </si>
  <si>
    <t>CAN0_TX_M0/JTAG_TMS_M0/UART5_CTSN_M2/SAI3_SDI_M1/DSM_AUD_RN_M0/SDMMC0_D3_M0/FSPI1_D3_M0/GPIO2_A3_d</t>
    <phoneticPr fontId="2" type="noConversion"/>
  </si>
  <si>
    <t>CAN2_TX_M0/I2C5_SCL_M0/SPI0_CLK_M1/UART5_TX_M2/TEST_CLK_OUT/SAI3_SCLK_M1/SDMMC0_CLK_M0/FSPI1_CLK_M0/GPIO2_A5_d</t>
    <phoneticPr fontId="2" type="noConversion"/>
  </si>
  <si>
    <t>SDMMC0_CLK_M0</t>
    <phoneticPr fontId="2" type="noConversion"/>
  </si>
  <si>
    <t>SDMMC0_CMD_M0</t>
    <phoneticPr fontId="2" type="noConversion"/>
  </si>
  <si>
    <t>SPI2_CSN1_M0/SDMMC0_DETN_M0/GPIO0_A7_u</t>
    <phoneticPr fontId="2" type="noConversion"/>
  </si>
  <si>
    <t>SPI1_CSN0_M0/UART3_RTSN_M2/SAI4_SDO_M1/SDMMC1_D3/ETH1_TXD2_M1/GPIO1_B7_d</t>
    <phoneticPr fontId="2" type="noConversion"/>
  </si>
  <si>
    <t>PWM0_CH0_M1/SPI1_CSN1_M0/UART3_TX_M2/PDM_SDI2_M2/SAI4_SCLK_M1/SDMMC1_CMD/ETH1_TXD3_M1/GPIO1_C0_d</t>
    <phoneticPr fontId="2" type="noConversion"/>
  </si>
  <si>
    <t>UART3_RX_M2/PDM_CLK0_M2/SDMMC1_CLK/ETH1_TXCLK_M1/GPIO1_C1_d</t>
    <phoneticPr fontId="2" type="noConversion"/>
  </si>
  <si>
    <t>SATA0_CPPOD_M0/CAN2_RX_M1/I2C6_SCL_M1/UART4_RTSN_M1/SDMMC1_PWREN/ETH1_PPSCLK_M1/GPIO1_C2_d</t>
    <phoneticPr fontId="2" type="noConversion"/>
  </si>
  <si>
    <t>PWM2_CH4_M2/I2C8_SCL_M2/UART10_TX_M1/VI_CIF_D7/PDM_SDI0_M3/SAI0_SDI2_M0/SDMMC0_D0_M1/FSPI1_D7_M1/ETH_CLK0_25M_OUT/GPIO2_C4_d</t>
    <phoneticPr fontId="2" type="noConversion"/>
  </si>
  <si>
    <t>PWM2_CH5_M2/I2C8_SDA_M2/UART10_RX_M1/VI_CIF_D6/PDM_CLK0_M3/SAI0_SDI1_M0/SDMMC0_D1_M1/FSPI1_D6_M1/ETH0_MDIO/GPIO2_C5_d</t>
    <phoneticPr fontId="2" type="noConversion"/>
  </si>
  <si>
    <t>UART11_TX_M2/I2C9_SDA_M2/SPI3_CSN1_M0/UART10_CTSN_M1/VI_CIF_D5/PDM_SDI1_M3/SAI0_SDO1_M0/SDMMC0_D2_M1/FSPI1_D5_M1/ETH0_MDC/GPIO2_C6_d</t>
    <phoneticPr fontId="2" type="noConversion"/>
  </si>
  <si>
    <t>ISP_PRELIGHT_TRIG_M0/UART11_RX_M2/I2C9_SCL_M2/SPI1_CSN1_M1/UART10_RTSN_M1/VI_CIF_D4/PDM_CLK1_M3/SAI0_MCLK_M0/SDMMC0_D3_M1/FSPI1_D4_M1/ETH0_RXCTL/GPIO2_C7_d</t>
    <phoneticPr fontId="2" type="noConversion"/>
  </si>
  <si>
    <t>PWM1_CH4_M2/I2C6_SDA_M2/SPI1_CLK_M1/UART1_RX_M1/VI_CIF_D0/SAI0_SDI0_M0/SDMMC0_DETN_M1/FSPI1_D0_M1/ETH0_TXCTL/GPIO2_D3_d</t>
    <phoneticPr fontId="2" type="noConversion"/>
  </si>
  <si>
    <t>PCIE1_CLKREQN_M1/PWM1_CH0_M1/I2C9_SDA_M1/SPI1_CLK_M0/SAI4_MCLK_M1/SDMMC1_D0/ETH1_RXD2_M1/GPIO1_B4_d</t>
    <phoneticPr fontId="2" type="noConversion"/>
  </si>
  <si>
    <t>SDMMC1_D0</t>
    <phoneticPr fontId="2" type="noConversion"/>
  </si>
  <si>
    <t>SDMMC0 clock</t>
    <phoneticPr fontId="2" type="noConversion"/>
  </si>
  <si>
    <t>SDMMC1 data 1, iomux on Pin AR13</t>
    <phoneticPr fontId="2" type="noConversion"/>
  </si>
  <si>
    <t>SAI3 data  intput, iomux on Pin AR12</t>
    <phoneticPr fontId="2" type="noConversion"/>
  </si>
  <si>
    <t>SAI0 data 1 input, iomux on Pin 1A2</t>
    <phoneticPr fontId="2" type="noConversion"/>
  </si>
  <si>
    <t>SAI0 data 2 input, iomux on Pin 1D2</t>
    <phoneticPr fontId="2" type="noConversion"/>
  </si>
  <si>
    <t>SAI0 data 0 input, iomux on Pin B4</t>
    <phoneticPr fontId="2" type="noConversion"/>
  </si>
  <si>
    <t>SAI0 data 3 input, iomux on Pin A5</t>
    <phoneticPr fontId="2" type="noConversion"/>
  </si>
  <si>
    <t>SAI0 data 2 input, iomux on Pin A11</t>
    <phoneticPr fontId="2" type="noConversion"/>
  </si>
  <si>
    <t>SAI0 data 1 input, iomux on Pin B10</t>
    <phoneticPr fontId="2" type="noConversion"/>
  </si>
  <si>
    <t>SAI0 data 0 input, iomux on Pin 1C6</t>
    <phoneticPr fontId="2" type="noConversion"/>
  </si>
  <si>
    <t>SAI0 data 3 input, iomux on Pin B8</t>
    <phoneticPr fontId="2" type="noConversion"/>
  </si>
  <si>
    <t>SAI3 data  input, iomux on Pin 1AE21</t>
    <phoneticPr fontId="2" type="noConversion"/>
  </si>
  <si>
    <r>
      <t>SAI4 data 1 input, iomux on Pin AR8.(Default for HDMI tx or EDP</t>
    </r>
    <r>
      <rPr>
        <sz val="11"/>
        <color theme="1"/>
        <rFont val="宋体"/>
        <family val="3"/>
        <charset val="134"/>
      </rPr>
      <t>）</t>
    </r>
    <phoneticPr fontId="2" type="noConversion"/>
  </si>
  <si>
    <t>SAI3 data  output, iomux on Pin 1AD5</t>
    <phoneticPr fontId="2" type="noConversion"/>
  </si>
  <si>
    <t>SAI0 data  output, iomux on Pin 1B4</t>
    <phoneticPr fontId="2" type="noConversion"/>
  </si>
  <si>
    <t>SAI4_SDI_M1</t>
    <phoneticPr fontId="2" type="noConversion"/>
  </si>
  <si>
    <t>PWM2_CH7_M0/SPI3_CSN1_M2/SPI4_CSN0_M2/UART5_CTSN_M1/PDM_SDI0_M1/SAI0_SDO0_M2/SAI1_SDI0_M0/VI_CIF_D8/ETH0_RXD2/GPIO2_C1_d</t>
    <phoneticPr fontId="2" type="noConversion"/>
  </si>
  <si>
    <t>SAI3 data  output, iomux on Pin AR33</t>
    <phoneticPr fontId="2" type="noConversion"/>
  </si>
  <si>
    <r>
      <t>SAI4 data 3 output, iomux on Pin AR8.(Default for HDMI tx or EDP</t>
    </r>
    <r>
      <rPr>
        <sz val="11"/>
        <color theme="1"/>
        <rFont val="宋体"/>
        <family val="3"/>
        <charset val="134"/>
      </rPr>
      <t>）</t>
    </r>
    <phoneticPr fontId="2" type="noConversion"/>
  </si>
  <si>
    <t>SAI0 data 0  output, iomux on Pin 1D6</t>
    <phoneticPr fontId="2" type="noConversion"/>
  </si>
  <si>
    <t>SAI0 data 2  output, iomux on Pin 1A6</t>
    <phoneticPr fontId="2" type="noConversion"/>
  </si>
  <si>
    <t>SAI1 data 1 output, iomux on Pin AM32</t>
    <phoneticPr fontId="2" type="noConversion"/>
  </si>
  <si>
    <t>SAI1 data 0 output, iomux on Pin 1AD23</t>
    <phoneticPr fontId="2" type="noConversion"/>
  </si>
  <si>
    <t>SAI0 master clock, iomux on Pin A10</t>
    <phoneticPr fontId="2" type="noConversion"/>
  </si>
  <si>
    <t>SAI2 master clock, iomux on Pin AH33</t>
    <phoneticPr fontId="2" type="noConversion"/>
  </si>
  <si>
    <t>SAI3 serial clock or Bclock(Default for Play and Record), iomux on Pin AR32</t>
    <phoneticPr fontId="2" type="noConversion"/>
  </si>
  <si>
    <t>SAI1 serial clock or Bclock(Default for Play and Record), iomux on Pin 1AB23</t>
    <phoneticPr fontId="2" type="noConversion"/>
  </si>
  <si>
    <t>SAI0 serial clock or Bclock(Default for Play and Record), iomux on Pin A8</t>
    <phoneticPr fontId="2" type="noConversion"/>
  </si>
  <si>
    <t>SAI0 serial clock or Bclock(Default for Play and Record), iomux on Pin 1T22</t>
    <phoneticPr fontId="2" type="noConversion"/>
  </si>
  <si>
    <r>
      <t>SAI4 serial clock or Bclock(Default for Play and Record), iomux on Pin AR10.(Default for HDMI tx or EDP</t>
    </r>
    <r>
      <rPr>
        <sz val="11"/>
        <color theme="1"/>
        <rFont val="宋体"/>
        <family val="3"/>
        <charset val="134"/>
      </rPr>
      <t>）</t>
    </r>
    <phoneticPr fontId="2" type="noConversion"/>
  </si>
  <si>
    <r>
      <t>SAI4 serial clock or Bclock(Default for Play and Record), iomux on Pin AR16(Default for HDMI tx or EDP</t>
    </r>
    <r>
      <rPr>
        <sz val="11"/>
        <color theme="1"/>
        <rFont val="宋体"/>
        <family val="3"/>
        <charset val="134"/>
      </rPr>
      <t>）</t>
    </r>
    <phoneticPr fontId="2" type="noConversion"/>
  </si>
  <si>
    <t>SAI3 left/right channel clock(Default for Play and Record), iomux on Pin AT32</t>
    <phoneticPr fontId="2" type="noConversion"/>
  </si>
  <si>
    <t>SAI0 left/right channel clock(Default for Play and Record), iomux on Pin A7</t>
    <phoneticPr fontId="2" type="noConversion"/>
  </si>
  <si>
    <t>SAI3 left/right channel clock(Default for Play and Record), iomux on Pin B11</t>
    <phoneticPr fontId="2" type="noConversion"/>
  </si>
  <si>
    <r>
      <t>SAI4 data 0 input, iomux on Pin 1AD5.(Default for HDMI tx or EDP</t>
    </r>
    <r>
      <rPr>
        <sz val="11"/>
        <color theme="1"/>
        <rFont val="宋体"/>
        <family val="3"/>
        <charset val="134"/>
      </rPr>
      <t>）</t>
    </r>
    <phoneticPr fontId="2" type="noConversion"/>
  </si>
  <si>
    <t>PDM clock 0 ouput, iomux on Pin B10</t>
    <phoneticPr fontId="2" type="noConversion"/>
  </si>
  <si>
    <t>PDM clock 1 ouput, iomux on Pin A10</t>
    <phoneticPr fontId="2" type="noConversion"/>
  </si>
  <si>
    <t>PDM clock 1 ouput, iomux on Pin 1Y21</t>
    <phoneticPr fontId="2" type="noConversion"/>
  </si>
  <si>
    <t>PDM clock 0 ouput, iomux on Pin AG32</t>
    <phoneticPr fontId="2" type="noConversion"/>
  </si>
  <si>
    <t>PDM clock 1 ouput, iomux on Pin W33</t>
    <phoneticPr fontId="2" type="noConversion"/>
  </si>
  <si>
    <t>PDM data 3 input, iomux on Pin 1D3</t>
    <phoneticPr fontId="2" type="noConversion"/>
  </si>
  <si>
    <t>PDM data 3 input, iomux on Pin A7</t>
    <phoneticPr fontId="2" type="noConversion"/>
  </si>
  <si>
    <t>PDM data 1 input, iomux on Pin 1C4</t>
    <phoneticPr fontId="2" type="noConversion"/>
  </si>
  <si>
    <t>PDM data 0 input, iomux on Pin 1B4</t>
    <phoneticPr fontId="2" type="noConversion"/>
  </si>
  <si>
    <t>PDM data 0 input, iomux on Pin 1AE7</t>
    <phoneticPr fontId="2" type="noConversion"/>
  </si>
  <si>
    <t>PDM data 3 input, iomux on Pin 1AD7</t>
    <phoneticPr fontId="2" type="noConversion"/>
  </si>
  <si>
    <t>PDM data 3 input, iomux on Pin 1V22</t>
    <phoneticPr fontId="2" type="noConversion"/>
  </si>
  <si>
    <t>PDM data 2 input, iomux on Pin 1V23</t>
    <phoneticPr fontId="2" type="noConversion"/>
  </si>
  <si>
    <t>PDM data 1 input, iomux on Pin 1Y22</t>
    <phoneticPr fontId="2" type="noConversion"/>
  </si>
  <si>
    <t>PDM data 0 input, iomux on Pin 1P20</t>
    <phoneticPr fontId="2" type="noConversion"/>
  </si>
  <si>
    <t>PDM data 2 input, iomux on Pin 1P22</t>
    <phoneticPr fontId="2" type="noConversion"/>
  </si>
  <si>
    <t>PDM data 0 input, iomux on Pin A11</t>
    <phoneticPr fontId="2" type="noConversion"/>
  </si>
  <si>
    <t>PDM data 1 input, iomux on Pin B9</t>
    <phoneticPr fontId="2" type="noConversion"/>
  </si>
  <si>
    <t>PDM data 2 input, iomux on Pin A8</t>
    <phoneticPr fontId="2" type="noConversion"/>
  </si>
  <si>
    <t>SPDIF transmit 0, iomux on Pin AR18</t>
    <phoneticPr fontId="2" type="noConversion"/>
  </si>
  <si>
    <t>SPDIF transmit 0, iomux on Pin B7</t>
    <phoneticPr fontId="2" type="noConversion"/>
  </si>
  <si>
    <t>SPDIF transmit 0, iomux on Pin 1V21</t>
    <phoneticPr fontId="2" type="noConversion"/>
  </si>
  <si>
    <t>Camera parallel input data 15</t>
    <phoneticPr fontId="2" type="noConversion"/>
  </si>
  <si>
    <t>Camera parallel input data 14</t>
    <phoneticPr fontId="2" type="noConversion"/>
  </si>
  <si>
    <t>Camera parallel input data 13</t>
    <phoneticPr fontId="2" type="noConversion"/>
  </si>
  <si>
    <t>Camera parallel input data 12</t>
    <phoneticPr fontId="2" type="noConversion"/>
  </si>
  <si>
    <t>Camera parallel input data 11</t>
    <phoneticPr fontId="2" type="noConversion"/>
  </si>
  <si>
    <t>Camera parallel input data 10</t>
    <phoneticPr fontId="2" type="noConversion"/>
  </si>
  <si>
    <t>Camera parallel input data 9</t>
    <phoneticPr fontId="2" type="noConversion"/>
  </si>
  <si>
    <t>Camera parallel input data 8</t>
    <phoneticPr fontId="2" type="noConversion"/>
  </si>
  <si>
    <t>Camera parallel input data 7</t>
    <phoneticPr fontId="2" type="noConversion"/>
  </si>
  <si>
    <t>Camera parallel input data 6</t>
    <phoneticPr fontId="2" type="noConversion"/>
  </si>
  <si>
    <t>Camera parallel input data 5</t>
    <phoneticPr fontId="2" type="noConversion"/>
  </si>
  <si>
    <t>Camera parallel input data 4</t>
    <phoneticPr fontId="2" type="noConversion"/>
  </si>
  <si>
    <t>Camera parallel input data 3</t>
    <phoneticPr fontId="2" type="noConversion"/>
  </si>
  <si>
    <t>Camera parallel input data 2</t>
    <phoneticPr fontId="2" type="noConversion"/>
  </si>
  <si>
    <t>Camera parallel input data 1</t>
    <phoneticPr fontId="2" type="noConversion"/>
  </si>
  <si>
    <t>Camera parallel input data 0</t>
    <phoneticPr fontId="2" type="noConversion"/>
  </si>
  <si>
    <t>Camera parallel input horizontal sync</t>
  </si>
  <si>
    <t>Camera master clock output for parallel interface</t>
  </si>
  <si>
    <t>Camera parallel input vertical sync</t>
  </si>
  <si>
    <t>Camera parallel input clock</t>
  </si>
  <si>
    <t>PWM controller 2 channel 2, iomux on Pin 1D8</t>
    <phoneticPr fontId="2" type="noConversion"/>
  </si>
  <si>
    <t>PWM controller 1 channel 1, iomux on Pin AB32</t>
    <phoneticPr fontId="2" type="noConversion"/>
  </si>
  <si>
    <t>PWM controller 1 channel 3, iomux on Pin Y32</t>
    <phoneticPr fontId="2" type="noConversion"/>
  </si>
  <si>
    <t>PWM controller 0 channel 1, iomux on Pin W33</t>
    <phoneticPr fontId="2" type="noConversion"/>
  </si>
  <si>
    <t>PWM controller 1 channel 4, iomux on Pin 1C6</t>
    <phoneticPr fontId="2" type="noConversion"/>
  </si>
  <si>
    <t>PWM controller 2 channel 1, iomux on Pin AR32</t>
    <phoneticPr fontId="2" type="noConversion"/>
  </si>
  <si>
    <t>PWM controller 2 channel 5, iomux on Pin AP32</t>
    <phoneticPr fontId="2" type="noConversion"/>
  </si>
  <si>
    <t>PWM controller 2 channel 4, iomux on Pin A11</t>
    <phoneticPr fontId="2" type="noConversion"/>
  </si>
  <si>
    <t>PWM controller 1 channel 5, iomux on Pin 1AD7</t>
    <phoneticPr fontId="2" type="noConversion"/>
  </si>
  <si>
    <t>PWM controller 1 channel 2, iomux on Pin 1AF7</t>
    <phoneticPr fontId="2" type="noConversion"/>
  </si>
  <si>
    <t>PWM controller 2 channel 5, iomux on Pin B10</t>
    <phoneticPr fontId="2" type="noConversion"/>
  </si>
  <si>
    <t>PWM controller 1 channel 2, iomux on Pin A8</t>
    <phoneticPr fontId="2" type="noConversion"/>
  </si>
  <si>
    <t>PWM controller 0 channel 0, iomux on Pin A7</t>
    <phoneticPr fontId="2" type="noConversion"/>
  </si>
  <si>
    <t>PWM controller 1 channel 3, iomux on Pin 1D6</t>
    <phoneticPr fontId="2" type="noConversion"/>
  </si>
  <si>
    <t>PWM controller 2 channel 2, iomux on Pin B8</t>
    <phoneticPr fontId="2" type="noConversion"/>
  </si>
  <si>
    <t>PWM controller 2 channel 3, iomux on Pin B7</t>
    <phoneticPr fontId="2" type="noConversion"/>
  </si>
  <si>
    <t>CAN1 transmit data, iomux on Pin B8</t>
    <phoneticPr fontId="2" type="noConversion"/>
  </si>
  <si>
    <t>CAN2 transmit data, iomux on Pin AR17</t>
    <phoneticPr fontId="2" type="noConversion"/>
  </si>
  <si>
    <t>CAN3 transmit data, iomux on Pin AR18</t>
    <phoneticPr fontId="2" type="noConversion"/>
  </si>
  <si>
    <t>CAN2 transmit data, iomux on Pin AH32</t>
    <phoneticPr fontId="2" type="noConversion"/>
  </si>
  <si>
    <t>CAN3 transmit data, iomux on Pin AE32</t>
    <phoneticPr fontId="2" type="noConversion"/>
  </si>
  <si>
    <t>CAN3 transmit data, iomux on Pin 1A6</t>
    <phoneticPr fontId="2" type="noConversion"/>
  </si>
  <si>
    <t>CAN2 receive data, iomux on Pin 1AE11</t>
    <phoneticPr fontId="2" type="noConversion"/>
  </si>
  <si>
    <t>CAN3 receive data, iomux on Pin 1AF7</t>
    <phoneticPr fontId="2" type="noConversion"/>
  </si>
  <si>
    <t>CAN3 receive data, iomux on Pin 1B6</t>
    <phoneticPr fontId="2" type="noConversion"/>
  </si>
  <si>
    <t>CAN1 receive data, iomux on Pin B7</t>
    <phoneticPr fontId="2" type="noConversion"/>
  </si>
  <si>
    <t>CAN2 receive data, iomux on Pin AK32</t>
    <phoneticPr fontId="2" type="noConversion"/>
  </si>
  <si>
    <t>CAN0 receive data, iomux on Pin AL33</t>
    <phoneticPr fontId="2" type="noConversion"/>
  </si>
  <si>
    <t>CAN3 receive data, iomux on Pin AD32</t>
    <phoneticPr fontId="2" type="noConversion"/>
  </si>
  <si>
    <t>CAN0 receive data, iomux on Pin AR32</t>
    <phoneticPr fontId="2" type="noConversion"/>
  </si>
  <si>
    <t>PCIe21 PORT1 reference clock request, iomux on Pin AP33</t>
    <phoneticPr fontId="2" type="noConversion"/>
  </si>
  <si>
    <t>PCIe21 PORT1 reference clock request, iomux on Pin A7</t>
    <phoneticPr fontId="2" type="noConversion"/>
  </si>
  <si>
    <t>I2C9 bus clock, iomux on Pin A10</t>
    <phoneticPr fontId="2" type="noConversion"/>
  </si>
  <si>
    <t>I2C7 bus clock, iomux on Pin A8</t>
    <phoneticPr fontId="2" type="noConversion"/>
  </si>
  <si>
    <t>CAN3_RX_M1/I2C5_SDA_M2/SPI3_MOSI_M0/UART3_RX_M0/VI_CIF_VSYNC/SPDIF_TX1_M2/SAI0_SDO3_M0/CAM_CLK1_OUT_M1/FSPI1_CLK_M1/ETH0_TXD1/GPIO2_D5_d</t>
    <phoneticPr fontId="2" type="noConversion"/>
  </si>
  <si>
    <t>NOR or NAND SPI Flash 1 clock, iomux on Pin 1B6</t>
    <phoneticPr fontId="2" type="noConversion"/>
  </si>
  <si>
    <t>NOR or NAND SPI Flash 0 data strobe signal output</t>
    <phoneticPr fontId="2" type="noConversion"/>
  </si>
  <si>
    <t>NOR or NAND SPI Flash 1 chip select 0, iomux on Pin B8</t>
    <phoneticPr fontId="2" type="noConversion"/>
  </si>
  <si>
    <t>NOR or NAND SPI Flash 1 chip select 1, iomux on Pin B7</t>
    <phoneticPr fontId="2" type="noConversion"/>
  </si>
  <si>
    <t>SPI0 chip select 1, iomux on Pin W33</t>
    <phoneticPr fontId="2" type="noConversion"/>
  </si>
  <si>
    <t>SPI0 chip select 0, iomux on Pin 1T22</t>
    <phoneticPr fontId="2" type="noConversion"/>
  </si>
  <si>
    <t>SPI1 chip select 1, iomux on Pin A10</t>
    <phoneticPr fontId="2" type="noConversion"/>
  </si>
  <si>
    <t>SPI2 chip select 1, iomux on Pin 1AF11</t>
    <phoneticPr fontId="2" type="noConversion"/>
  </si>
  <si>
    <t>SPI3 chip select 1, iomux on Pin B9</t>
    <phoneticPr fontId="2" type="noConversion"/>
  </si>
  <si>
    <t>SPI1 chip select 1, iomux on Pin AR16</t>
    <phoneticPr fontId="2" type="noConversion"/>
  </si>
  <si>
    <t>SPI2 chip select 0, iomux on Pin 1AE7</t>
    <phoneticPr fontId="2" type="noConversion"/>
  </si>
  <si>
    <t>SPI1 chip select 0, iomux on Pin 1D6</t>
    <phoneticPr fontId="2" type="noConversion"/>
  </si>
  <si>
    <t>SPI3 chip select 0, iomux on Pin B7</t>
    <phoneticPr fontId="2" type="noConversion"/>
  </si>
  <si>
    <t>SPI3 chip select 1, iomux on Pin AF32</t>
    <phoneticPr fontId="2" type="noConversion"/>
  </si>
  <si>
    <t>SPI2 clock, iomux on Pin T32</t>
    <phoneticPr fontId="2" type="noConversion"/>
  </si>
  <si>
    <t>SPI2 clock, iomux on Pin AR18</t>
    <phoneticPr fontId="2" type="noConversion"/>
  </si>
  <si>
    <t>SPI1 clock, iomux on Pin 1C6</t>
    <phoneticPr fontId="2" type="noConversion"/>
  </si>
  <si>
    <t>SPI3 clock, iomux on Pin 1A6</t>
    <phoneticPr fontId="2" type="noConversion"/>
  </si>
  <si>
    <t>SPI0 master output,slave input, iomux on Pin 1D8</t>
    <phoneticPr fontId="2" type="noConversion"/>
  </si>
  <si>
    <t>SPI4 master output,slave input, iomux on Pin AP32</t>
    <phoneticPr fontId="2" type="noConversion"/>
  </si>
  <si>
    <t>SPI3 master output,slave input, iomux on Pin 1B6</t>
    <phoneticPr fontId="2" type="noConversion"/>
  </si>
  <si>
    <t>SPI1 master output,slave input, iomux on Pin A8</t>
    <phoneticPr fontId="2" type="noConversion"/>
  </si>
  <si>
    <t>SPI1 master input,slave output, iomux on Pin A7</t>
    <phoneticPr fontId="2" type="noConversion"/>
  </si>
  <si>
    <t>SPI3 master input,slave output, iomux on Pin B8</t>
    <phoneticPr fontId="2" type="noConversion"/>
  </si>
  <si>
    <t>SAI1 left/right channel clock(Default for Play and Record), iomux on Pin 1AD22</t>
    <phoneticPr fontId="2" type="noConversion"/>
  </si>
  <si>
    <t>SAI0 data 1 output, iomux on Pin B9</t>
    <phoneticPr fontId="2" type="noConversion"/>
  </si>
  <si>
    <t>SAI0 data 3  output, iomux on Pin 1B6</t>
    <phoneticPr fontId="2" type="noConversion"/>
  </si>
  <si>
    <r>
      <t>SAI4 data  input, iomux on Pin AT14(Default for HDMI tx or EDP</t>
    </r>
    <r>
      <rPr>
        <sz val="11"/>
        <color theme="1"/>
        <rFont val="宋体"/>
        <family val="3"/>
        <charset val="134"/>
      </rPr>
      <t>）</t>
    </r>
    <phoneticPr fontId="2" type="noConversion"/>
  </si>
  <si>
    <r>
      <t>SAI4 data  output, iomux on Pin AT15(Default for HDMI tx or EDP</t>
    </r>
    <r>
      <rPr>
        <sz val="11"/>
        <color theme="1"/>
        <rFont val="宋体"/>
        <family val="3"/>
        <charset val="134"/>
      </rPr>
      <t>）</t>
    </r>
    <phoneticPr fontId="2" type="noConversion"/>
  </si>
  <si>
    <r>
      <t>SAI4 serial clock or Bclock(Default for Play and Record), iomux on Pin AR14(Default for HDMI tx or EDP</t>
    </r>
    <r>
      <rPr>
        <sz val="11"/>
        <color theme="1"/>
        <rFont val="宋体"/>
        <family val="3"/>
        <charset val="134"/>
      </rPr>
      <t>）</t>
    </r>
    <phoneticPr fontId="2" type="noConversion"/>
  </si>
  <si>
    <r>
      <t>SAI4 left/right channel clock(Default for Play and Record), iomux on Pin AR13(Default for HDMI tx or EDP</t>
    </r>
    <r>
      <rPr>
        <sz val="11"/>
        <color theme="1"/>
        <rFont val="宋体"/>
        <family val="3"/>
        <charset val="134"/>
      </rPr>
      <t>）</t>
    </r>
    <phoneticPr fontId="2" type="noConversion"/>
  </si>
  <si>
    <t>ARM JTAG Mode select, iomux on Pin V32</t>
    <phoneticPr fontId="2" type="noConversion"/>
  </si>
  <si>
    <t>ISP control PRELIGHT TRIG, iomux on Pin A10</t>
    <phoneticPr fontId="2" type="noConversion"/>
  </si>
  <si>
    <t>ISP control FLASHTRIGOUT, iomux on Pin A8</t>
    <phoneticPr fontId="2" type="noConversion"/>
  </si>
  <si>
    <t>ISP control FLASHTRIGOUT, iomux on Pin AP32</t>
    <phoneticPr fontId="2" type="noConversion"/>
  </si>
  <si>
    <t>SATA1 LED control output, iomux on Pin A7</t>
    <phoneticPr fontId="2" type="noConversion"/>
  </si>
  <si>
    <t>SATA0 LED control output, iomux on Pin 1D6</t>
    <phoneticPr fontId="2" type="noConversion"/>
  </si>
  <si>
    <t>MIPI Tearing, iomux on Pin A5</t>
    <phoneticPr fontId="2" type="noConversion"/>
  </si>
  <si>
    <t>MIPI Tearing, iomux on Pin B8</t>
    <phoneticPr fontId="2" type="noConversion"/>
  </si>
  <si>
    <t>UART11 transmit data, iomux on Pin B9</t>
    <phoneticPr fontId="2" type="noConversion"/>
  </si>
  <si>
    <t>UART0 receive data, iomux on Pin 1D8</t>
    <phoneticPr fontId="2" type="noConversion"/>
  </si>
  <si>
    <t>UART4 receive data, iomux on Pin AB32</t>
    <phoneticPr fontId="2" type="noConversion"/>
  </si>
  <si>
    <t>UART1 receive data, iomux on Pin Y32</t>
    <phoneticPr fontId="2" type="noConversion"/>
  </si>
  <si>
    <t>UART8 receive data, iomux on Pin W32</t>
    <phoneticPr fontId="2" type="noConversion"/>
  </si>
  <si>
    <t>UART0 receive data, iomux on Pin V32</t>
    <phoneticPr fontId="2" type="noConversion"/>
  </si>
  <si>
    <t>UART2 receive data, iomux on Pin 1AF11</t>
    <phoneticPr fontId="2" type="noConversion"/>
  </si>
  <si>
    <t>UART11 receive data, iomux on Pin A10</t>
    <phoneticPr fontId="2" type="noConversion"/>
  </si>
  <si>
    <t>UART9 receive data, iomux on Pin AP32</t>
    <phoneticPr fontId="2" type="noConversion"/>
  </si>
  <si>
    <t>UART7 clear to send, iomux on Pin AR18</t>
    <phoneticPr fontId="2" type="noConversion"/>
  </si>
  <si>
    <t>UART3 clear to send, iomux on Pin 1V21</t>
    <phoneticPr fontId="2" type="noConversion"/>
  </si>
  <si>
    <t>UART9 clear to send, iomux on Pin AK32</t>
    <phoneticPr fontId="2" type="noConversion"/>
  </si>
  <si>
    <t>PDM clock 1 ouput, iomux on Pin AR18</t>
    <phoneticPr fontId="2" type="noConversion"/>
  </si>
  <si>
    <t>PDM_CLK1_M2</t>
    <phoneticPr fontId="2" type="noConversion"/>
  </si>
  <si>
    <t>PDM_SDI1_M2</t>
    <phoneticPr fontId="2" type="noConversion"/>
  </si>
  <si>
    <t>PDM data 2 input, iomux on Pin A4</t>
    <phoneticPr fontId="2" type="noConversion"/>
  </si>
  <si>
    <t>PDM_SDI2_M1</t>
    <phoneticPr fontId="2" type="noConversion"/>
  </si>
  <si>
    <t>PDM data 1 input, iomux on Pin 1AF11</t>
    <phoneticPr fontId="2" type="noConversion"/>
  </si>
  <si>
    <t>SDMMC0 detect input, iomux on Pin T33</t>
    <phoneticPr fontId="2" type="noConversion"/>
  </si>
  <si>
    <t>SDMMC0 detect input, iomux on Pin 1C6</t>
    <phoneticPr fontId="2" type="noConversion"/>
  </si>
  <si>
    <t>SDMMC1 data 0, iomux on Pin AR14</t>
    <phoneticPr fontId="2" type="noConversion"/>
  </si>
  <si>
    <t>SDMMC0 data 0, iomux on Pin 1D8</t>
    <phoneticPr fontId="2" type="noConversion"/>
  </si>
  <si>
    <t>SDMMC0 data 1, iomux on Pin 1A10</t>
    <phoneticPr fontId="2" type="noConversion"/>
  </si>
  <si>
    <t>SDMMC0 data 2, iomux on Pin B11</t>
    <phoneticPr fontId="2" type="noConversion"/>
  </si>
  <si>
    <t>SDMMC0 data 3, iomux on Pin 1A8</t>
    <phoneticPr fontId="2" type="noConversion"/>
  </si>
  <si>
    <t>SDMMC0 data 0, iomux on Pin A11</t>
    <phoneticPr fontId="2" type="noConversion"/>
  </si>
  <si>
    <t>SDMMC0 data 1, iomux on Pin B10</t>
    <phoneticPr fontId="2" type="noConversion"/>
  </si>
  <si>
    <t>SDMMC0 data 2, iomux on Pin B9</t>
    <phoneticPr fontId="2" type="noConversion"/>
  </si>
  <si>
    <t>SDMMC0 data 3, iomux on Pin A10</t>
    <phoneticPr fontId="2" type="noConversion"/>
  </si>
  <si>
    <t>SDMMC0 command, iomux on Pin 1B8</t>
    <phoneticPr fontId="2" type="noConversion"/>
  </si>
  <si>
    <t>SDMMC0 command, iomux on Pin A8</t>
    <phoneticPr fontId="2" type="noConversion"/>
  </si>
  <si>
    <t>SDMMC0 power enable, iomux on Pin AB33</t>
    <phoneticPr fontId="2" type="noConversion"/>
  </si>
  <si>
    <t>SDMMC0 power enable, iomux on Pin 1D6</t>
    <phoneticPr fontId="2" type="noConversion"/>
  </si>
  <si>
    <t>Audio DSM negative  differential right channel data, iomux on Pin AR32</t>
    <phoneticPr fontId="2" type="noConversion"/>
  </si>
  <si>
    <t>32.768K clock input, iomux on Pin 1K22</t>
    <phoneticPr fontId="2" type="noConversion"/>
  </si>
  <si>
    <t>32.768K clock output, iomux on Pin 1K22</t>
    <phoneticPr fontId="2" type="noConversion"/>
  </si>
  <si>
    <t>32.768K clock output, iomux on Pin AR18</t>
    <phoneticPr fontId="2" type="noConversion"/>
  </si>
  <si>
    <t>SATA cold presence power-on output, iomux on Pin 1AE11</t>
    <phoneticPr fontId="2" type="noConversion"/>
  </si>
  <si>
    <t>SATA cold presence detect input, iomux on Pin AR17</t>
    <phoneticPr fontId="2" type="noConversion"/>
  </si>
  <si>
    <t>SATA cold presence power-on output, iomux on Pin 1AD11</t>
    <phoneticPr fontId="2" type="noConversion"/>
  </si>
  <si>
    <t>SATA cold presence detect input, iomux on Pin 1AD9</t>
    <phoneticPr fontId="2" type="noConversion"/>
  </si>
  <si>
    <t>SATA mechanical presence switch input, iomux on Pin 1AE9</t>
    <phoneticPr fontId="2" type="noConversion"/>
  </si>
  <si>
    <t>SATA mechanical presence switch input, iomux on Pin AH33</t>
    <phoneticPr fontId="2" type="noConversion"/>
  </si>
  <si>
    <t>SATA cold presence power-on output, iomux on Pin AC32</t>
    <phoneticPr fontId="2" type="noConversion"/>
  </si>
  <si>
    <t>SATA cold presence detect input, iomux on Pin 1AB22</t>
    <phoneticPr fontId="2" type="noConversion"/>
  </si>
  <si>
    <t>SATA mechanical presence switch input, iomux on Pin AM32</t>
    <phoneticPr fontId="2" type="noConversion"/>
  </si>
  <si>
    <t>SATA cold presence power-on output, iomux on Pin 1AD23</t>
    <phoneticPr fontId="2" type="noConversion"/>
  </si>
  <si>
    <t>SATA cold presence detect input, iomux on Pin 1AD22</t>
    <phoneticPr fontId="2" type="noConversion"/>
  </si>
  <si>
    <t>SATA mechanical presence switch input, iomux on Pin 1AF7</t>
    <phoneticPr fontId="2" type="noConversion"/>
  </si>
  <si>
    <t>SATA0 LED control output, iomux on Pin AP32</t>
    <phoneticPr fontId="2" type="noConversion"/>
  </si>
  <si>
    <t>SATA1 LED control output, iomux on Pin AP33</t>
    <phoneticPr fontId="2" type="noConversion"/>
  </si>
  <si>
    <t>E-book interface data 4</t>
    <phoneticPr fontId="2" type="noConversion"/>
  </si>
  <si>
    <t>E-book interface data 16</t>
    <phoneticPr fontId="2" type="noConversion"/>
  </si>
  <si>
    <t>E-book interface data 17</t>
    <phoneticPr fontId="2" type="noConversion"/>
  </si>
  <si>
    <t>E-book interface data 18</t>
    <phoneticPr fontId="2" type="noConversion"/>
  </si>
  <si>
    <t>E-book interface data 19</t>
    <phoneticPr fontId="2" type="noConversion"/>
  </si>
  <si>
    <t>E-book interface data 20</t>
    <phoneticPr fontId="2" type="noConversion"/>
  </si>
  <si>
    <t>E-book interface data 21</t>
    <phoneticPr fontId="2" type="noConversion"/>
  </si>
  <si>
    <t>E-book interface data 22</t>
    <phoneticPr fontId="2" type="noConversion"/>
  </si>
  <si>
    <t>E-book interface data 23</t>
    <phoneticPr fontId="2" type="noConversion"/>
  </si>
  <si>
    <t>GMAC1 PTP clock input from an external reference clock source, iomux on Pin 1AF7</t>
    <phoneticPr fontId="2" type="noConversion"/>
  </si>
  <si>
    <t>VO_EBC_BORDER0</t>
    <phoneticPr fontId="2" type="noConversion"/>
  </si>
  <si>
    <t>E-book interface board controller</t>
  </si>
  <si>
    <t>E-book interface board controller</t>
    <phoneticPr fontId="2" type="noConversion"/>
  </si>
  <si>
    <t>Camera0 master clock output, iomux on Pin 1A6</t>
    <phoneticPr fontId="2" type="noConversion"/>
  </si>
  <si>
    <t>Camera1 master clock output, iomux on Pin 1B6</t>
    <phoneticPr fontId="2" type="noConversion"/>
  </si>
  <si>
    <t>Camera2 master clock output, iomux on Pin B8</t>
    <phoneticPr fontId="2" type="noConversion"/>
  </si>
  <si>
    <t>GPIO</t>
    <phoneticPr fontId="12" type="noConversion"/>
  </si>
  <si>
    <t>GMAC1 PPS clock output, iomux on Pin 1AE11</t>
    <phoneticPr fontId="2" type="noConversion"/>
  </si>
  <si>
    <t>GMAC1 PPS clock trigger, iomux on Pin AR17</t>
    <phoneticPr fontId="2" type="noConversion"/>
  </si>
  <si>
    <t>GMAC0 PPS clock output, iomux on Pin 1D3</t>
    <phoneticPr fontId="2" type="noConversion"/>
  </si>
  <si>
    <t>GMAC0 PPS clock trigger, iomux on Pin A4</t>
    <phoneticPr fontId="2" type="noConversion"/>
  </si>
  <si>
    <t>NOR or NAND SPI Flash 1 chip select 0, iomux on Pin 1B8</t>
    <phoneticPr fontId="2" type="noConversion"/>
  </si>
  <si>
    <t>NOR or NAND SPI Flash 1 chip reset, iomux on Pin B7</t>
    <phoneticPr fontId="2" type="noConversion"/>
  </si>
  <si>
    <t>SDMMC0_PWREN_M0</t>
    <phoneticPr fontId="2" type="noConversion"/>
  </si>
  <si>
    <t>PWM1_CH2_M0/SDMMC1_DETN_M1/SDMMC0_PWREN_M0/HDMI_TX_HPDIN_M1/EDP_TX_HPDIN_M1/GPIO0_B6_d</t>
    <phoneticPr fontId="2" type="noConversion"/>
  </si>
  <si>
    <t>RFU3</t>
    <phoneticPr fontId="2" type="noConversion"/>
  </si>
  <si>
    <t>Floating,No used</t>
    <phoneticPr fontId="2" type="noConversion"/>
  </si>
  <si>
    <t>RFU3</t>
    <phoneticPr fontId="2" type="noConversion"/>
  </si>
  <si>
    <t>RFU3</t>
    <phoneticPr fontId="2" type="noConversion"/>
  </si>
  <si>
    <t>SDMMC0_PWREN_M0</t>
    <phoneticPr fontId="2" type="noConversion"/>
  </si>
  <si>
    <t>LP5X_CLKN_A</t>
    <phoneticPr fontId="2" type="noConversion"/>
  </si>
  <si>
    <t>LP5X clock negative  of channel A</t>
    <phoneticPr fontId="2" type="noConversion"/>
  </si>
  <si>
    <t>HDMI TX I2C bus clock</t>
    <phoneticPr fontId="2" type="noConversion"/>
  </si>
  <si>
    <t>HDMI TX I2C bus data/address</t>
    <phoneticPr fontId="2" type="noConversion"/>
  </si>
  <si>
    <t>HDMI TX CEC, iomux on Pin W33</t>
    <phoneticPr fontId="12" type="noConversion"/>
  </si>
  <si>
    <t>NOR or NAND SPI Flash 0 chip select 0</t>
    <phoneticPr fontId="2" type="noConversion"/>
  </si>
  <si>
    <t>FSPI0 reset</t>
    <phoneticPr fontId="2" type="noConversion"/>
  </si>
  <si>
    <t>Audio DSM positive differential left channel data, iomux on Pin 1D8</t>
    <phoneticPr fontId="2" type="noConversion"/>
  </si>
  <si>
    <t>SPDIF receive 0, iomux on Pin A5</t>
    <phoneticPr fontId="2" type="noConversion"/>
  </si>
  <si>
    <t>PCIE0_CLKREQN_M1/SPI1_MISO_M0/UART3_CTSN_M2/SAI4_SDI_M1/SDMMC1_D2/ETH1_RXCLK_M1/GPIO1_B6_d</t>
    <phoneticPr fontId="2" type="noConversion"/>
  </si>
  <si>
    <t>PCIE0_CLKREQN_M1</t>
    <phoneticPr fontId="2" type="noConversion"/>
  </si>
  <si>
    <t>PCIe21 PORT0 reference clock request, iomux on Pin AT14</t>
    <phoneticPr fontId="2" type="noConversion"/>
  </si>
  <si>
    <t>PCIE1_CLKREQN_M2</t>
    <phoneticPr fontId="2" type="noConversion"/>
  </si>
  <si>
    <t>PCIE0_CLKREQN_M0/ISP_FLASH_TRIGOUT_M0/PWM1_CH2_M2/I2C7_SCL_M1/SPI1_MOSI_M1/UART1_CTSN_M1/VI_CIF_D3/PDM_SDI2_M3/SAI0_SCLK_M0/SDMMC0_CMD_M1/FSPI1_D3_M1/ETH0_MCLK/GPIO2_D0_d</t>
    <phoneticPr fontId="2" type="noConversion"/>
  </si>
  <si>
    <t>PCIE0_CLKREQN_M0</t>
    <phoneticPr fontId="2" type="noConversion"/>
  </si>
  <si>
    <t>PCIe21 PORT1 reference clock request, iomux on Pin AR14</t>
    <phoneticPr fontId="2" type="noConversion"/>
  </si>
  <si>
    <t>PCIe21 PORT1 reference clock request, iomux on Pin 1D2</t>
    <phoneticPr fontId="2" type="noConversion"/>
  </si>
  <si>
    <t>PCIe21 PORT0 reference clock request, iomux on Pin 1AE21</t>
    <phoneticPr fontId="2" type="noConversion"/>
  </si>
  <si>
    <t>PCIe21 PORT0 reference clock request, iomux on Pin A8</t>
    <phoneticPr fontId="2" type="noConversion"/>
  </si>
  <si>
    <t>SPDIF receive 0, iomux on Pin 1AD7</t>
    <phoneticPr fontId="2" type="noConversion"/>
  </si>
  <si>
    <t>SPDIF receive 0, iomux on Pin B8</t>
    <phoneticPr fontId="2" type="noConversion"/>
  </si>
  <si>
    <t>E-book interface shift register direction controller</t>
    <phoneticPr fontId="2" type="noConversion"/>
  </si>
  <si>
    <t>GMAC1 PTP clock input from an external reference clock source, iomux on Pin AL33</t>
    <phoneticPr fontId="2" type="noConversion"/>
  </si>
  <si>
    <t>UART5 request to send, iomux on Pin AM32</t>
    <phoneticPr fontId="2" type="noConversion"/>
  </si>
  <si>
    <t>UART6 request to send, iomux on Pin AT32</t>
    <phoneticPr fontId="2" type="noConversion"/>
  </si>
  <si>
    <t>UART9 request to send, iomux on Pin AN32</t>
    <phoneticPr fontId="2" type="noConversion"/>
  </si>
  <si>
    <t>I3C_SCL_M0</t>
    <phoneticPr fontId="2" type="noConversion"/>
  </si>
  <si>
    <t>I3C_SDA_M0</t>
    <phoneticPr fontId="2" type="noConversion"/>
  </si>
  <si>
    <t>I3C_SDA_PU_M0</t>
    <phoneticPr fontId="2" type="noConversion"/>
  </si>
  <si>
    <t>I3C_SDA_PU_M1</t>
    <phoneticPr fontId="2" type="noConversion"/>
  </si>
  <si>
    <t>I3C_SCL_M1</t>
    <phoneticPr fontId="2" type="noConversion"/>
  </si>
  <si>
    <t>I3C_SDA_M1</t>
    <phoneticPr fontId="2" type="noConversion"/>
  </si>
  <si>
    <t>I3C bus clock, iomux on Pin Y33</t>
    <phoneticPr fontId="2" type="noConversion"/>
  </si>
  <si>
    <t>I3C bus data/adress, iomux on Pin W32</t>
    <phoneticPr fontId="2" type="noConversion"/>
  </si>
  <si>
    <t>I3C control signal for Open Drain Pull-Up and High-Keeper, iomux on Pin 1T21</t>
    <phoneticPr fontId="2" type="noConversion"/>
  </si>
  <si>
    <t>I3C control signal for Open Drain Pull-Up and High-Keeper, iomux on Pin 1AD11</t>
    <phoneticPr fontId="2" type="noConversion"/>
  </si>
  <si>
    <t>I3C bus clock, iomux on Pin 1AD9</t>
    <phoneticPr fontId="2" type="noConversion"/>
  </si>
  <si>
    <t>I3C bus data/adress, iomux on Pin 1AE9</t>
    <phoneticPr fontId="2" type="noConversion"/>
  </si>
  <si>
    <t>I3C_SCL_M0/I2C0_SCL_M1/UART8_TX_M1/GPIO0_C1_d</t>
    <phoneticPr fontId="2" type="noConversion"/>
  </si>
  <si>
    <t>I3C_SDA_M0/I2C0_SDA_M1/UART8_RX_M1/GPIO0_C2_d</t>
    <phoneticPr fontId="2" type="noConversion"/>
  </si>
  <si>
    <t>I3C_SDA_PU_M0/UART10_RX_M2/SAI0_SDO0_M1/GPIO0_C5_d</t>
    <phoneticPr fontId="2" type="noConversion"/>
  </si>
  <si>
    <t>SATA1_CPPOD_M0/I3C_SDA_PU_M1/UART7_RX_M0/SAI2_SCLK_M0/ETH1_RXCTL_M1/GPIO1_D1_d</t>
    <phoneticPr fontId="2" type="noConversion"/>
  </si>
  <si>
    <t>SATA1_CPDET_M0/PWM1_CH3_M1/I3C_SCL_M1/SAI2_LRCK_M0/ETH1_MDC_M1/GPIO1_D2_d</t>
    <phoneticPr fontId="2" type="noConversion"/>
  </si>
  <si>
    <t>I3C_SDA_M0</t>
    <phoneticPr fontId="2" type="noConversion"/>
  </si>
  <si>
    <t>I3C_SDA_M0/I2C0_SDA_M1/UART8_RX_M1/GPIO0_C2_d</t>
    <phoneticPr fontId="2" type="noConversion"/>
  </si>
  <si>
    <t>I3C_SCL_M1</t>
    <phoneticPr fontId="2" type="noConversion"/>
  </si>
  <si>
    <t>SATA1_CPPOD_M0/I3C_SDA_PU_M1/UART7_RX_M0/SAI2_SCLK_M0/ETH1_RXCTL_M1/GPIO1_D1_d</t>
    <phoneticPr fontId="2" type="noConversion"/>
  </si>
  <si>
    <t>SATA1_CPDET_M0/PWM1_CH3_M1/I3C_SCL_M1/SAI2_LRCK_M0/ETH1_MDC_M1/GPIO1_D2_d</t>
    <phoneticPr fontId="2" type="noConversion"/>
  </si>
  <si>
    <t>SATA1_MPSWIT_M0/PWM1_CH4_M1/I3C_SDA_M1/SAI2_SDI_M0/ETH1_MDIO_M1/GPIO1_D3_d</t>
    <phoneticPr fontId="2" type="noConversion"/>
  </si>
  <si>
    <t>SATA1_MPSWIT_M0/PWM1_CH4_M1/I3C_SDA_M1/SAI2_SDI_M0/ETH1_MDIO_M1/GPIO1_D3_d</t>
    <phoneticPr fontId="2" type="noConversion"/>
  </si>
  <si>
    <t>DDRPHY_PLL_DVDD</t>
    <phoneticPr fontId="2" type="noConversion"/>
  </si>
  <si>
    <t>Power for DDR PLL Anolog, V=0.75V-0.85V</t>
    <phoneticPr fontId="2" type="noConversion"/>
  </si>
  <si>
    <t>DDRPHY_DVDD_5</t>
    <phoneticPr fontId="2" type="noConversion"/>
  </si>
  <si>
    <t>DDRPHY_DVDD_6</t>
    <phoneticPr fontId="2" type="noConversion"/>
  </si>
  <si>
    <t>DDRPHY_VDDQH</t>
    <phoneticPr fontId="2" type="noConversion"/>
  </si>
  <si>
    <t>Power for CKE of LP4/4X, CS of LP5 and reset. LPDDR4/4X=1.1V,LPDDR5/5x=1.05V</t>
    <phoneticPr fontId="2" type="noConversion"/>
  </si>
  <si>
    <t>Power for CK; LPDDR4=0.75V,LPDDR4X=0.6V, LPDDR5/5X=0.5V</t>
    <phoneticPr fontId="2" type="noConversion"/>
  </si>
  <si>
    <t>Power for pads except for CKE of LP4/4X, CS of LP5 and reset; LPDDR4=0.75V;LPDDR4X=0.6V, LPDDR5=0.5V</t>
  </si>
  <si>
    <t>Power for pads except for CKE of LP4/4X, CS of LP5 and reset; LPDDR4=0.75V;LPDDR4X=0.6V, LPDDR5=0.5V</t>
    <phoneticPr fontId="2" type="noConversion"/>
  </si>
  <si>
    <t>DDRPHY_CK_VDDQ</t>
    <phoneticPr fontId="2" type="noConversion"/>
  </si>
  <si>
    <t>DDRPHY_CK_VDDQ</t>
    <phoneticPr fontId="2" type="noConversion"/>
  </si>
  <si>
    <t>DDRPHY_VDDQ_0</t>
    <phoneticPr fontId="2" type="noConversion"/>
  </si>
  <si>
    <t>DDRPHY_VDDQ_1</t>
    <phoneticPr fontId="2" type="noConversion"/>
  </si>
  <si>
    <t>DDRPHY_VDDQ_2</t>
    <phoneticPr fontId="2" type="noConversion"/>
  </si>
  <si>
    <t>GMAC0 PTP clock input from an external reference clock source, iomux on Pin B4</t>
    <phoneticPr fontId="2" type="noConversion"/>
  </si>
  <si>
    <t>SATA30_PORT0_ACTLED_M0/PWM1_CH3_M2/I2C6_SCL_M2/SPI1_CSN0_M1/UART1_TX_M1/VI_CIF_D1/SAI0_SDO0_M0/SDMMC0_PWREN_M1/FSPI1_D1_M1/ETH0_RXD0/GPIO2_D2_d</t>
    <phoneticPr fontId="2" type="noConversion"/>
  </si>
  <si>
    <t>RFU, keep floating</t>
    <phoneticPr fontId="12" type="noConversion"/>
  </si>
  <si>
    <t>RFU, keep floating</t>
    <phoneticPr fontId="2" type="noConversion"/>
  </si>
  <si>
    <t>PCIE0_SATA0_USB_DRD1_AVDD0V85</t>
    <phoneticPr fontId="2" type="noConversion"/>
  </si>
  <si>
    <r>
      <rPr>
        <sz val="48"/>
        <rFont val="微软雅黑"/>
        <family val="2"/>
        <charset val="134"/>
      </rPr>
      <t>RK3572 Ball Assign</t>
    </r>
    <r>
      <rPr>
        <sz val="11"/>
        <rFont val="等线"/>
        <family val="3"/>
        <charset val="134"/>
        <scheme val="minor"/>
      </rPr>
      <t xml:space="preserve">
</t>
    </r>
    <r>
      <rPr>
        <sz val="36"/>
        <rFont val="微软雅黑"/>
        <family val="2"/>
        <charset val="134"/>
      </rPr>
      <t>15.5x14.3mm_Mix_0.42pitch_0.52pitch_0.65pitch_ Balls
NOTE：Blue part: 0.42pitch；Green part: 0.52pitch；Orange part: 0.65pitch</t>
    </r>
    <phoneticPr fontId="12" type="noConversion"/>
  </si>
  <si>
    <t>Default  IO PULL</t>
    <phoneticPr fontId="2" type="noConversion"/>
  </si>
  <si>
    <t xml:space="preserve">Pin List and Pin Information  </t>
    <phoneticPr fontId="6" type="noConversion"/>
  </si>
  <si>
    <t>Revision:   V1.0</t>
    <phoneticPr fontId="6" type="noConversion"/>
  </si>
  <si>
    <t>Date:          2026/04/09</t>
    <phoneticPr fontId="6" type="noConversion"/>
  </si>
  <si>
    <t>Status:      Release</t>
    <phoneticPr fontId="6" type="noConversion"/>
  </si>
  <si>
    <t>V1.0</t>
    <phoneticPr fontId="12" type="noConversion"/>
  </si>
  <si>
    <t>2026.04.09</t>
    <phoneticPr fontId="12" type="noConversion"/>
  </si>
  <si>
    <t>G</t>
    <phoneticPr fontId="2" type="noConversion"/>
  </si>
  <si>
    <t>First Release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</si>
</sst>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14809]dd/mm/yyyy;@"/>
    <numFmt numFmtId="177" formatCode="0_);\(0\)"/>
  </numFmts>
  <fonts count="51">
    <font>
      <sz val="11"/>
      <color theme="1"/>
      <name val="等线"/>
      <family val="2"/>
      <charset val="134"/>
      <scheme val="minor"/>
    </font>
    <font>
      <sz val="11"/>
      <color theme="1"/>
      <name val="等线"/>
      <family val="2"/>
      <charset val="134"/>
      <scheme val="minor"/>
    </font>
    <font>
      <sz val="9"/>
      <name val="等线"/>
      <family val="2"/>
      <charset val="134"/>
      <scheme val="minor"/>
    </font>
    <font>
      <sz val="11"/>
      <color theme="1"/>
      <name val="等线"/>
      <family val="2"/>
      <scheme val="minor"/>
    </font>
    <font>
      <b/>
      <i/>
      <sz val="12"/>
      <color indexed="10"/>
      <name val="微软雅黑"/>
      <family val="2"/>
      <charset val="134"/>
    </font>
    <font>
      <b/>
      <i/>
      <sz val="14"/>
      <color rgb="FF0066FF"/>
      <name val="Arial"/>
      <family val="2"/>
    </font>
    <font>
      <sz val="9"/>
      <name val="宋体"/>
      <family val="3"/>
      <charset val="134"/>
    </font>
    <font>
      <b/>
      <sz val="26"/>
      <color indexed="48"/>
      <name val="Arial"/>
      <family val="2"/>
    </font>
    <font>
      <sz val="11"/>
      <color theme="1"/>
      <name val="Verdana"/>
      <family val="2"/>
    </font>
    <font>
      <b/>
      <i/>
      <sz val="12"/>
      <color indexed="10"/>
      <name val="Verdana"/>
      <family val="2"/>
    </font>
    <font>
      <b/>
      <i/>
      <sz val="14"/>
      <color rgb="FF0066FF"/>
      <name val="Verdana"/>
      <family val="2"/>
    </font>
    <font>
      <sz val="9"/>
      <name val="Verdana"/>
      <family val="2"/>
    </font>
    <font>
      <sz val="9"/>
      <name val="等线"/>
      <family val="3"/>
      <charset val="134"/>
      <scheme val="minor"/>
    </font>
    <font>
      <b/>
      <sz val="9"/>
      <color rgb="FF0071C5"/>
      <name val="Verdana"/>
      <family val="2"/>
    </font>
    <font>
      <b/>
      <sz val="16"/>
      <color rgb="FF0071C5"/>
      <name val="Verdana"/>
      <family val="2"/>
    </font>
    <font>
      <sz val="11"/>
      <name val="Verdana"/>
      <family val="2"/>
    </font>
    <font>
      <sz val="16"/>
      <name val="Verdana"/>
      <family val="2"/>
    </font>
    <font>
      <b/>
      <sz val="11"/>
      <name val="Verdana"/>
      <family val="2"/>
    </font>
    <font>
      <b/>
      <sz val="11"/>
      <color rgb="FF00B0F0"/>
      <name val="Verdana"/>
      <family val="2"/>
    </font>
    <font>
      <b/>
      <sz val="11"/>
      <color rgb="FFFFC000"/>
      <name val="Verdana"/>
      <family val="2"/>
    </font>
    <font>
      <sz val="10"/>
      <name val="Arial"/>
      <family val="2"/>
    </font>
    <font>
      <sz val="36"/>
      <name val="Arial Unicode MS"/>
      <family val="2"/>
      <charset val="134"/>
    </font>
    <font>
      <sz val="11"/>
      <color theme="1"/>
      <name val="等线"/>
      <family val="3"/>
      <charset val="134"/>
      <scheme val="minor"/>
    </font>
    <font>
      <sz val="11"/>
      <name val="等线"/>
      <family val="3"/>
      <charset val="134"/>
      <scheme val="minor"/>
    </font>
    <font>
      <sz val="11"/>
      <name val="Arial"/>
      <family val="2"/>
    </font>
    <font>
      <b/>
      <sz val="26"/>
      <name val="等线"/>
      <family val="3"/>
      <charset val="134"/>
      <scheme val="minor"/>
    </font>
    <font>
      <sz val="26"/>
      <name val="等线"/>
      <family val="3"/>
      <charset val="134"/>
      <scheme val="minor"/>
    </font>
    <font>
      <sz val="18"/>
      <color theme="1"/>
      <name val="等线"/>
      <family val="3"/>
      <charset val="134"/>
      <scheme val="minor"/>
    </font>
    <font>
      <sz val="12"/>
      <name val="新細明體"/>
      <family val="1"/>
    </font>
    <font>
      <sz val="24"/>
      <name val="Arial"/>
      <family val="2"/>
    </font>
    <font>
      <sz val="48"/>
      <name val="微软雅黑"/>
      <family val="2"/>
      <charset val="134"/>
    </font>
    <font>
      <sz val="36"/>
      <name val="微软雅黑"/>
      <family val="2"/>
      <charset val="134"/>
    </font>
    <font>
      <sz val="10"/>
      <name val="Arial Unicode MS"/>
      <family val="2"/>
      <charset val="134"/>
    </font>
    <font>
      <sz val="24"/>
      <name val="等线"/>
      <family val="3"/>
      <charset val="134"/>
      <scheme val="minor"/>
    </font>
    <font>
      <sz val="24"/>
      <name val="Arial Unicode MS"/>
      <family val="2"/>
      <charset val="134"/>
    </font>
    <font>
      <sz val="24"/>
      <color theme="1"/>
      <name val="Arial"/>
      <family val="2"/>
    </font>
    <font>
      <b/>
      <sz val="10"/>
      <name val="等线"/>
      <family val="3"/>
      <charset val="134"/>
    </font>
    <font>
      <b/>
      <sz val="10"/>
      <name val="Arial"/>
      <family val="2"/>
    </font>
    <font>
      <sz val="24"/>
      <color theme="1"/>
      <name val="等线"/>
      <family val="3"/>
      <charset val="134"/>
      <scheme val="minor"/>
    </font>
    <font>
      <b/>
      <sz val="11"/>
      <color theme="1"/>
      <name val="Verdana"/>
      <family val="2"/>
    </font>
    <font>
      <sz val="11"/>
      <color theme="1"/>
      <name val="宋体"/>
      <family val="3"/>
      <charset val="134"/>
    </font>
    <font>
      <sz val="11"/>
      <name val="宋体"/>
      <family val="3"/>
      <charset val="134"/>
    </font>
    <font>
      <sz val="11"/>
      <color rgb="FFFF0000"/>
      <name val="Verdana"/>
      <family val="2"/>
    </font>
    <font>
      <sz val="11"/>
      <name val="宋体"/>
      <family val="2"/>
      <charset val="134"/>
    </font>
    <font>
      <b/>
      <sz val="12"/>
      <name val="Verdana"/>
      <family val="2"/>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11"/>
      <color rgb="FFFF0000"/>
      <name val="等线"/>
      <family val="2"/>
      <scheme val="minor"/>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C4D8F2"/>
        <bgColor indexed="64"/>
      </patternFill>
    </fill>
    <fill>
      <patternFill patternType="solid">
        <fgColor rgb="FF00B050"/>
        <bgColor indexed="64"/>
      </patternFill>
    </fill>
    <fill>
      <patternFill patternType="solid">
        <fgColor rgb="FFDDEBF7"/>
        <bgColor indexed="64"/>
      </patternFill>
    </fill>
    <fill>
      <patternFill patternType="solid">
        <fgColor rgb="FFFFFFFF"/>
        <bgColor indexed="64"/>
      </patternFill>
    </fill>
    <fill>
      <patternFill patternType="solid">
        <fgColor theme="4" tint="0.79998168889431442"/>
        <bgColor indexed="64"/>
      </patternFill>
    </fill>
  </fills>
  <borders count="45">
    <border>
      <left/>
      <right/>
      <top/>
      <bottom/>
      <diagonal/>
    </border>
    <border>
      <left/>
      <right/>
      <top/>
      <bottom style="dashed">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thin">
        <color auto="1"/>
      </top>
      <bottom/>
      <diagonal/>
    </border>
    <border>
      <left style="thin">
        <color auto="1"/>
      </left>
      <right style="thin">
        <color auto="1"/>
      </right>
      <top style="thin">
        <color auto="1"/>
      </top>
      <bottom/>
      <diagonal/>
    </border>
    <border>
      <left style="medium">
        <color indexed="64"/>
      </left>
      <right style="thin">
        <color auto="1"/>
      </right>
      <top style="thin">
        <color auto="1"/>
      </top>
      <bottom/>
      <diagonal/>
    </border>
    <border>
      <left/>
      <right style="medium">
        <color indexed="64"/>
      </right>
      <top style="medium">
        <color indexed="64"/>
      </top>
      <bottom style="thin">
        <color auto="1"/>
      </bottom>
      <diagonal/>
    </border>
    <border>
      <left/>
      <right/>
      <top style="medium">
        <color indexed="64"/>
      </top>
      <bottom style="thin">
        <color auto="1"/>
      </bottom>
      <diagonal/>
    </border>
    <border>
      <left style="medium">
        <color indexed="64"/>
      </left>
      <right/>
      <top style="medium">
        <color indexed="64"/>
      </top>
      <bottom style="thin">
        <color auto="1"/>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bottom style="thin">
        <color auto="1"/>
      </bottom>
      <diagonal/>
    </border>
    <border>
      <left/>
      <right style="thin">
        <color auto="1"/>
      </right>
      <top style="medium">
        <color indexed="64"/>
      </top>
      <bottom style="thin">
        <color auto="1"/>
      </bottom>
      <diagonal/>
    </border>
    <border>
      <left style="thin">
        <color auto="1"/>
      </left>
      <right style="thin">
        <color auto="1"/>
      </right>
      <top style="medium">
        <color auto="1"/>
      </top>
      <bottom/>
      <diagonal/>
    </border>
    <border>
      <left style="thin">
        <color auto="1"/>
      </left>
      <right style="medium">
        <color auto="1"/>
      </right>
      <top/>
      <bottom style="thin">
        <color auto="1"/>
      </bottom>
      <diagonal/>
    </border>
    <border>
      <left style="medium">
        <color auto="1"/>
      </left>
      <right style="thin">
        <color auto="1"/>
      </right>
      <top/>
      <bottom/>
      <diagonal/>
    </border>
    <border>
      <left style="thin">
        <color auto="1"/>
      </left>
      <right style="medium">
        <color auto="1"/>
      </right>
      <top/>
      <bottom/>
      <diagonal/>
    </border>
    <border>
      <left/>
      <right style="medium">
        <color indexed="64"/>
      </right>
      <top/>
      <bottom/>
      <diagonal/>
    </border>
    <border>
      <left style="medium">
        <color indexed="64"/>
      </left>
      <right/>
      <top/>
      <bottom/>
      <diagonal/>
    </border>
    <border>
      <left/>
      <right style="thin">
        <color auto="1"/>
      </right>
      <top/>
      <bottom style="thin">
        <color auto="1"/>
      </bottom>
      <diagonal/>
    </border>
    <border>
      <left/>
      <right style="thin">
        <color auto="1"/>
      </right>
      <top style="thin">
        <color auto="1"/>
      </top>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top style="medium">
        <color auto="1"/>
      </top>
      <bottom/>
      <diagonal/>
    </border>
    <border>
      <left style="medium">
        <color indexed="64"/>
      </left>
      <right/>
      <top style="medium">
        <color indexed="64"/>
      </top>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s>
  <cellStyleXfs count="8">
    <xf numFmtId="0" fontId="0" fillId="0" borderId="0">
      <alignment vertical="center"/>
    </xf>
    <xf numFmtId="0" fontId="3" fillId="0" borderId="0"/>
    <xf numFmtId="176" fontId="1" fillId="0" borderId="0">
      <alignment vertical="center"/>
    </xf>
    <xf numFmtId="176" fontId="20" fillId="0" borderId="0"/>
    <xf numFmtId="176" fontId="22" fillId="0" borderId="0"/>
    <xf numFmtId="176" fontId="28" fillId="0" borderId="0"/>
    <xf numFmtId="176" fontId="22" fillId="0" borderId="0"/>
    <xf numFmtId="176" fontId="20" fillId="0" borderId="0">
      <alignment vertical="center"/>
    </xf>
  </cellStyleXfs>
  <cellXfs count="324">
    <xf numFmtId="0" fontId="0" fillId="0" borderId="0" xfId="0">
      <alignment vertical="center"/>
    </xf>
    <xf numFmtId="0" fontId="3" fillId="0" borderId="0" xfId="1"/>
    <xf numFmtId="0" fontId="3" fillId="2" borderId="0" xfId="1" applyFill="1"/>
    <xf numFmtId="0" fontId="4" fillId="2" borderId="0" xfId="1" applyFont="1" applyFill="1"/>
    <xf numFmtId="0" fontId="5" fillId="2" borderId="0" xfId="1" applyFont="1" applyFill="1" applyAlignment="1">
      <alignment horizontal="left"/>
    </xf>
    <xf numFmtId="0" fontId="5" fillId="2" borderId="0" xfId="1" applyFont="1" applyFill="1" applyAlignment="1">
      <alignment horizontal="right"/>
    </xf>
    <xf numFmtId="0" fontId="3" fillId="2" borderId="1" xfId="1" applyFill="1" applyBorder="1"/>
    <xf numFmtId="0" fontId="7" fillId="2" borderId="0" xfId="1" applyFont="1" applyFill="1"/>
    <xf numFmtId="0" fontId="8" fillId="0" borderId="0" xfId="1" applyFont="1"/>
    <xf numFmtId="0" fontId="8" fillId="0" borderId="0" xfId="1" applyFont="1" applyAlignment="1">
      <alignment horizontal="center"/>
    </xf>
    <xf numFmtId="0" fontId="8" fillId="2" borderId="2" xfId="1" applyFont="1" applyFill="1" applyBorder="1" applyAlignment="1">
      <alignment horizontal="center"/>
    </xf>
    <xf numFmtId="0" fontId="8" fillId="2" borderId="2" xfId="1" applyFont="1" applyFill="1" applyBorder="1"/>
    <xf numFmtId="0" fontId="9" fillId="2" borderId="2" xfId="1" applyFont="1" applyFill="1" applyBorder="1" applyAlignment="1">
      <alignment horizontal="center"/>
    </xf>
    <xf numFmtId="0" fontId="10" fillId="2" borderId="2" xfId="1" applyFont="1" applyFill="1" applyBorder="1" applyAlignment="1">
      <alignment horizontal="center"/>
    </xf>
    <xf numFmtId="14" fontId="11" fillId="2" borderId="2" xfId="1" applyNumberFormat="1" applyFont="1" applyFill="1" applyBorder="1" applyAlignment="1">
      <alignment horizontal="center" vertical="center" wrapText="1"/>
    </xf>
    <xf numFmtId="49" fontId="11" fillId="2" borderId="2" xfId="1" applyNumberFormat="1" applyFont="1" applyFill="1" applyBorder="1" applyAlignment="1">
      <alignment horizontal="center" vertical="center" wrapText="1"/>
    </xf>
    <xf numFmtId="49" fontId="11" fillId="2" borderId="2" xfId="1" applyNumberFormat="1" applyFont="1" applyFill="1" applyBorder="1" applyAlignment="1">
      <alignment horizontal="left" vertical="center" wrapText="1"/>
    </xf>
    <xf numFmtId="2" fontId="11" fillId="2" borderId="2" xfId="1" applyNumberFormat="1" applyFont="1" applyFill="1" applyBorder="1" applyAlignment="1">
      <alignment horizontal="center" vertical="center" wrapText="1"/>
    </xf>
    <xf numFmtId="2" fontId="11" fillId="2" borderId="3" xfId="1" applyNumberFormat="1" applyFont="1" applyFill="1" applyBorder="1" applyAlignment="1">
      <alignment horizontal="center" vertical="center" wrapText="1"/>
    </xf>
    <xf numFmtId="0" fontId="13" fillId="2" borderId="2" xfId="1" applyFont="1" applyFill="1" applyBorder="1" applyAlignment="1">
      <alignment horizontal="center" vertical="center" wrapText="1"/>
    </xf>
    <xf numFmtId="0" fontId="13" fillId="2" borderId="3" xfId="1" applyFont="1" applyFill="1" applyBorder="1" applyAlignment="1">
      <alignment horizontal="center" vertical="center" wrapText="1"/>
    </xf>
    <xf numFmtId="0" fontId="15" fillId="3" borderId="6" xfId="2" applyNumberFormat="1" applyFont="1" applyFill="1" applyBorder="1" applyAlignment="1">
      <alignment horizontal="left" vertical="center"/>
    </xf>
    <xf numFmtId="0" fontId="15" fillId="3" borderId="8" xfId="2" applyNumberFormat="1" applyFont="1" applyFill="1" applyBorder="1" applyAlignment="1">
      <alignment horizontal="left" vertical="center"/>
    </xf>
    <xf numFmtId="0" fontId="15" fillId="3" borderId="14" xfId="2" applyNumberFormat="1" applyFont="1" applyFill="1" applyBorder="1" applyAlignment="1">
      <alignment horizontal="left" vertical="center"/>
    </xf>
    <xf numFmtId="0" fontId="15" fillId="3" borderId="14" xfId="2" applyNumberFormat="1" applyFont="1" applyFill="1" applyBorder="1" applyAlignment="1">
      <alignment horizontal="left" vertical="center" wrapText="1"/>
    </xf>
    <xf numFmtId="0" fontId="17" fillId="3" borderId="8" xfId="2" applyNumberFormat="1" applyFont="1" applyFill="1" applyBorder="1" applyAlignment="1">
      <alignment horizontal="left" vertical="center"/>
    </xf>
    <xf numFmtId="176" fontId="21" fillId="0" borderId="0" xfId="3" applyFont="1" applyAlignment="1">
      <alignment horizontal="center" vertical="center"/>
    </xf>
    <xf numFmtId="176" fontId="23" fillId="0" borderId="0" xfId="4" applyFont="1"/>
    <xf numFmtId="176" fontId="24" fillId="0" borderId="0" xfId="4" applyFont="1"/>
    <xf numFmtId="0" fontId="21" fillId="0" borderId="0" xfId="3" applyNumberFormat="1" applyFont="1" applyAlignment="1">
      <alignment horizontal="center" vertical="center"/>
    </xf>
    <xf numFmtId="0" fontId="23" fillId="0" borderId="0" xfId="4" applyNumberFormat="1" applyFont="1"/>
    <xf numFmtId="0" fontId="25" fillId="0" borderId="0" xfId="4" applyNumberFormat="1" applyFont="1" applyAlignment="1">
      <alignment horizontal="center" vertical="center"/>
    </xf>
    <xf numFmtId="0" fontId="26" fillId="0" borderId="0" xfId="4" applyNumberFormat="1" applyFont="1" applyAlignment="1">
      <alignment horizontal="center" vertical="center"/>
    </xf>
    <xf numFmtId="0" fontId="25" fillId="0" borderId="0" xfId="4" applyNumberFormat="1" applyFont="1" applyFill="1" applyAlignment="1">
      <alignment horizontal="center" vertical="center"/>
    </xf>
    <xf numFmtId="0" fontId="29" fillId="0" borderId="0" xfId="5" applyNumberFormat="1" applyFont="1" applyAlignment="1">
      <alignment vertical="center" wrapText="1"/>
    </xf>
    <xf numFmtId="0" fontId="23" fillId="0" borderId="0" xfId="4" applyNumberFormat="1" applyFont="1" applyBorder="1" applyAlignment="1">
      <alignment horizontal="center"/>
    </xf>
    <xf numFmtId="0" fontId="23" fillId="0" borderId="0" xfId="4" applyNumberFormat="1" applyFont="1" applyBorder="1" applyAlignment="1">
      <alignment horizontal="center" wrapText="1"/>
    </xf>
    <xf numFmtId="176" fontId="29" fillId="0" borderId="0" xfId="4" applyFont="1" applyAlignment="1">
      <alignment horizontal="center" vertical="center" wrapText="1"/>
    </xf>
    <xf numFmtId="176" fontId="29" fillId="0" borderId="0" xfId="4" applyFont="1" applyAlignment="1">
      <alignment horizontal="center" vertical="center"/>
    </xf>
    <xf numFmtId="176" fontId="29" fillId="0" borderId="0" xfId="4" applyNumberFormat="1" applyFont="1" applyAlignment="1">
      <alignment horizontal="center" vertical="center" wrapText="1"/>
    </xf>
    <xf numFmtId="176" fontId="29" fillId="0" borderId="0" xfId="5" applyNumberFormat="1" applyFont="1" applyAlignment="1">
      <alignment horizontal="center" vertical="center" wrapText="1"/>
    </xf>
    <xf numFmtId="176" fontId="24" fillId="0" borderId="0" xfId="4" applyFont="1" applyAlignment="1">
      <alignment horizontal="center" vertical="center" wrapText="1"/>
    </xf>
    <xf numFmtId="0" fontId="32" fillId="0" borderId="0" xfId="3" applyNumberFormat="1" applyFont="1" applyAlignment="1">
      <alignment horizontal="center" vertical="center"/>
    </xf>
    <xf numFmtId="0" fontId="29" fillId="0" borderId="0" xfId="5" applyNumberFormat="1" applyFont="1" applyAlignment="1">
      <alignment horizontal="center" vertical="center" wrapText="1"/>
    </xf>
    <xf numFmtId="0" fontId="0" fillId="5" borderId="4" xfId="4" applyNumberFormat="1" applyFont="1" applyFill="1" applyBorder="1" applyAlignment="1">
      <alignment horizontal="center" vertical="center" wrapText="1"/>
    </xf>
    <xf numFmtId="0" fontId="0" fillId="5" borderId="5" xfId="5" applyNumberFormat="1" applyFont="1" applyFill="1" applyBorder="1" applyAlignment="1">
      <alignment horizontal="center" vertical="center" wrapText="1"/>
    </xf>
    <xf numFmtId="0" fontId="0" fillId="5" borderId="5" xfId="4" applyNumberFormat="1" applyFont="1" applyFill="1" applyBorder="1" applyAlignment="1">
      <alignment horizontal="center" vertical="center" wrapText="1"/>
    </xf>
    <xf numFmtId="0" fontId="24" fillId="5" borderId="5" xfId="4" applyNumberFormat="1" applyFont="1" applyFill="1" applyBorder="1" applyAlignment="1">
      <alignment horizontal="center" vertical="center" wrapText="1"/>
    </xf>
    <xf numFmtId="0" fontId="0" fillId="5" borderId="26" xfId="4" applyNumberFormat="1" applyFont="1" applyFill="1" applyBorder="1" applyAlignment="1">
      <alignment horizontal="center" vertical="center" wrapText="1"/>
    </xf>
    <xf numFmtId="0" fontId="0" fillId="5" borderId="27" xfId="4" applyNumberFormat="1" applyFont="1" applyFill="1" applyBorder="1" applyAlignment="1">
      <alignment horizontal="center" vertical="center" wrapText="1"/>
    </xf>
    <xf numFmtId="0" fontId="0" fillId="5" borderId="6" xfId="4" applyNumberFormat="1" applyFont="1" applyFill="1" applyBorder="1" applyAlignment="1">
      <alignment horizontal="center" vertical="center" wrapText="1"/>
    </xf>
    <xf numFmtId="176" fontId="29" fillId="0" borderId="0" xfId="5" applyFont="1" applyAlignment="1">
      <alignment horizontal="center" vertical="center" wrapText="1"/>
    </xf>
    <xf numFmtId="0" fontId="0" fillId="5" borderId="7" xfId="5" applyNumberFormat="1" applyFont="1" applyFill="1" applyBorder="1" applyAlignment="1">
      <alignment horizontal="center" vertical="center" wrapText="1"/>
    </xf>
    <xf numFmtId="0" fontId="0" fillId="5" borderId="2" xfId="4" applyNumberFormat="1" applyFont="1" applyFill="1" applyBorder="1" applyAlignment="1">
      <alignment horizontal="center" vertical="center" wrapText="1"/>
    </xf>
    <xf numFmtId="0" fontId="0" fillId="5" borderId="10" xfId="4" applyNumberFormat="1" applyFont="1" applyFill="1" applyBorder="1" applyAlignment="1">
      <alignment horizontal="center" vertical="center" wrapText="1"/>
    </xf>
    <xf numFmtId="0" fontId="0" fillId="5" borderId="10" xfId="5" applyNumberFormat="1" applyFont="1" applyFill="1" applyBorder="1" applyAlignment="1">
      <alignment horizontal="center" vertical="center" wrapText="1"/>
    </xf>
    <xf numFmtId="0" fontId="0" fillId="5" borderId="28" xfId="4" applyNumberFormat="1" applyFont="1" applyFill="1" applyBorder="1" applyAlignment="1">
      <alignment horizontal="center" vertical="center" wrapText="1"/>
    </xf>
    <xf numFmtId="0" fontId="0" fillId="5" borderId="29" xfId="4" applyNumberFormat="1" applyFont="1" applyFill="1" applyBorder="1" applyAlignment="1">
      <alignment horizontal="center" vertical="center" wrapText="1"/>
    </xf>
    <xf numFmtId="0" fontId="24" fillId="5" borderId="10" xfId="4" applyNumberFormat="1" applyFont="1" applyFill="1" applyBorder="1" applyAlignment="1">
      <alignment horizontal="center" vertical="center" wrapText="1"/>
    </xf>
    <xf numFmtId="0" fontId="0" fillId="5" borderId="30" xfId="4" applyNumberFormat="1" applyFont="1" applyFill="1" applyBorder="1" applyAlignment="1">
      <alignment horizontal="center" vertical="center" wrapText="1"/>
    </xf>
    <xf numFmtId="0" fontId="0" fillId="5" borderId="24" xfId="4" applyNumberFormat="1" applyFont="1" applyFill="1" applyBorder="1" applyAlignment="1">
      <alignment horizontal="center" vertical="center" wrapText="1"/>
    </xf>
    <xf numFmtId="0" fontId="0" fillId="5" borderId="8" xfId="4" applyNumberFormat="1" applyFont="1" applyFill="1" applyBorder="1" applyAlignment="1">
      <alignment horizontal="center" vertical="center" wrapText="1"/>
    </xf>
    <xf numFmtId="0" fontId="0" fillId="5" borderId="14" xfId="5" applyNumberFormat="1" applyFont="1" applyFill="1" applyBorder="1" applyAlignment="1">
      <alignment horizontal="center" vertical="center" wrapText="1"/>
    </xf>
    <xf numFmtId="0" fontId="0" fillId="0" borderId="0" xfId="4" applyNumberFormat="1" applyFont="1" applyBorder="1" applyAlignment="1">
      <alignment horizontal="center" vertical="center" wrapText="1"/>
    </xf>
    <xf numFmtId="0" fontId="0" fillId="0" borderId="0" xfId="5" applyNumberFormat="1" applyFont="1" applyBorder="1" applyAlignment="1">
      <alignment horizontal="center" vertical="center" wrapText="1"/>
    </xf>
    <xf numFmtId="0" fontId="0" fillId="0" borderId="19" xfId="4" applyNumberFormat="1" applyFont="1" applyBorder="1" applyAlignment="1">
      <alignment horizontal="center" vertical="center" wrapText="1"/>
    </xf>
    <xf numFmtId="0" fontId="24" fillId="0" borderId="0" xfId="4" applyNumberFormat="1" applyFont="1" applyBorder="1"/>
    <xf numFmtId="0" fontId="24" fillId="0" borderId="0" xfId="4" applyNumberFormat="1" applyFont="1" applyBorder="1" applyAlignment="1">
      <alignment horizontal="center" vertical="center" wrapText="1"/>
    </xf>
    <xf numFmtId="0" fontId="0" fillId="5" borderId="31" xfId="4" applyNumberFormat="1" applyFont="1" applyFill="1" applyBorder="1" applyAlignment="1">
      <alignment horizontal="center" vertical="center" wrapText="1"/>
    </xf>
    <xf numFmtId="0" fontId="0" fillId="5" borderId="32" xfId="4" applyNumberFormat="1" applyFont="1" applyFill="1" applyBorder="1" applyAlignment="1">
      <alignment horizontal="center" vertical="center" wrapText="1"/>
    </xf>
    <xf numFmtId="0" fontId="0" fillId="5" borderId="7" xfId="4" applyNumberFormat="1" applyFont="1" applyFill="1" applyBorder="1" applyAlignment="1">
      <alignment horizontal="center" vertical="center" wrapText="1"/>
    </xf>
    <xf numFmtId="0" fontId="0" fillId="5" borderId="8" xfId="5" applyNumberFormat="1" applyFont="1" applyFill="1" applyBorder="1" applyAlignment="1">
      <alignment horizontal="center" vertical="center" wrapText="1"/>
    </xf>
    <xf numFmtId="0" fontId="24" fillId="5" borderId="33" xfId="4" applyNumberFormat="1" applyFont="1" applyFill="1" applyBorder="1" applyAlignment="1">
      <alignment wrapText="1"/>
    </xf>
    <xf numFmtId="0" fontId="0" fillId="5" borderId="24" xfId="5" applyNumberFormat="1" applyFont="1" applyFill="1" applyBorder="1" applyAlignment="1">
      <alignment horizontal="center" vertical="center" wrapText="1"/>
    </xf>
    <xf numFmtId="0" fontId="0" fillId="0" borderId="34" xfId="5" applyNumberFormat="1" applyFont="1" applyBorder="1" applyAlignment="1">
      <alignment horizontal="center" vertical="center" wrapText="1"/>
    </xf>
    <xf numFmtId="0" fontId="33" fillId="0" borderId="0" xfId="4" applyNumberFormat="1" applyFont="1" applyAlignment="1">
      <alignment horizontal="center" vertical="center" wrapText="1"/>
    </xf>
    <xf numFmtId="0" fontId="0" fillId="6" borderId="2" xfId="4" applyNumberFormat="1" applyFont="1" applyFill="1" applyBorder="1" applyAlignment="1">
      <alignment horizontal="center" vertical="center" wrapText="1"/>
    </xf>
    <xf numFmtId="0" fontId="0" fillId="6" borderId="2" xfId="5" applyNumberFormat="1" applyFont="1" applyFill="1" applyBorder="1" applyAlignment="1">
      <alignment horizontal="center" vertical="center" wrapText="1"/>
    </xf>
    <xf numFmtId="0" fontId="0" fillId="6" borderId="24" xfId="4" applyNumberFormat="1" applyFont="1" applyFill="1" applyBorder="1" applyAlignment="1">
      <alignment horizontal="center" vertical="center" wrapText="1"/>
    </xf>
    <xf numFmtId="0" fontId="0" fillId="5" borderId="12" xfId="4" applyNumberFormat="1" applyFont="1" applyFill="1" applyBorder="1" applyAlignment="1">
      <alignment horizontal="center" vertical="center" wrapText="1"/>
    </xf>
    <xf numFmtId="0" fontId="0" fillId="5" borderId="14" xfId="4" applyNumberFormat="1" applyFont="1" applyFill="1" applyBorder="1" applyAlignment="1">
      <alignment horizontal="center" vertical="center" wrapText="1"/>
    </xf>
    <xf numFmtId="0" fontId="34" fillId="0" borderId="0" xfId="3" applyNumberFormat="1" applyFont="1" applyAlignment="1">
      <alignment horizontal="center" vertical="center"/>
    </xf>
    <xf numFmtId="0" fontId="0" fillId="5" borderId="3" xfId="5" applyNumberFormat="1" applyFont="1" applyFill="1" applyBorder="1" applyAlignment="1">
      <alignment horizontal="center" vertical="center" wrapText="1"/>
    </xf>
    <xf numFmtId="0" fontId="0" fillId="0" borderId="35" xfId="4" applyNumberFormat="1" applyFont="1" applyBorder="1" applyAlignment="1">
      <alignment horizontal="center" vertical="center" wrapText="1"/>
    </xf>
    <xf numFmtId="0" fontId="0" fillId="5" borderId="3" xfId="4" applyNumberFormat="1" applyFont="1" applyFill="1" applyBorder="1" applyAlignment="1">
      <alignment horizontal="center" vertical="center" wrapText="1"/>
    </xf>
    <xf numFmtId="0" fontId="20" fillId="0" borderId="35" xfId="3" applyNumberFormat="1" applyFont="1" applyBorder="1" applyAlignment="1">
      <alignment horizontal="center" vertical="center" wrapText="1"/>
    </xf>
    <xf numFmtId="0" fontId="29" fillId="0" borderId="0" xfId="4" applyNumberFormat="1" applyFont="1" applyAlignment="1">
      <alignment horizontal="center" vertical="center" wrapText="1"/>
    </xf>
    <xf numFmtId="0" fontId="0" fillId="5" borderId="31" xfId="5" applyNumberFormat="1" applyFont="1" applyFill="1" applyBorder="1" applyAlignment="1">
      <alignment horizontal="center" vertical="center" wrapText="1"/>
    </xf>
    <xf numFmtId="0" fontId="0" fillId="5" borderId="36" xfId="5" applyNumberFormat="1" applyFont="1" applyFill="1" applyBorder="1" applyAlignment="1">
      <alignment horizontal="center" vertical="center" wrapText="1"/>
    </xf>
    <xf numFmtId="0" fontId="0" fillId="6" borderId="13" xfId="4" applyNumberFormat="1" applyFont="1" applyFill="1" applyBorder="1" applyAlignment="1">
      <alignment horizontal="center" vertical="center" wrapText="1"/>
    </xf>
    <xf numFmtId="0" fontId="0" fillId="5" borderId="12" xfId="5" applyNumberFormat="1" applyFont="1" applyFill="1" applyBorder="1" applyAlignment="1">
      <alignment horizontal="center" vertical="center" wrapText="1"/>
    </xf>
    <xf numFmtId="0" fontId="0" fillId="5" borderId="37" xfId="5" applyNumberFormat="1" applyFont="1" applyFill="1" applyBorder="1" applyAlignment="1">
      <alignment horizontal="center" vertical="center" wrapText="1"/>
    </xf>
    <xf numFmtId="0" fontId="0" fillId="7" borderId="2" xfId="4" applyNumberFormat="1" applyFont="1" applyFill="1" applyBorder="1" applyAlignment="1">
      <alignment horizontal="center" vertical="center" wrapText="1"/>
    </xf>
    <xf numFmtId="0" fontId="35" fillId="0" borderId="0" xfId="4" applyNumberFormat="1" applyFont="1" applyBorder="1" applyAlignment="1">
      <alignment horizontal="center" vertical="center" wrapText="1"/>
    </xf>
    <xf numFmtId="0" fontId="0" fillId="5" borderId="38" xfId="4" applyNumberFormat="1" applyFont="1" applyFill="1" applyBorder="1" applyAlignment="1">
      <alignment horizontal="center" vertical="center" wrapText="1"/>
    </xf>
    <xf numFmtId="0" fontId="36" fillId="6" borderId="2" xfId="4" applyNumberFormat="1" applyFont="1" applyFill="1" applyBorder="1" applyAlignment="1">
      <alignment horizontal="center" vertical="center" wrapText="1"/>
    </xf>
    <xf numFmtId="0" fontId="0" fillId="5" borderId="2" xfId="5" applyNumberFormat="1" applyFont="1" applyFill="1" applyBorder="1" applyAlignment="1">
      <alignment horizontal="center" vertical="center" wrapText="1"/>
    </xf>
    <xf numFmtId="0" fontId="37" fillId="6" borderId="2" xfId="4" applyNumberFormat="1" applyFont="1" applyFill="1" applyBorder="1" applyAlignment="1">
      <alignment horizontal="center" vertical="center" wrapText="1"/>
    </xf>
    <xf numFmtId="0" fontId="37" fillId="5" borderId="2" xfId="4" applyNumberFormat="1" applyFont="1" applyFill="1" applyBorder="1" applyAlignment="1">
      <alignment horizontal="center" vertical="center" wrapText="1"/>
    </xf>
    <xf numFmtId="0" fontId="0" fillId="7" borderId="2" xfId="6" applyNumberFormat="1" applyFont="1" applyFill="1" applyBorder="1" applyAlignment="1">
      <alignment horizontal="center" vertical="center"/>
    </xf>
    <xf numFmtId="0" fontId="0" fillId="5" borderId="38" xfId="5" applyNumberFormat="1" applyFont="1" applyFill="1" applyBorder="1" applyAlignment="1">
      <alignment horizontal="center" vertical="center" wrapText="1"/>
    </xf>
    <xf numFmtId="0" fontId="0" fillId="6" borderId="28" xfId="4" applyNumberFormat="1" applyFont="1" applyFill="1" applyBorder="1" applyAlignment="1">
      <alignment horizontal="center" vertical="center" wrapText="1"/>
    </xf>
    <xf numFmtId="0" fontId="24" fillId="0" borderId="35" xfId="4" applyNumberFormat="1" applyFont="1" applyBorder="1"/>
    <xf numFmtId="0" fontId="38" fillId="0" borderId="34" xfId="5" applyNumberFormat="1" applyFont="1" applyBorder="1" applyAlignment="1">
      <alignment horizontal="center" vertical="center" wrapText="1"/>
    </xf>
    <xf numFmtId="0" fontId="38" fillId="0" borderId="0" xfId="5" applyNumberFormat="1" applyFont="1" applyBorder="1" applyAlignment="1">
      <alignment horizontal="center" vertical="center" wrapText="1"/>
    </xf>
    <xf numFmtId="0" fontId="0" fillId="0" borderId="39" xfId="5" applyNumberFormat="1" applyFont="1" applyBorder="1" applyAlignment="1">
      <alignment horizontal="center" vertical="center" wrapText="1"/>
    </xf>
    <xf numFmtId="0" fontId="0" fillId="0" borderId="40" xfId="5" applyNumberFormat="1" applyFont="1" applyBorder="1" applyAlignment="1">
      <alignment horizontal="center" vertical="center" wrapText="1"/>
    </xf>
    <xf numFmtId="0" fontId="0" fillId="0" borderId="40" xfId="4" applyNumberFormat="1" applyFont="1" applyBorder="1" applyAlignment="1">
      <alignment horizontal="center" vertical="center" wrapText="1"/>
    </xf>
    <xf numFmtId="0" fontId="0" fillId="0" borderId="41" xfId="4" applyNumberFormat="1" applyFont="1" applyBorder="1" applyAlignment="1">
      <alignment horizontal="center" vertical="center" wrapText="1"/>
    </xf>
    <xf numFmtId="0" fontId="0" fillId="5" borderId="13" xfId="5" applyNumberFormat="1" applyFont="1" applyFill="1" applyBorder="1" applyAlignment="1">
      <alignment horizontal="center" vertical="center" wrapText="1"/>
    </xf>
    <xf numFmtId="0" fontId="0" fillId="5" borderId="13" xfId="4" applyNumberFormat="1" applyFont="1" applyFill="1" applyBorder="1" applyAlignment="1">
      <alignment horizontal="center" vertical="center" wrapText="1"/>
    </xf>
    <xf numFmtId="0" fontId="0" fillId="5" borderId="9" xfId="4" applyNumberFormat="1" applyFont="1" applyFill="1" applyBorder="1" applyAlignment="1">
      <alignment horizontal="center" vertical="center" wrapText="1"/>
    </xf>
    <xf numFmtId="0" fontId="0" fillId="5" borderId="30" xfId="5" applyNumberFormat="1" applyFont="1" applyFill="1" applyBorder="1" applyAlignment="1">
      <alignment horizontal="center" vertical="center" wrapText="1"/>
    </xf>
    <xf numFmtId="0" fontId="0" fillId="5" borderId="11" xfId="4" applyNumberFormat="1" applyFont="1" applyFill="1" applyBorder="1" applyAlignment="1">
      <alignment horizontal="center" vertical="center" wrapText="1"/>
    </xf>
    <xf numFmtId="177" fontId="29" fillId="0" borderId="0" xfId="5" applyNumberFormat="1" applyFont="1" applyAlignment="1">
      <alignment horizontal="center" vertical="center" wrapText="1"/>
    </xf>
    <xf numFmtId="0" fontId="8" fillId="0" borderId="0" xfId="1" applyFont="1" applyAlignment="1">
      <alignment horizontal="left" vertical="center" wrapText="1"/>
    </xf>
    <xf numFmtId="0" fontId="8" fillId="0" borderId="0" xfId="1" applyFont="1" applyAlignment="1">
      <alignment horizontal="left" vertical="center"/>
    </xf>
    <xf numFmtId="0" fontId="8" fillId="0" borderId="0" xfId="1" applyFont="1" applyAlignment="1">
      <alignment horizontal="center" vertical="center" wrapText="1"/>
    </xf>
    <xf numFmtId="0" fontId="8" fillId="0" borderId="2" xfId="1" applyFont="1" applyBorder="1" applyAlignment="1">
      <alignment horizontal="left" vertical="center" wrapText="1"/>
    </xf>
    <xf numFmtId="0" fontId="8" fillId="0" borderId="2" xfId="1" applyFont="1" applyBorder="1" applyAlignment="1">
      <alignment horizontal="center" vertical="center" wrapText="1"/>
    </xf>
    <xf numFmtId="0" fontId="15" fillId="8" borderId="2" xfId="1" applyFont="1" applyFill="1" applyBorder="1" applyAlignment="1">
      <alignment horizontal="center" vertical="center" wrapText="1"/>
    </xf>
    <xf numFmtId="49" fontId="8" fillId="0" borderId="2" xfId="1" applyNumberFormat="1" applyFont="1" applyBorder="1" applyAlignment="1">
      <alignment horizontal="left" vertical="center" wrapText="1"/>
    </xf>
    <xf numFmtId="49" fontId="15" fillId="0" borderId="2" xfId="1" applyNumberFormat="1" applyFont="1" applyBorder="1" applyAlignment="1">
      <alignment horizontal="left" vertical="center" wrapText="1"/>
    </xf>
    <xf numFmtId="0" fontId="8" fillId="0" borderId="2" xfId="1" quotePrefix="1" applyFont="1" applyBorder="1" applyAlignment="1">
      <alignment horizontal="center" vertical="center" wrapText="1"/>
    </xf>
    <xf numFmtId="0" fontId="15" fillId="3" borderId="2" xfId="1" applyFont="1" applyFill="1" applyBorder="1" applyAlignment="1">
      <alignment horizontal="left" vertical="center" wrapText="1"/>
    </xf>
    <xf numFmtId="49" fontId="15" fillId="8" borderId="2" xfId="1" applyNumberFormat="1" applyFont="1" applyFill="1" applyBorder="1" applyAlignment="1">
      <alignment horizontal="left" vertical="center" wrapText="1"/>
    </xf>
    <xf numFmtId="0" fontId="15" fillId="8" borderId="2" xfId="1" applyFont="1" applyFill="1" applyBorder="1" applyAlignment="1">
      <alignment horizontal="left" vertical="center" wrapText="1"/>
    </xf>
    <xf numFmtId="49" fontId="15" fillId="9" borderId="2" xfId="1" applyNumberFormat="1" applyFont="1" applyFill="1" applyBorder="1" applyAlignment="1">
      <alignment horizontal="left" vertical="center" wrapText="1"/>
    </xf>
    <xf numFmtId="0" fontId="8" fillId="9" borderId="2" xfId="1" quotePrefix="1" applyFont="1" applyFill="1" applyBorder="1" applyAlignment="1">
      <alignment horizontal="center" vertical="center" wrapText="1"/>
    </xf>
    <xf numFmtId="0" fontId="8" fillId="9" borderId="2" xfId="1" applyFont="1" applyFill="1" applyBorder="1" applyAlignment="1">
      <alignment horizontal="center" vertical="center" wrapText="1"/>
    </xf>
    <xf numFmtId="0" fontId="39" fillId="9" borderId="2" xfId="1" applyFont="1" applyFill="1" applyBorder="1" applyAlignment="1">
      <alignment horizontal="left" vertical="center" wrapText="1"/>
    </xf>
    <xf numFmtId="0" fontId="39" fillId="9" borderId="2" xfId="1" applyFont="1" applyFill="1" applyBorder="1" applyAlignment="1">
      <alignment horizontal="center" vertical="center" wrapText="1"/>
    </xf>
    <xf numFmtId="0" fontId="15" fillId="0" borderId="2" xfId="1" applyFont="1" applyBorder="1" applyAlignment="1">
      <alignment horizontal="left" vertical="center" wrapText="1"/>
    </xf>
    <xf numFmtId="0" fontId="15" fillId="9" borderId="2" xfId="1" applyFont="1" applyFill="1" applyBorder="1" applyAlignment="1">
      <alignment horizontal="left" vertical="center" wrapText="1"/>
    </xf>
    <xf numFmtId="0" fontId="8" fillId="3" borderId="0" xfId="1" applyFont="1" applyFill="1" applyAlignment="1">
      <alignment horizontal="left" vertical="center" wrapText="1"/>
    </xf>
    <xf numFmtId="0" fontId="8" fillId="3" borderId="0" xfId="1" applyFont="1" applyFill="1" applyAlignment="1">
      <alignment horizontal="left" vertical="center"/>
    </xf>
    <xf numFmtId="0" fontId="8" fillId="9" borderId="2" xfId="1" applyFont="1" applyFill="1" applyBorder="1" applyAlignment="1">
      <alignment horizontal="left" vertical="center" wrapText="1"/>
    </xf>
    <xf numFmtId="0" fontId="8" fillId="3" borderId="13" xfId="1" applyFont="1" applyFill="1" applyBorder="1" applyAlignment="1">
      <alignment horizontal="left" vertical="center" wrapText="1"/>
    </xf>
    <xf numFmtId="0" fontId="8" fillId="0" borderId="13" xfId="1" applyFont="1" applyBorder="1" applyAlignment="1">
      <alignment horizontal="center" vertical="center" wrapText="1"/>
    </xf>
    <xf numFmtId="0" fontId="8" fillId="0" borderId="13" xfId="1" applyFont="1" applyBorder="1" applyAlignment="1">
      <alignment horizontal="left" vertical="center" wrapText="1"/>
    </xf>
    <xf numFmtId="0" fontId="40" fillId="0" borderId="2" xfId="1" applyFont="1" applyBorder="1" applyAlignment="1">
      <alignment horizontal="center" vertical="center" wrapText="1"/>
    </xf>
    <xf numFmtId="49" fontId="15" fillId="0" borderId="2" xfId="1" applyNumberFormat="1" applyFont="1" applyBorder="1" applyAlignment="1">
      <alignment horizontal="center" vertical="center" wrapText="1"/>
    </xf>
    <xf numFmtId="49" fontId="15" fillId="8" borderId="2" xfId="1" applyNumberFormat="1" applyFont="1" applyFill="1" applyBorder="1" applyAlignment="1">
      <alignment horizontal="center" vertical="center" wrapText="1"/>
    </xf>
    <xf numFmtId="49" fontId="15" fillId="9" borderId="2" xfId="1" applyNumberFormat="1" applyFont="1" applyFill="1" applyBorder="1" applyAlignment="1">
      <alignment horizontal="center" vertical="center" wrapText="1"/>
    </xf>
    <xf numFmtId="0" fontId="17" fillId="9" borderId="2" xfId="1" applyFont="1" applyFill="1" applyBorder="1" applyAlignment="1">
      <alignment horizontal="left" vertical="center" wrapText="1"/>
    </xf>
    <xf numFmtId="0" fontId="17" fillId="9" borderId="2" xfId="1" applyFont="1" applyFill="1" applyBorder="1" applyAlignment="1">
      <alignment horizontal="center" vertical="center" wrapText="1"/>
    </xf>
    <xf numFmtId="0" fontId="8" fillId="0" borderId="0" xfId="1" applyFont="1" applyAlignment="1">
      <alignment wrapText="1"/>
    </xf>
    <xf numFmtId="49" fontId="15" fillId="10" borderId="2" xfId="1" applyNumberFormat="1" applyFont="1" applyFill="1" applyBorder="1" applyAlignment="1">
      <alignment horizontal="center" vertical="center" wrapText="1"/>
    </xf>
    <xf numFmtId="0" fontId="3" fillId="0" borderId="0" xfId="1" applyAlignment="1">
      <alignment horizontal="center" vertical="center"/>
    </xf>
    <xf numFmtId="0" fontId="8" fillId="0" borderId="0" xfId="1" applyFont="1" applyAlignment="1">
      <alignment horizontal="center" vertical="center"/>
    </xf>
    <xf numFmtId="0" fontId="8" fillId="11" borderId="2" xfId="1" applyFont="1" applyFill="1" applyBorder="1" applyAlignment="1">
      <alignment horizontal="left" vertical="center" wrapText="1"/>
    </xf>
    <xf numFmtId="0" fontId="8" fillId="11" borderId="2" xfId="1" applyFont="1" applyFill="1" applyBorder="1" applyAlignment="1">
      <alignment horizontal="center" vertical="center" wrapText="1"/>
    </xf>
    <xf numFmtId="0" fontId="8" fillId="12" borderId="2" xfId="1" applyFont="1" applyFill="1" applyBorder="1" applyAlignment="1">
      <alignment horizontal="left" vertical="center" wrapText="1"/>
    </xf>
    <xf numFmtId="0" fontId="8" fillId="12" borderId="2" xfId="1" applyFont="1" applyFill="1" applyBorder="1" applyAlignment="1">
      <alignment horizontal="center" vertical="center" wrapText="1"/>
    </xf>
    <xf numFmtId="0" fontId="39" fillId="4" borderId="2" xfId="1" applyFont="1" applyFill="1" applyBorder="1" applyAlignment="1">
      <alignment horizontal="left" vertical="center" wrapText="1"/>
    </xf>
    <xf numFmtId="0" fontId="39" fillId="4" borderId="2" xfId="1" applyFont="1" applyFill="1" applyBorder="1" applyAlignment="1">
      <alignment horizontal="center" vertical="center" wrapText="1"/>
    </xf>
    <xf numFmtId="0" fontId="17" fillId="4" borderId="2" xfId="1" applyFont="1" applyFill="1" applyBorder="1" applyAlignment="1">
      <alignment horizontal="left" vertical="center" wrapText="1"/>
    </xf>
    <xf numFmtId="0" fontId="42" fillId="0" borderId="0" xfId="1" applyFont="1"/>
    <xf numFmtId="0" fontId="8" fillId="4" borderId="2" xfId="1" applyFont="1" applyFill="1" applyBorder="1" applyAlignment="1">
      <alignment horizontal="left" vertical="center" wrapText="1"/>
    </xf>
    <xf numFmtId="0" fontId="8" fillId="4" borderId="2" xfId="1" applyFont="1" applyFill="1" applyBorder="1" applyAlignment="1">
      <alignment horizontal="center" vertical="center" wrapText="1"/>
    </xf>
    <xf numFmtId="0" fontId="17" fillId="4" borderId="2" xfId="1" applyFont="1" applyFill="1" applyBorder="1" applyAlignment="1">
      <alignment horizontal="center" vertical="center" wrapText="1"/>
    </xf>
    <xf numFmtId="0" fontId="17" fillId="10" borderId="2" xfId="1" applyFont="1" applyFill="1" applyBorder="1" applyAlignment="1">
      <alignment horizontal="center" vertical="center" wrapText="1"/>
    </xf>
    <xf numFmtId="0" fontId="15" fillId="3" borderId="2" xfId="1" applyFont="1" applyFill="1" applyBorder="1" applyAlignment="1">
      <alignment horizontal="center" vertical="center" wrapText="1"/>
    </xf>
    <xf numFmtId="49" fontId="15" fillId="3" borderId="2" xfId="1" applyNumberFormat="1" applyFont="1" applyFill="1" applyBorder="1" applyAlignment="1">
      <alignment horizontal="left" vertical="center" wrapText="1"/>
    </xf>
    <xf numFmtId="0" fontId="8" fillId="3" borderId="2" xfId="1" applyFont="1" applyFill="1" applyBorder="1" applyAlignment="1">
      <alignment horizontal="center" vertical="center" wrapText="1"/>
    </xf>
    <xf numFmtId="0" fontId="8" fillId="3" borderId="2" xfId="1" applyFont="1" applyFill="1" applyBorder="1" applyAlignment="1">
      <alignment horizontal="left" vertical="center" wrapText="1"/>
    </xf>
    <xf numFmtId="0" fontId="8" fillId="8" borderId="2" xfId="1" applyFont="1" applyFill="1" applyBorder="1" applyAlignment="1">
      <alignment horizontal="center" vertical="center" wrapText="1"/>
    </xf>
    <xf numFmtId="0" fontId="8" fillId="8" borderId="2" xfId="1" applyFont="1" applyFill="1" applyBorder="1" applyAlignment="1">
      <alignment horizontal="left" vertical="center" wrapText="1"/>
    </xf>
    <xf numFmtId="49" fontId="8" fillId="8" borderId="2" xfId="1" applyNumberFormat="1" applyFont="1" applyFill="1" applyBorder="1" applyAlignment="1">
      <alignment horizontal="left" vertical="center" wrapText="1"/>
    </xf>
    <xf numFmtId="0" fontId="42" fillId="0" borderId="2" xfId="1" applyFont="1" applyBorder="1" applyAlignment="1">
      <alignment horizontal="left" vertical="center" wrapText="1"/>
    </xf>
    <xf numFmtId="0" fontId="8" fillId="11" borderId="2" xfId="1" applyFont="1" applyFill="1" applyBorder="1" applyAlignment="1">
      <alignment horizontal="center" vertical="center" wrapText="1"/>
    </xf>
    <xf numFmtId="0" fontId="8" fillId="11" borderId="2" xfId="1" applyFont="1" applyFill="1" applyBorder="1" applyAlignment="1">
      <alignment horizontal="left" vertical="center" wrapText="1"/>
    </xf>
    <xf numFmtId="0" fontId="8" fillId="13" borderId="28" xfId="1" applyFont="1" applyFill="1" applyBorder="1" applyAlignment="1">
      <alignment horizontal="left" vertical="center" wrapText="1"/>
    </xf>
    <xf numFmtId="0" fontId="8" fillId="3" borderId="13" xfId="1" applyFont="1" applyFill="1" applyBorder="1" applyAlignment="1">
      <alignment horizontal="left" vertical="center" wrapText="1"/>
    </xf>
    <xf numFmtId="0" fontId="8" fillId="11" borderId="2" xfId="1" applyFont="1" applyFill="1" applyBorder="1" applyAlignment="1">
      <alignment horizontal="center" vertical="center" wrapText="1"/>
    </xf>
    <xf numFmtId="0" fontId="8" fillId="11" borderId="2" xfId="1" applyFont="1" applyFill="1" applyBorder="1" applyAlignment="1">
      <alignment horizontal="left" vertical="center" wrapText="1"/>
    </xf>
    <xf numFmtId="0" fontId="39" fillId="10" borderId="2" xfId="1" applyFont="1" applyFill="1" applyBorder="1" applyAlignment="1">
      <alignment horizontal="center" vertical="center" wrapText="1"/>
    </xf>
    <xf numFmtId="0" fontId="3" fillId="0" borderId="0" xfId="1" applyFont="1"/>
    <xf numFmtId="0" fontId="3" fillId="0" borderId="0" xfId="1" applyFont="1" applyAlignment="1">
      <alignment horizontal="center"/>
    </xf>
    <xf numFmtId="0" fontId="3" fillId="0" borderId="0" xfId="1" applyFont="1" applyAlignment="1">
      <alignment horizontal="left" wrapText="1"/>
    </xf>
    <xf numFmtId="0" fontId="8" fillId="3" borderId="2" xfId="1" applyFont="1" applyFill="1" applyBorder="1" applyAlignment="1">
      <alignment horizontal="center" vertical="center" wrapText="1"/>
    </xf>
    <xf numFmtId="0" fontId="8" fillId="3" borderId="2" xfId="1" applyFont="1" applyFill="1" applyBorder="1" applyAlignment="1">
      <alignment horizontal="left" vertical="center" wrapText="1"/>
    </xf>
    <xf numFmtId="0" fontId="8" fillId="12" borderId="2" xfId="1" applyFont="1" applyFill="1" applyBorder="1" applyAlignment="1">
      <alignment horizontal="center" vertical="center" wrapText="1"/>
    </xf>
    <xf numFmtId="0" fontId="8" fillId="12" borderId="2" xfId="1" applyFont="1" applyFill="1" applyBorder="1" applyAlignment="1">
      <alignment horizontal="left" vertical="center" wrapText="1"/>
    </xf>
    <xf numFmtId="0" fontId="8" fillId="13" borderId="2" xfId="1" applyFont="1" applyFill="1" applyBorder="1" applyAlignment="1">
      <alignment horizontal="center" vertical="center" wrapText="1"/>
    </xf>
    <xf numFmtId="0" fontId="8" fillId="13" borderId="2" xfId="1" applyFont="1" applyFill="1" applyBorder="1" applyAlignment="1">
      <alignment horizontal="left" vertical="center" wrapText="1"/>
    </xf>
    <xf numFmtId="0" fontId="8" fillId="3" borderId="13" xfId="1" applyFont="1" applyFill="1" applyBorder="1" applyAlignment="1">
      <alignment horizontal="center" vertical="center" wrapText="1"/>
    </xf>
    <xf numFmtId="0" fontId="8" fillId="3" borderId="42" xfId="1" applyFont="1" applyFill="1" applyBorder="1" applyAlignment="1">
      <alignment horizontal="center" vertical="center" wrapText="1"/>
    </xf>
    <xf numFmtId="0" fontId="8" fillId="12" borderId="28" xfId="1" applyFont="1" applyFill="1" applyBorder="1" applyAlignment="1">
      <alignment horizontal="center" vertical="center" wrapText="1"/>
    </xf>
    <xf numFmtId="0" fontId="8" fillId="11" borderId="13" xfId="1" applyFont="1" applyFill="1" applyBorder="1" applyAlignment="1">
      <alignment horizontal="center" vertical="center" wrapText="1"/>
    </xf>
    <xf numFmtId="0" fontId="8" fillId="13" borderId="13" xfId="1" applyFont="1" applyFill="1" applyBorder="1" applyAlignment="1">
      <alignment horizontal="center" vertical="center" wrapText="1"/>
    </xf>
    <xf numFmtId="0" fontId="8" fillId="13" borderId="42" xfId="1" applyFont="1" applyFill="1" applyBorder="1" applyAlignment="1">
      <alignment horizontal="center" vertical="center" wrapText="1"/>
    </xf>
    <xf numFmtId="0" fontId="8" fillId="13" borderId="28" xfId="1" applyFont="1" applyFill="1" applyBorder="1" applyAlignment="1">
      <alignment horizontal="center" vertical="center" wrapText="1"/>
    </xf>
    <xf numFmtId="0" fontId="8" fillId="3" borderId="2" xfId="1" applyFont="1" applyFill="1" applyBorder="1" applyAlignment="1">
      <alignment horizontal="center" vertical="center" wrapText="1"/>
    </xf>
    <xf numFmtId="0" fontId="8" fillId="13" borderId="2" xfId="1" applyFont="1" applyFill="1" applyBorder="1" applyAlignment="1">
      <alignment horizontal="center" vertical="center" wrapText="1"/>
    </xf>
    <xf numFmtId="0" fontId="8" fillId="11" borderId="2" xfId="1" applyFont="1" applyFill="1" applyBorder="1" applyAlignment="1">
      <alignment horizontal="center" vertical="center" wrapText="1"/>
    </xf>
    <xf numFmtId="0" fontId="8" fillId="3" borderId="2" xfId="1" applyFont="1" applyFill="1" applyBorder="1" applyAlignment="1">
      <alignment horizontal="left" vertical="center" wrapText="1"/>
    </xf>
    <xf numFmtId="0" fontId="8" fillId="13" borderId="2" xfId="1" applyFont="1" applyFill="1" applyBorder="1" applyAlignment="1">
      <alignment horizontal="left" vertical="center" wrapText="1"/>
    </xf>
    <xf numFmtId="0" fontId="8" fillId="12" borderId="28" xfId="1" applyFont="1" applyFill="1" applyBorder="1" applyAlignment="1">
      <alignment vertical="center" wrapText="1"/>
    </xf>
    <xf numFmtId="0" fontId="8" fillId="11" borderId="13" xfId="1" applyFont="1" applyFill="1" applyBorder="1" applyAlignment="1">
      <alignment vertical="center" wrapText="1"/>
    </xf>
    <xf numFmtId="0" fontId="8" fillId="13" borderId="28" xfId="1" applyFont="1" applyFill="1" applyBorder="1" applyAlignment="1">
      <alignment vertical="center" wrapText="1"/>
    </xf>
    <xf numFmtId="0" fontId="8" fillId="12" borderId="2" xfId="1" applyFont="1" applyFill="1" applyBorder="1" applyAlignment="1">
      <alignment vertical="center" wrapText="1"/>
    </xf>
    <xf numFmtId="0" fontId="8" fillId="12" borderId="2" xfId="1" applyFont="1" applyFill="1" applyBorder="1" applyAlignment="1">
      <alignment vertical="center" wrapText="1"/>
    </xf>
    <xf numFmtId="0" fontId="50" fillId="0" borderId="0" xfId="1" applyFont="1"/>
    <xf numFmtId="0" fontId="8" fillId="11" borderId="2" xfId="1" applyFont="1" applyFill="1" applyBorder="1" applyAlignment="1">
      <alignment vertical="center" wrapText="1"/>
    </xf>
    <xf numFmtId="0" fontId="8" fillId="3" borderId="42" xfId="1" applyFont="1" applyFill="1" applyBorder="1" applyAlignment="1">
      <alignment vertical="center" wrapText="1"/>
    </xf>
    <xf numFmtId="0" fontId="8" fillId="3" borderId="0" xfId="1" applyFont="1" applyFill="1"/>
    <xf numFmtId="0" fontId="3" fillId="3" borderId="0" xfId="1" applyFill="1"/>
    <xf numFmtId="0" fontId="8" fillId="3" borderId="2" xfId="1" applyFont="1" applyFill="1" applyBorder="1" applyAlignment="1">
      <alignment vertical="center" wrapText="1"/>
    </xf>
    <xf numFmtId="0" fontId="8" fillId="13" borderId="2" xfId="1" applyFont="1" applyFill="1" applyBorder="1" applyAlignment="1">
      <alignment vertical="center" wrapText="1"/>
    </xf>
    <xf numFmtId="0" fontId="8" fillId="3" borderId="0" xfId="1" applyFont="1" applyFill="1" applyAlignment="1">
      <alignment horizontal="center" vertical="center"/>
    </xf>
    <xf numFmtId="0" fontId="8" fillId="12" borderId="2" xfId="1" applyFont="1" applyFill="1" applyBorder="1" applyAlignment="1">
      <alignment horizontal="left" vertical="center" wrapText="1"/>
    </xf>
    <xf numFmtId="0" fontId="8" fillId="13" borderId="2" xfId="1" applyFont="1" applyFill="1" applyBorder="1" applyAlignment="1">
      <alignment horizontal="left" vertical="center" wrapText="1"/>
    </xf>
    <xf numFmtId="0" fontId="8" fillId="11" borderId="2" xfId="1" applyFont="1" applyFill="1" applyBorder="1" applyAlignment="1">
      <alignment horizontal="left" vertical="center" wrapText="1"/>
    </xf>
    <xf numFmtId="0" fontId="8" fillId="12" borderId="2" xfId="1" applyFont="1" applyFill="1" applyBorder="1" applyAlignment="1">
      <alignment horizontal="left" vertical="center" wrapText="1"/>
    </xf>
    <xf numFmtId="0" fontId="8" fillId="13" borderId="2"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11" borderId="2" xfId="1" applyFont="1" applyFill="1" applyBorder="1" applyAlignment="1">
      <alignment horizontal="left" vertical="center" wrapText="1"/>
    </xf>
    <xf numFmtId="0" fontId="8" fillId="11" borderId="2" xfId="1" applyFont="1" applyFill="1" applyBorder="1" applyAlignment="1">
      <alignment horizontal="center" vertical="center" wrapText="1"/>
    </xf>
    <xf numFmtId="0" fontId="8" fillId="13" borderId="2" xfId="1" applyFont="1" applyFill="1" applyBorder="1" applyAlignment="1">
      <alignment horizontal="center" vertical="center" wrapText="1"/>
    </xf>
    <xf numFmtId="0" fontId="8" fillId="12" borderId="2" xfId="1" applyFont="1" applyFill="1" applyBorder="1" applyAlignment="1">
      <alignment horizontal="center" vertical="center" wrapText="1"/>
    </xf>
    <xf numFmtId="0" fontId="8" fillId="13" borderId="2" xfId="1" applyFont="1" applyFill="1" applyBorder="1" applyAlignment="1">
      <alignment vertical="center" wrapText="1"/>
    </xf>
    <xf numFmtId="0" fontId="8" fillId="12" borderId="2" xfId="1" applyFont="1" applyFill="1" applyBorder="1" applyAlignment="1">
      <alignment horizontal="left" vertical="center" wrapText="1"/>
    </xf>
    <xf numFmtId="0" fontId="8" fillId="13" borderId="2"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11" borderId="2" xfId="1" applyFont="1" applyFill="1" applyBorder="1" applyAlignment="1">
      <alignment horizontal="left" vertical="center" wrapText="1"/>
    </xf>
    <xf numFmtId="0" fontId="8" fillId="3" borderId="2" xfId="1" applyFont="1" applyFill="1" applyBorder="1" applyAlignment="1">
      <alignment horizontal="center" vertical="center" wrapText="1"/>
    </xf>
    <xf numFmtId="0" fontId="8" fillId="11" borderId="2" xfId="1" applyFont="1" applyFill="1" applyBorder="1" applyAlignment="1">
      <alignment horizontal="center" vertical="center" wrapText="1"/>
    </xf>
    <xf numFmtId="0" fontId="8" fillId="13" borderId="2" xfId="1" applyFont="1" applyFill="1" applyBorder="1" applyAlignment="1">
      <alignment horizontal="center" vertical="center" wrapText="1"/>
    </xf>
    <xf numFmtId="0" fontId="8" fillId="12" borderId="2" xfId="1" applyFont="1" applyFill="1" applyBorder="1" applyAlignment="1">
      <alignment horizontal="center" vertical="center" wrapText="1"/>
    </xf>
    <xf numFmtId="0" fontId="8" fillId="13" borderId="42" xfId="1" applyFont="1" applyFill="1" applyBorder="1" applyAlignment="1">
      <alignment horizontal="center" vertical="center" wrapText="1"/>
    </xf>
    <xf numFmtId="0" fontId="8" fillId="13" borderId="42" xfId="1" applyFont="1" applyFill="1" applyBorder="1" applyAlignment="1">
      <alignment vertical="center" wrapText="1"/>
    </xf>
    <xf numFmtId="0" fontId="8" fillId="3" borderId="13" xfId="1" applyFont="1" applyFill="1" applyBorder="1" applyAlignment="1">
      <alignment horizontal="left" vertical="center" wrapText="1"/>
    </xf>
    <xf numFmtId="0" fontId="45" fillId="2" borderId="0" xfId="1" applyFont="1" applyFill="1" applyAlignment="1">
      <alignment horizontal="left" vertical="top" wrapText="1"/>
    </xf>
    <xf numFmtId="0" fontId="8" fillId="2" borderId="0" xfId="1" applyFont="1" applyFill="1" applyAlignment="1">
      <alignment horizontal="left" vertical="top" wrapText="1"/>
    </xf>
    <xf numFmtId="0" fontId="14" fillId="2" borderId="2" xfId="1" applyFont="1" applyFill="1" applyBorder="1" applyAlignment="1">
      <alignment horizontal="center" vertical="center"/>
    </xf>
    <xf numFmtId="0" fontId="15" fillId="3" borderId="5" xfId="2" applyNumberFormat="1" applyFont="1" applyFill="1" applyBorder="1" applyAlignment="1">
      <alignment horizontal="left" vertical="center"/>
    </xf>
    <xf numFmtId="0" fontId="15" fillId="3" borderId="4" xfId="2" applyNumberFormat="1" applyFont="1" applyFill="1" applyBorder="1" applyAlignment="1">
      <alignment horizontal="left" vertical="center"/>
    </xf>
    <xf numFmtId="49" fontId="16" fillId="4" borderId="11" xfId="1" applyNumberFormat="1" applyFont="1" applyFill="1" applyBorder="1" applyAlignment="1">
      <alignment horizontal="left" vertical="center"/>
    </xf>
    <xf numFmtId="49" fontId="16" fillId="4" borderId="10" xfId="1" applyNumberFormat="1" applyFont="1" applyFill="1" applyBorder="1" applyAlignment="1">
      <alignment horizontal="left" vertical="center"/>
    </xf>
    <xf numFmtId="49" fontId="16" fillId="4" borderId="9" xfId="1" applyNumberFormat="1" applyFont="1" applyFill="1" applyBorder="1" applyAlignment="1">
      <alignment horizontal="left" vertical="center"/>
    </xf>
    <xf numFmtId="0" fontId="15" fillId="3" borderId="2" xfId="2" applyNumberFormat="1" applyFont="1" applyFill="1" applyBorder="1" applyAlignment="1">
      <alignment horizontal="left" vertical="center"/>
    </xf>
    <xf numFmtId="0" fontId="15" fillId="3" borderId="7" xfId="2" applyNumberFormat="1" applyFont="1" applyFill="1" applyBorder="1" applyAlignment="1">
      <alignment horizontal="left" vertical="center"/>
    </xf>
    <xf numFmtId="0" fontId="15" fillId="3" borderId="13" xfId="2" applyNumberFormat="1" applyFont="1" applyFill="1" applyBorder="1" applyAlignment="1">
      <alignment horizontal="left" vertical="center"/>
    </xf>
    <xf numFmtId="0" fontId="15" fillId="3" borderId="12" xfId="2" applyNumberFormat="1" applyFont="1" applyFill="1" applyBorder="1" applyAlignment="1">
      <alignment horizontal="left" vertical="center"/>
    </xf>
    <xf numFmtId="49" fontId="16" fillId="4" borderId="23" xfId="1" applyNumberFormat="1" applyFont="1" applyFill="1" applyBorder="1" applyAlignment="1">
      <alignment horizontal="left" vertical="center"/>
    </xf>
    <xf numFmtId="49" fontId="16" fillId="4" borderId="22" xfId="1" applyNumberFormat="1" applyFont="1" applyFill="1" applyBorder="1" applyAlignment="1">
      <alignment horizontal="left" vertical="center"/>
    </xf>
    <xf numFmtId="49" fontId="16" fillId="4" borderId="21" xfId="1" applyNumberFormat="1" applyFont="1" applyFill="1" applyBorder="1" applyAlignment="1">
      <alignment horizontal="left" vertical="center"/>
    </xf>
    <xf numFmtId="0" fontId="15" fillId="0" borderId="20" xfId="1" applyFont="1" applyBorder="1" applyAlignment="1">
      <alignment horizontal="left" vertical="center" wrapText="1"/>
    </xf>
    <xf numFmtId="0" fontId="15" fillId="0" borderId="19" xfId="1" applyFont="1" applyBorder="1" applyAlignment="1">
      <alignment horizontal="left" vertical="center"/>
    </xf>
    <xf numFmtId="0" fontId="15" fillId="0" borderId="18" xfId="1" applyFont="1" applyBorder="1" applyAlignment="1">
      <alignment horizontal="left" vertical="center"/>
    </xf>
    <xf numFmtId="49" fontId="16" fillId="4" borderId="17" xfId="1" applyNumberFormat="1" applyFont="1" applyFill="1" applyBorder="1" applyAlignment="1">
      <alignment horizontal="left" vertical="center"/>
    </xf>
    <xf numFmtId="49" fontId="16" fillId="4" borderId="16" xfId="1" applyNumberFormat="1" applyFont="1" applyFill="1" applyBorder="1" applyAlignment="1">
      <alignment horizontal="left" vertical="center"/>
    </xf>
    <xf numFmtId="49" fontId="16" fillId="4" borderId="15" xfId="1" applyNumberFormat="1" applyFont="1" applyFill="1" applyBorder="1" applyAlignment="1">
      <alignment horizontal="left" vertical="center"/>
    </xf>
    <xf numFmtId="0" fontId="17" fillId="3" borderId="2" xfId="2" applyNumberFormat="1" applyFont="1" applyFill="1" applyBorder="1" applyAlignment="1">
      <alignment horizontal="left" vertical="center"/>
    </xf>
    <xf numFmtId="0" fontId="17" fillId="3" borderId="7" xfId="2" applyNumberFormat="1" applyFont="1" applyFill="1" applyBorder="1" applyAlignment="1">
      <alignment horizontal="left" vertical="center"/>
    </xf>
    <xf numFmtId="0" fontId="23" fillId="0" borderId="3" xfId="4" applyNumberFormat="1" applyFont="1" applyBorder="1" applyAlignment="1">
      <alignment horizontal="center" wrapText="1"/>
    </xf>
    <xf numFmtId="0" fontId="23" fillId="0" borderId="25" xfId="4" applyNumberFormat="1" applyFont="1" applyBorder="1" applyAlignment="1">
      <alignment horizontal="center"/>
    </xf>
    <xf numFmtId="0" fontId="23" fillId="0" borderId="24" xfId="4" applyNumberFormat="1" applyFont="1" applyBorder="1" applyAlignment="1">
      <alignment horizontal="center"/>
    </xf>
    <xf numFmtId="0" fontId="27" fillId="0" borderId="0" xfId="4" applyNumberFormat="1" applyFont="1" applyAlignment="1">
      <alignment horizontal="left" vertical="top" wrapText="1"/>
    </xf>
    <xf numFmtId="0" fontId="27" fillId="0" borderId="0" xfId="4" applyNumberFormat="1" applyFont="1" applyAlignment="1">
      <alignment horizontal="left" vertical="top"/>
    </xf>
    <xf numFmtId="49" fontId="44" fillId="10" borderId="2" xfId="1" applyNumberFormat="1" applyFont="1" applyFill="1" applyBorder="1" applyAlignment="1">
      <alignment horizontal="center" vertical="center" wrapText="1"/>
    </xf>
    <xf numFmtId="49" fontId="43" fillId="10" borderId="44" xfId="1" applyNumberFormat="1" applyFont="1" applyFill="1" applyBorder="1" applyAlignment="1">
      <alignment horizontal="center" vertical="center" wrapText="1"/>
    </xf>
    <xf numFmtId="49" fontId="15" fillId="10" borderId="43" xfId="1" applyNumberFormat="1" applyFont="1" applyFill="1" applyBorder="1" applyAlignment="1">
      <alignment horizontal="center" vertical="center" wrapText="1"/>
    </xf>
    <xf numFmtId="0" fontId="15" fillId="8" borderId="13" xfId="1" applyFont="1" applyFill="1" applyBorder="1" applyAlignment="1">
      <alignment horizontal="center" vertical="center" wrapText="1"/>
    </xf>
    <xf numFmtId="0" fontId="15" fillId="8" borderId="42" xfId="1" applyFont="1" applyFill="1" applyBorder="1" applyAlignment="1">
      <alignment horizontal="center" vertical="center" wrapText="1"/>
    </xf>
    <xf numFmtId="0" fontId="15" fillId="8" borderId="28" xfId="1" applyFont="1" applyFill="1" applyBorder="1" applyAlignment="1">
      <alignment horizontal="center" vertical="center" wrapText="1"/>
    </xf>
    <xf numFmtId="49" fontId="17" fillId="10" borderId="2" xfId="1" applyNumberFormat="1" applyFont="1" applyFill="1" applyBorder="1" applyAlignment="1">
      <alignment horizontal="center" vertical="center" wrapText="1"/>
    </xf>
    <xf numFmtId="49" fontId="17" fillId="10" borderId="2" xfId="7" applyNumberFormat="1" applyFont="1" applyFill="1" applyBorder="1" applyAlignment="1">
      <alignment horizontal="center" vertical="center" wrapText="1"/>
    </xf>
    <xf numFmtId="0" fontId="8" fillId="8" borderId="13" xfId="1" applyFont="1" applyFill="1" applyBorder="1" applyAlignment="1">
      <alignment horizontal="center" vertical="center" wrapText="1"/>
    </xf>
    <xf numFmtId="0" fontId="8" fillId="8" borderId="42" xfId="1" applyFont="1" applyFill="1" applyBorder="1" applyAlignment="1">
      <alignment horizontal="center" vertical="center" wrapText="1"/>
    </xf>
    <xf numFmtId="0" fontId="8" fillId="8" borderId="28" xfId="1" applyFont="1" applyFill="1" applyBorder="1" applyAlignment="1">
      <alignment horizontal="center" vertical="center" wrapText="1"/>
    </xf>
    <xf numFmtId="0" fontId="8" fillId="3" borderId="13" xfId="1" applyFont="1" applyFill="1" applyBorder="1" applyAlignment="1">
      <alignment horizontal="center" vertical="center" wrapText="1"/>
    </xf>
    <xf numFmtId="0" fontId="8" fillId="3" borderId="28" xfId="1" applyFont="1" applyFill="1" applyBorder="1" applyAlignment="1">
      <alignment horizontal="center" vertical="center" wrapText="1"/>
    </xf>
    <xf numFmtId="0" fontId="8" fillId="13" borderId="13" xfId="1" applyFont="1" applyFill="1" applyBorder="1" applyAlignment="1">
      <alignment horizontal="center" vertical="center" wrapText="1"/>
    </xf>
    <xf numFmtId="0" fontId="8" fillId="13" borderId="28" xfId="1" applyFont="1" applyFill="1" applyBorder="1" applyAlignment="1">
      <alignment horizontal="center" vertical="center" wrapText="1"/>
    </xf>
    <xf numFmtId="0" fontId="8" fillId="3" borderId="13" xfId="1" applyFont="1" applyFill="1" applyBorder="1" applyAlignment="1">
      <alignment horizontal="left" vertical="center" wrapText="1"/>
    </xf>
    <xf numFmtId="0" fontId="8" fillId="3" borderId="28" xfId="1" applyFont="1" applyFill="1" applyBorder="1" applyAlignment="1">
      <alignment horizontal="left" vertical="center" wrapText="1"/>
    </xf>
    <xf numFmtId="0" fontId="8" fillId="13" borderId="13" xfId="1" applyFont="1" applyFill="1" applyBorder="1" applyAlignment="1">
      <alignment horizontal="left" vertical="center" wrapText="1"/>
    </xf>
    <xf numFmtId="0" fontId="8" fillId="13" borderId="28" xfId="1" applyFont="1" applyFill="1" applyBorder="1" applyAlignment="1">
      <alignment horizontal="left" vertical="center" wrapText="1"/>
    </xf>
    <xf numFmtId="0" fontId="8" fillId="12" borderId="2" xfId="1" applyFont="1" applyFill="1" applyBorder="1" applyAlignment="1">
      <alignment horizontal="left" vertical="center" wrapText="1"/>
    </xf>
    <xf numFmtId="0" fontId="8" fillId="13" borderId="2"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11" borderId="2" xfId="1" applyFont="1" applyFill="1" applyBorder="1" applyAlignment="1">
      <alignment horizontal="left" vertical="center" wrapText="1"/>
    </xf>
    <xf numFmtId="0" fontId="8" fillId="3" borderId="2" xfId="1" applyFont="1" applyFill="1" applyBorder="1" applyAlignment="1">
      <alignment horizontal="center" vertical="center" wrapText="1"/>
    </xf>
    <xf numFmtId="0" fontId="8" fillId="11" borderId="2" xfId="1" applyFont="1" applyFill="1" applyBorder="1" applyAlignment="1">
      <alignment horizontal="center" vertical="center" wrapText="1"/>
    </xf>
    <xf numFmtId="0" fontId="8" fillId="13" borderId="2" xfId="1" applyFont="1" applyFill="1" applyBorder="1" applyAlignment="1">
      <alignment horizontal="center" vertical="center" wrapText="1"/>
    </xf>
    <xf numFmtId="0" fontId="8" fillId="12" borderId="2" xfId="1" applyFont="1" applyFill="1" applyBorder="1" applyAlignment="1">
      <alignment horizontal="center" vertical="center" wrapText="1"/>
    </xf>
    <xf numFmtId="0" fontId="8" fillId="12" borderId="13" xfId="1" applyFont="1" applyFill="1" applyBorder="1" applyAlignment="1">
      <alignment horizontal="left" vertical="center" wrapText="1"/>
    </xf>
    <xf numFmtId="0" fontId="8" fillId="12" borderId="28" xfId="1" applyFont="1" applyFill="1" applyBorder="1" applyAlignment="1">
      <alignment horizontal="left" vertical="center" wrapText="1"/>
    </xf>
    <xf numFmtId="0" fontId="8" fillId="11" borderId="13" xfId="1" applyFont="1" applyFill="1" applyBorder="1" applyAlignment="1">
      <alignment horizontal="left" vertical="center" wrapText="1"/>
    </xf>
    <xf numFmtId="0" fontId="8" fillId="11" borderId="28" xfId="1" applyFont="1" applyFill="1" applyBorder="1" applyAlignment="1">
      <alignment horizontal="left" vertical="center" wrapText="1"/>
    </xf>
    <xf numFmtId="0" fontId="8" fillId="3" borderId="42" xfId="1" applyFont="1" applyFill="1" applyBorder="1" applyAlignment="1">
      <alignment horizontal="center" vertical="center" wrapText="1"/>
    </xf>
    <xf numFmtId="0" fontId="8" fillId="11" borderId="13" xfId="1" applyFont="1" applyFill="1" applyBorder="1" applyAlignment="1">
      <alignment horizontal="center" vertical="center" wrapText="1"/>
    </xf>
    <xf numFmtId="0" fontId="8" fillId="11" borderId="42" xfId="1" applyFont="1" applyFill="1" applyBorder="1" applyAlignment="1">
      <alignment horizontal="center" vertical="center" wrapText="1"/>
    </xf>
    <xf numFmtId="0" fontId="8" fillId="11" borderId="28" xfId="1" applyFont="1" applyFill="1" applyBorder="1" applyAlignment="1">
      <alignment horizontal="center" vertical="center" wrapText="1"/>
    </xf>
    <xf numFmtId="0" fontId="8" fillId="12" borderId="2" xfId="1" applyFont="1" applyFill="1" applyBorder="1" applyAlignment="1">
      <alignment vertical="center" wrapText="1"/>
    </xf>
    <xf numFmtId="0" fontId="8" fillId="13" borderId="2" xfId="1" applyFont="1" applyFill="1" applyBorder="1" applyAlignment="1">
      <alignment vertical="center" wrapText="1"/>
    </xf>
    <xf numFmtId="0" fontId="8" fillId="3" borderId="2" xfId="1" applyFont="1" applyFill="1" applyBorder="1" applyAlignment="1">
      <alignment vertical="center" wrapText="1"/>
    </xf>
    <xf numFmtId="0" fontId="8" fillId="13" borderId="42" xfId="1" applyFont="1" applyFill="1" applyBorder="1" applyAlignment="1">
      <alignment horizontal="center" vertical="center" wrapText="1"/>
    </xf>
    <xf numFmtId="0" fontId="8" fillId="12" borderId="13" xfId="1" applyFont="1" applyFill="1" applyBorder="1" applyAlignment="1">
      <alignment horizontal="center" vertical="center" wrapText="1"/>
    </xf>
    <xf numFmtId="0" fontId="8" fillId="12" borderId="42" xfId="1" applyFont="1" applyFill="1" applyBorder="1" applyAlignment="1">
      <alignment horizontal="center" vertical="center" wrapText="1"/>
    </xf>
    <xf numFmtId="0" fontId="8" fillId="12" borderId="28" xfId="1" applyFont="1" applyFill="1" applyBorder="1" applyAlignment="1">
      <alignment horizontal="center" vertical="center" wrapText="1"/>
    </xf>
    <xf numFmtId="0" fontId="8" fillId="11" borderId="2" xfId="1" applyFont="1" applyFill="1" applyBorder="1" applyAlignment="1">
      <alignment vertical="center" wrapText="1"/>
    </xf>
    <xf numFmtId="0" fontId="8" fillId="13" borderId="42" xfId="1" applyFont="1" applyFill="1" applyBorder="1" applyAlignment="1">
      <alignment horizontal="left" vertical="center" wrapText="1"/>
    </xf>
    <xf numFmtId="0" fontId="8" fillId="3" borderId="42" xfId="1" applyFont="1" applyFill="1" applyBorder="1" applyAlignment="1">
      <alignment horizontal="left" vertical="center" wrapText="1"/>
    </xf>
    <xf numFmtId="0" fontId="42" fillId="13" borderId="28" xfId="1" applyFont="1" applyFill="1" applyBorder="1" applyAlignment="1">
      <alignment horizontal="center" vertical="center" wrapText="1"/>
    </xf>
    <xf numFmtId="0" fontId="42" fillId="12" borderId="28" xfId="1" applyFont="1" applyFill="1" applyBorder="1" applyAlignment="1">
      <alignment horizontal="center" vertical="center" wrapText="1"/>
    </xf>
    <xf numFmtId="0" fontId="8" fillId="11" borderId="13" xfId="1" applyFont="1" applyFill="1" applyBorder="1" applyAlignment="1">
      <alignment vertical="center" wrapText="1"/>
    </xf>
    <xf numFmtId="0" fontId="8" fillId="11" borderId="42" xfId="1" applyFont="1" applyFill="1" applyBorder="1" applyAlignment="1">
      <alignment vertical="center" wrapText="1"/>
    </xf>
    <xf numFmtId="0" fontId="8" fillId="11" borderId="28" xfId="1" applyFont="1" applyFill="1" applyBorder="1" applyAlignment="1">
      <alignment vertical="center" wrapText="1"/>
    </xf>
    <xf numFmtId="0" fontId="8" fillId="12" borderId="13" xfId="1" applyFont="1" applyFill="1" applyBorder="1" applyAlignment="1">
      <alignment vertical="center" wrapText="1"/>
    </xf>
    <xf numFmtId="0" fontId="8" fillId="12" borderId="42" xfId="1" applyFont="1" applyFill="1" applyBorder="1" applyAlignment="1">
      <alignment vertical="center" wrapText="1"/>
    </xf>
    <xf numFmtId="0" fontId="8" fillId="12" borderId="28" xfId="1" applyFont="1" applyFill="1" applyBorder="1" applyAlignment="1">
      <alignment vertical="center" wrapText="1"/>
    </xf>
    <xf numFmtId="0" fontId="8" fillId="3" borderId="13" xfId="1" applyFont="1" applyFill="1" applyBorder="1" applyAlignment="1">
      <alignment vertical="center" wrapText="1"/>
    </xf>
    <xf numFmtId="0" fontId="8" fillId="3" borderId="42" xfId="1" applyFont="1" applyFill="1" applyBorder="1" applyAlignment="1">
      <alignment vertical="center" wrapText="1"/>
    </xf>
    <xf numFmtId="0" fontId="8" fillId="3" borderId="28" xfId="1" applyFont="1" applyFill="1" applyBorder="1" applyAlignment="1">
      <alignment vertical="center" wrapText="1"/>
    </xf>
    <xf numFmtId="0" fontId="8" fillId="13" borderId="13" xfId="1" applyFont="1" applyFill="1" applyBorder="1" applyAlignment="1">
      <alignment vertical="center" wrapText="1"/>
    </xf>
    <xf numFmtId="0" fontId="8" fillId="13" borderId="42" xfId="1" applyFont="1" applyFill="1" applyBorder="1" applyAlignment="1">
      <alignment vertical="center" wrapText="1"/>
    </xf>
    <xf numFmtId="0" fontId="8" fillId="13" borderId="28" xfId="1" applyFont="1" applyFill="1" applyBorder="1" applyAlignment="1">
      <alignment vertical="center" wrapText="1"/>
    </xf>
    <xf numFmtId="0" fontId="44" fillId="10" borderId="2" xfId="1" applyFont="1" applyFill="1" applyBorder="1" applyAlignment="1">
      <alignment horizontal="center" vertical="center" wrapText="1"/>
    </xf>
    <xf numFmtId="0" fontId="17" fillId="10" borderId="13" xfId="1" applyFont="1" applyFill="1" applyBorder="1" applyAlignment="1">
      <alignment horizontal="center" vertical="center" wrapText="1"/>
    </xf>
    <xf numFmtId="0" fontId="17" fillId="10" borderId="28" xfId="1" applyFont="1" applyFill="1" applyBorder="1" applyAlignment="1">
      <alignment horizontal="center" vertical="center" wrapText="1"/>
    </xf>
    <xf numFmtId="0" fontId="17" fillId="10" borderId="2" xfId="7" applyNumberFormat="1" applyFont="1" applyFill="1" applyBorder="1" applyAlignment="1">
      <alignment horizontal="left" vertical="center" wrapText="1"/>
    </xf>
  </cellXfs>
  <cellStyles count="8">
    <cellStyle name="常规" xfId="0" builtinId="0"/>
    <cellStyle name="常规 2" xfId="1"/>
    <cellStyle name="常规 22" xfId="3"/>
    <cellStyle name="常规 3 3 3" xfId="5"/>
    <cellStyle name="常规 6 3" xfId="6"/>
    <cellStyle name="常规 6 4" xfId="7"/>
    <cellStyle name="常规 7 8 2" xfId="4"/>
    <cellStyle name="常规 74" xfId="2"/>
  </cellStyles>
  <dxfs count="3">
    <dxf>
      <font>
        <color auto="1"/>
      </font>
      <fill>
        <patternFill>
          <bgColor theme="4" tint="0.79998168889431442"/>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276226</xdr:colOff>
      <xdr:row>0</xdr:row>
      <xdr:rowOff>47625</xdr:rowOff>
    </xdr:from>
    <xdr:ext cx="0" cy="523958"/>
    <xdr:pic>
      <xdr:nvPicPr>
        <xdr:cNvPr id="2" name="图片 2" descr="rId1">
          <a:extLst>
            <a:ext uri="{FF2B5EF4-FFF2-40B4-BE49-F238E27FC236}">
              <a16:creationId xmlns:a16="http://schemas.microsoft.com/office/drawing/2014/main" id="{FE5BB1E2-AEEC-4B52-8AA0-26CB7E467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2876" y="47625"/>
          <a:ext cx="0" cy="523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247650</xdr:colOff>
      <xdr:row>0</xdr:row>
      <xdr:rowOff>57150</xdr:rowOff>
    </xdr:from>
    <xdr:ext cx="0" cy="571418"/>
    <xdr:pic>
      <xdr:nvPicPr>
        <xdr:cNvPr id="3" name="图片 2" descr="rId1">
          <a:extLst>
            <a:ext uri="{FF2B5EF4-FFF2-40B4-BE49-F238E27FC236}">
              <a16:creationId xmlns:a16="http://schemas.microsoft.com/office/drawing/2014/main" id="{2E35ED44-BCFC-4D74-BD91-E2AA0836C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4300" y="57150"/>
          <a:ext cx="0" cy="571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36</xdr:col>
      <xdr:colOff>762000</xdr:colOff>
      <xdr:row>0</xdr:row>
      <xdr:rowOff>971550</xdr:rowOff>
    </xdr:from>
    <xdr:ext cx="38735813" cy="41529000"/>
    <xdr:pic>
      <xdr:nvPicPr>
        <xdr:cNvPr id="2" name="图片 1"/>
        <xdr:cNvPicPr>
          <a:picLocks noChangeAspect="1"/>
        </xdr:cNvPicPr>
      </xdr:nvPicPr>
      <xdr:blipFill>
        <a:blip xmlns:r="http://schemas.openxmlformats.org/officeDocument/2006/relationships" r:embed="rId1"/>
        <a:stretch>
          <a:fillRect/>
        </a:stretch>
      </xdr:blipFill>
      <xdr:spPr>
        <a:xfrm>
          <a:off x="52539900" y="180975"/>
          <a:ext cx="38735813" cy="415290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D29"/>
  <sheetViews>
    <sheetView tabSelected="1" workbookViewId="0">
      <selection activeCell="B18" sqref="B18"/>
    </sheetView>
  </sheetViews>
  <sheetFormatPr defaultColWidth="0" defaultRowHeight="12.75" customHeight="1" zeroHeight="1"/>
  <cols>
    <col min="1" max="2" width="24.125" style="1" customWidth="1"/>
    <col min="3" max="3" width="28.375" style="1" customWidth="1"/>
    <col min="4" max="4" width="15.75" style="1" hidden="1" customWidth="1"/>
    <col min="5" max="16384" width="8" style="1" hidden="1"/>
  </cols>
  <sheetData>
    <row r="1" spans="1:3" ht="14.25">
      <c r="A1" s="2"/>
      <c r="B1" s="2"/>
      <c r="C1" s="2"/>
    </row>
    <row r="2" spans="1:3" ht="14.25">
      <c r="A2" s="2"/>
      <c r="B2" s="2"/>
      <c r="C2" s="2"/>
    </row>
    <row r="3" spans="1:3" ht="14.25">
      <c r="A3" s="2"/>
      <c r="B3" s="2"/>
      <c r="C3" s="2"/>
    </row>
    <row r="4" spans="1:3" ht="14.25">
      <c r="A4" s="2"/>
      <c r="B4" s="2"/>
      <c r="C4" s="2"/>
    </row>
    <row r="5" spans="1:3" ht="24.75" customHeight="1">
      <c r="A5" s="2"/>
      <c r="B5" s="2"/>
      <c r="C5" s="2"/>
    </row>
    <row r="6" spans="1:3" ht="24.75" customHeight="1">
      <c r="A6" s="2"/>
      <c r="B6" s="2"/>
      <c r="C6" s="2"/>
    </row>
    <row r="7" spans="1:3" ht="24.75" customHeight="1">
      <c r="A7" s="2"/>
      <c r="B7" s="2"/>
      <c r="C7" s="2"/>
    </row>
    <row r="8" spans="1:3" ht="24.75" customHeight="1">
      <c r="A8" s="2"/>
      <c r="B8" s="2"/>
      <c r="C8" s="2"/>
    </row>
    <row r="9" spans="1:3" ht="24.75" customHeight="1">
      <c r="A9" s="2"/>
      <c r="B9" s="2"/>
      <c r="C9" s="2"/>
    </row>
    <row r="10" spans="1:3" ht="24.75" customHeight="1">
      <c r="A10" s="2"/>
      <c r="B10" s="2"/>
      <c r="C10" s="2"/>
    </row>
    <row r="11" spans="1:3" ht="33.75">
      <c r="A11" s="7" t="s">
        <v>1</v>
      </c>
      <c r="B11" s="2"/>
      <c r="C11" s="2"/>
    </row>
    <row r="12" spans="1:3" ht="33.75">
      <c r="A12" s="7" t="s">
        <v>5009</v>
      </c>
      <c r="B12" s="2"/>
      <c r="C12" s="2"/>
    </row>
    <row r="13" spans="1:3" ht="19.5" customHeight="1">
      <c r="A13" s="6"/>
      <c r="B13" s="6"/>
      <c r="C13" s="6"/>
    </row>
    <row r="14" spans="1:3" ht="20.100000000000001" customHeight="1">
      <c r="A14" s="2"/>
      <c r="B14" s="2"/>
      <c r="C14" s="2"/>
    </row>
    <row r="15" spans="1:3" ht="18.75">
      <c r="A15" s="4" t="s">
        <v>5010</v>
      </c>
      <c r="B15" s="5"/>
      <c r="C15" s="2"/>
    </row>
    <row r="16" spans="1:3" ht="18.75">
      <c r="A16" s="4" t="s">
        <v>5011</v>
      </c>
      <c r="B16" s="5"/>
      <c r="C16" s="2"/>
    </row>
    <row r="17" spans="1:3" ht="18.75">
      <c r="A17" s="4" t="s">
        <v>5012</v>
      </c>
      <c r="B17" s="2"/>
      <c r="C17" s="2"/>
    </row>
    <row r="18" spans="1:3" ht="20.100000000000001" customHeight="1">
      <c r="A18" s="2"/>
      <c r="B18" s="2"/>
      <c r="C18" s="2"/>
    </row>
    <row r="19" spans="1:3" ht="18.75" customHeight="1">
      <c r="A19" s="2"/>
      <c r="B19" s="2"/>
      <c r="C19" s="2"/>
    </row>
    <row r="20" spans="1:3" ht="18.75" customHeight="1">
      <c r="A20" s="2"/>
      <c r="B20" s="2"/>
      <c r="C20" s="2"/>
    </row>
    <row r="21" spans="1:3" ht="18.75" customHeight="1">
      <c r="A21" s="2"/>
      <c r="B21" s="2"/>
      <c r="C21" s="2"/>
    </row>
    <row r="22" spans="1:3" ht="18.75" customHeight="1">
      <c r="A22" s="2"/>
      <c r="B22" s="2"/>
      <c r="C22" s="2"/>
    </row>
    <row r="23" spans="1:3" ht="18.75" customHeight="1">
      <c r="A23" s="2"/>
      <c r="B23" s="2"/>
      <c r="C23" s="2"/>
    </row>
    <row r="24" spans="1:3" ht="18.75" customHeight="1">
      <c r="A24" s="2"/>
      <c r="B24" s="2"/>
      <c r="C24" s="2"/>
    </row>
    <row r="25" spans="1:3" ht="18.75" customHeight="1">
      <c r="A25" s="2"/>
      <c r="B25" s="2"/>
      <c r="C25" s="2"/>
    </row>
    <row r="26" spans="1:3" ht="18.75" customHeight="1">
      <c r="A26" s="2"/>
      <c r="B26" s="2"/>
      <c r="C26" s="2"/>
    </row>
    <row r="27" spans="1:3" ht="18.75" customHeight="1">
      <c r="A27" s="2"/>
      <c r="B27" s="2"/>
      <c r="C27" s="2"/>
    </row>
    <row r="28" spans="1:3" ht="18">
      <c r="A28" s="3" t="s">
        <v>0</v>
      </c>
      <c r="B28" s="2"/>
      <c r="C28" s="2"/>
    </row>
    <row r="29" spans="1:3" ht="18.75" customHeight="1">
      <c r="A29" s="2"/>
      <c r="B29" s="2"/>
      <c r="C29" s="2"/>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D29"/>
  <sheetViews>
    <sheetView workbookViewId="0">
      <selection activeCell="C11" sqref="C11"/>
    </sheetView>
  </sheetViews>
  <sheetFormatPr defaultColWidth="0" defaultRowHeight="0" customHeight="1" zeroHeight="1"/>
  <cols>
    <col min="1" max="2" width="24.125" style="1" customWidth="1"/>
    <col min="3" max="3" width="28.375" style="1" customWidth="1"/>
    <col min="4" max="4" width="15.75" style="1" hidden="1" customWidth="1"/>
    <col min="5" max="16384" width="8" style="1" hidden="1"/>
  </cols>
  <sheetData>
    <row r="1" spans="1:3" ht="14.25">
      <c r="A1" s="2"/>
      <c r="B1" s="2"/>
      <c r="C1" s="2"/>
    </row>
    <row r="2" spans="1:3" ht="14.25">
      <c r="A2" s="2"/>
      <c r="B2" s="2"/>
      <c r="C2" s="2"/>
    </row>
    <row r="3" spans="1:3" ht="14.25">
      <c r="A3" s="2"/>
      <c r="B3" s="2"/>
      <c r="C3" s="2"/>
    </row>
    <row r="4" spans="1:3" ht="14.25">
      <c r="A4" s="2"/>
      <c r="B4" s="2"/>
      <c r="C4" s="2"/>
    </row>
    <row r="5" spans="1:3" ht="24.75" customHeight="1">
      <c r="A5" s="2"/>
      <c r="B5" s="2"/>
      <c r="C5" s="2"/>
    </row>
    <row r="6" spans="1:3" ht="24.75" customHeight="1">
      <c r="A6" s="2"/>
      <c r="B6" s="2"/>
      <c r="C6" s="2"/>
    </row>
    <row r="7" spans="1:3" ht="24.75" customHeight="1">
      <c r="A7" s="2"/>
      <c r="B7" s="2"/>
      <c r="C7" s="2"/>
    </row>
    <row r="8" spans="1:3" ht="24.75" customHeight="1">
      <c r="A8" s="2"/>
      <c r="B8" s="2"/>
      <c r="C8" s="2"/>
    </row>
    <row r="9" spans="1:3" ht="24.75" customHeight="1">
      <c r="A9" s="2"/>
      <c r="B9" s="2"/>
      <c r="C9" s="2"/>
    </row>
    <row r="10" spans="1:3" ht="24.75" customHeight="1">
      <c r="A10" s="2"/>
      <c r="B10" s="2"/>
      <c r="C10" s="2"/>
    </row>
    <row r="11" spans="1:3" ht="24.75" customHeight="1">
      <c r="A11" s="2"/>
      <c r="B11" s="2"/>
      <c r="C11" s="2"/>
    </row>
    <row r="12" spans="1:3" ht="33.75">
      <c r="A12" s="7"/>
      <c r="B12" s="2"/>
      <c r="C12" s="2"/>
    </row>
    <row r="13" spans="1:3" ht="20.100000000000001" customHeight="1">
      <c r="A13" s="2"/>
      <c r="B13" s="2"/>
      <c r="C13" s="2"/>
    </row>
    <row r="14" spans="1:3" ht="20.100000000000001" customHeight="1">
      <c r="A14" s="233" t="s">
        <v>2848</v>
      </c>
      <c r="B14" s="234"/>
      <c r="C14" s="234"/>
    </row>
    <row r="15" spans="1:3" ht="20.100000000000001" customHeight="1">
      <c r="A15" s="234"/>
      <c r="B15" s="234"/>
      <c r="C15" s="234"/>
    </row>
    <row r="16" spans="1:3" ht="20.100000000000001" customHeight="1">
      <c r="A16" s="234"/>
      <c r="B16" s="234"/>
      <c r="C16" s="234"/>
    </row>
    <row r="17" spans="1:3" ht="20.100000000000001" customHeight="1">
      <c r="A17" s="234"/>
      <c r="B17" s="234"/>
      <c r="C17" s="234"/>
    </row>
    <row r="18" spans="1:3" ht="20.100000000000001" customHeight="1">
      <c r="A18" s="234"/>
      <c r="B18" s="234"/>
      <c r="C18" s="234"/>
    </row>
    <row r="19" spans="1:3" ht="18.75" customHeight="1">
      <c r="A19" s="234"/>
      <c r="B19" s="234"/>
      <c r="C19" s="234"/>
    </row>
    <row r="20" spans="1:3" ht="18.75" customHeight="1">
      <c r="A20" s="234"/>
      <c r="B20" s="234"/>
      <c r="C20" s="234"/>
    </row>
    <row r="21" spans="1:3" ht="18.75" customHeight="1">
      <c r="A21" s="234"/>
      <c r="B21" s="234"/>
      <c r="C21" s="234"/>
    </row>
    <row r="22" spans="1:3" ht="18.75" customHeight="1">
      <c r="A22" s="234"/>
      <c r="B22" s="234"/>
      <c r="C22" s="234"/>
    </row>
    <row r="23" spans="1:3" ht="18.75" customHeight="1">
      <c r="A23" s="234"/>
      <c r="B23" s="234"/>
      <c r="C23" s="234"/>
    </row>
    <row r="24" spans="1:3" ht="18.75" customHeight="1">
      <c r="A24" s="234"/>
      <c r="B24" s="234"/>
      <c r="C24" s="234"/>
    </row>
    <row r="25" spans="1:3" ht="18.75" customHeight="1">
      <c r="A25" s="234"/>
      <c r="B25" s="234"/>
      <c r="C25" s="234"/>
    </row>
    <row r="26" spans="1:3" ht="18.75" customHeight="1">
      <c r="A26" s="234"/>
      <c r="B26" s="234"/>
      <c r="C26" s="234"/>
    </row>
    <row r="27" spans="1:3" ht="18.75" customHeight="1">
      <c r="A27" s="2"/>
      <c r="B27" s="2"/>
      <c r="C27" s="2"/>
    </row>
    <row r="28" spans="1:3" ht="18">
      <c r="A28" s="3"/>
      <c r="B28" s="2"/>
      <c r="C28" s="2"/>
    </row>
    <row r="29" spans="1:3" ht="18.75" customHeight="1">
      <c r="A29" s="2"/>
      <c r="B29" s="2"/>
      <c r="C29" s="2"/>
    </row>
  </sheetData>
  <mergeCells count="1">
    <mergeCell ref="A14:C2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29"/>
  <sheetViews>
    <sheetView zoomScale="130" zoomScaleNormal="130" workbookViewId="0">
      <selection activeCell="B9" sqref="B9"/>
    </sheetView>
  </sheetViews>
  <sheetFormatPr defaultColWidth="0" defaultRowHeight="0" customHeight="1" zeroHeight="1"/>
  <cols>
    <col min="1" max="1" width="8" style="9" bestFit="1" customWidth="1"/>
    <col min="2" max="2" width="53" style="8" customWidth="1"/>
    <col min="3" max="3" width="9.125" style="9" customWidth="1"/>
    <col min="4" max="4" width="12.5" style="9" bestFit="1" customWidth="1"/>
    <col min="5" max="5" width="15.75" style="8" hidden="1" customWidth="1"/>
    <col min="6" max="16384" width="8" style="8" hidden="1"/>
  </cols>
  <sheetData>
    <row r="1" spans="1:4" ht="14.25">
      <c r="A1" s="235" t="s">
        <v>7</v>
      </c>
      <c r="B1" s="235"/>
      <c r="C1" s="235"/>
      <c r="D1" s="235"/>
    </row>
    <row r="2" spans="1:4" ht="14.25">
      <c r="A2" s="235"/>
      <c r="B2" s="235"/>
      <c r="C2" s="235"/>
      <c r="D2" s="235"/>
    </row>
    <row r="3" spans="1:4" ht="14.25">
      <c r="A3" s="20" t="s">
        <v>6</v>
      </c>
      <c r="B3" s="19" t="s">
        <v>5</v>
      </c>
      <c r="C3" s="19" t="s">
        <v>4</v>
      </c>
      <c r="D3" s="19" t="s">
        <v>3</v>
      </c>
    </row>
    <row r="4" spans="1:4" ht="14.25">
      <c r="A4" s="18" t="s">
        <v>5013</v>
      </c>
      <c r="B4" s="16" t="s">
        <v>5016</v>
      </c>
      <c r="C4" s="15" t="s">
        <v>2</v>
      </c>
      <c r="D4" s="14" t="s">
        <v>5014</v>
      </c>
    </row>
    <row r="5" spans="1:4" ht="14.25">
      <c r="A5" s="18"/>
      <c r="B5" s="16"/>
      <c r="C5" s="15"/>
      <c r="D5" s="14"/>
    </row>
    <row r="6" spans="1:4" ht="14.25">
      <c r="A6" s="18"/>
      <c r="B6" s="16"/>
      <c r="C6" s="15"/>
      <c r="D6" s="14"/>
    </row>
    <row r="7" spans="1:4" ht="14.25">
      <c r="A7" s="18"/>
      <c r="B7" s="16"/>
      <c r="C7" s="15"/>
      <c r="D7" s="14"/>
    </row>
    <row r="8" spans="1:4" ht="14.25">
      <c r="A8" s="18"/>
      <c r="B8" s="16"/>
      <c r="C8" s="15"/>
      <c r="D8" s="14"/>
    </row>
    <row r="9" spans="1:4" ht="14.25">
      <c r="A9" s="18"/>
      <c r="B9" s="16"/>
      <c r="C9" s="15"/>
      <c r="D9" s="14"/>
    </row>
    <row r="10" spans="1:4" ht="14.25">
      <c r="A10" s="18"/>
      <c r="B10" s="16"/>
      <c r="C10" s="15"/>
      <c r="D10" s="14"/>
    </row>
    <row r="11" spans="1:4" ht="14.25">
      <c r="A11" s="18"/>
      <c r="B11" s="16"/>
      <c r="C11" s="15"/>
      <c r="D11" s="14"/>
    </row>
    <row r="12" spans="1:4" ht="14.25">
      <c r="A12" s="18"/>
      <c r="B12" s="16"/>
      <c r="C12" s="15"/>
      <c r="D12" s="14"/>
    </row>
    <row r="13" spans="1:4" ht="14.25">
      <c r="A13" s="18"/>
      <c r="B13" s="16"/>
      <c r="C13" s="15"/>
      <c r="D13" s="14"/>
    </row>
    <row r="14" spans="1:4" ht="14.25">
      <c r="A14" s="18"/>
      <c r="B14" s="16"/>
      <c r="C14" s="15"/>
      <c r="D14" s="14"/>
    </row>
    <row r="15" spans="1:4" ht="14.25">
      <c r="A15" s="18"/>
      <c r="B15" s="16"/>
      <c r="C15" s="15"/>
      <c r="D15" s="14"/>
    </row>
    <row r="16" spans="1:4" ht="14.25">
      <c r="A16" s="17"/>
      <c r="B16" s="16"/>
      <c r="C16" s="15"/>
      <c r="D16" s="14"/>
    </row>
    <row r="17" spans="1:4" ht="18">
      <c r="A17" s="13"/>
      <c r="B17" s="11"/>
      <c r="C17" s="10"/>
      <c r="D17" s="10"/>
    </row>
    <row r="18" spans="1:4" ht="14.25">
      <c r="A18" s="10"/>
      <c r="B18" s="11"/>
      <c r="C18" s="10"/>
      <c r="D18" s="10"/>
    </row>
    <row r="19" spans="1:4" ht="14.25">
      <c r="A19" s="10"/>
      <c r="B19" s="11"/>
      <c r="C19" s="10"/>
      <c r="D19" s="10"/>
    </row>
    <row r="20" spans="1:4" ht="14.25">
      <c r="A20" s="10"/>
      <c r="B20" s="11"/>
      <c r="C20" s="10"/>
      <c r="D20" s="10"/>
    </row>
    <row r="21" spans="1:4" ht="14.25">
      <c r="A21" s="10"/>
      <c r="B21" s="11"/>
      <c r="C21" s="10"/>
      <c r="D21" s="10"/>
    </row>
    <row r="22" spans="1:4" ht="14.25">
      <c r="A22" s="10"/>
      <c r="B22" s="11"/>
      <c r="C22" s="10"/>
      <c r="D22" s="10"/>
    </row>
    <row r="23" spans="1:4" ht="14.25">
      <c r="A23" s="10"/>
      <c r="B23" s="11"/>
      <c r="C23" s="10"/>
      <c r="D23" s="10"/>
    </row>
    <row r="24" spans="1:4" ht="14.25">
      <c r="A24" s="10"/>
      <c r="B24" s="11"/>
      <c r="C24" s="10"/>
      <c r="D24" s="10"/>
    </row>
    <row r="25" spans="1:4" ht="14.25">
      <c r="A25" s="10"/>
      <c r="B25" s="11"/>
      <c r="C25" s="10"/>
      <c r="D25" s="10"/>
    </row>
    <row r="26" spans="1:4" ht="14.25">
      <c r="A26" s="10"/>
      <c r="B26" s="11"/>
      <c r="C26" s="10"/>
      <c r="D26" s="10"/>
    </row>
    <row r="27" spans="1:4" ht="14.25">
      <c r="A27" s="10"/>
      <c r="B27" s="11"/>
      <c r="C27" s="10"/>
      <c r="D27" s="10"/>
    </row>
    <row r="28" spans="1:4" ht="15">
      <c r="A28" s="12"/>
      <c r="B28" s="11"/>
      <c r="C28" s="10"/>
      <c r="D28" s="10"/>
    </row>
    <row r="29" spans="1:4" ht="14.25">
      <c r="A29" s="10"/>
      <c r="B29" s="11"/>
      <c r="C29" s="10"/>
      <c r="D29" s="10"/>
    </row>
  </sheetData>
  <mergeCells count="1">
    <mergeCell ref="A1:D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1:E32"/>
  <sheetViews>
    <sheetView workbookViewId="0">
      <selection activeCell="C21" sqref="C21:E21"/>
    </sheetView>
  </sheetViews>
  <sheetFormatPr defaultRowHeight="14.25"/>
  <cols>
    <col min="1" max="1" width="1" style="1" customWidth="1"/>
    <col min="2" max="2" width="9.375" style="1" bestFit="1" customWidth="1"/>
    <col min="3" max="4" width="9" style="1"/>
    <col min="5" max="5" width="91.125" style="1" customWidth="1"/>
    <col min="6" max="16384" width="9" style="1"/>
  </cols>
  <sheetData>
    <row r="1" spans="2:5" ht="15" thickBot="1"/>
    <row r="2" spans="2:5" ht="20.25" thickBot="1">
      <c r="B2" s="245" t="s">
        <v>65</v>
      </c>
      <c r="C2" s="246"/>
      <c r="D2" s="246"/>
      <c r="E2" s="247"/>
    </row>
    <row r="3" spans="2:5" ht="15" thickBot="1">
      <c r="B3" s="248" t="s">
        <v>64</v>
      </c>
      <c r="C3" s="249"/>
      <c r="D3" s="249"/>
      <c r="E3" s="250"/>
    </row>
    <row r="4" spans="2:5" ht="19.5">
      <c r="B4" s="251" t="s">
        <v>63</v>
      </c>
      <c r="C4" s="252"/>
      <c r="D4" s="252"/>
      <c r="E4" s="253"/>
    </row>
    <row r="5" spans="2:5">
      <c r="B5" s="25" t="s">
        <v>62</v>
      </c>
      <c r="C5" s="254" t="s">
        <v>61</v>
      </c>
      <c r="D5" s="254"/>
      <c r="E5" s="255"/>
    </row>
    <row r="6" spans="2:5">
      <c r="B6" s="22" t="s">
        <v>60</v>
      </c>
      <c r="C6" s="241" t="s">
        <v>59</v>
      </c>
      <c r="D6" s="241"/>
      <c r="E6" s="242"/>
    </row>
    <row r="7" spans="2:5">
      <c r="B7" s="22" t="s">
        <v>58</v>
      </c>
      <c r="C7" s="241" t="s">
        <v>57</v>
      </c>
      <c r="D7" s="241"/>
      <c r="E7" s="242"/>
    </row>
    <row r="8" spans="2:5">
      <c r="B8" s="22" t="s">
        <v>56</v>
      </c>
      <c r="C8" s="241" t="s">
        <v>55</v>
      </c>
      <c r="D8" s="241"/>
      <c r="E8" s="242"/>
    </row>
    <row r="9" spans="2:5">
      <c r="B9" s="22" t="s">
        <v>54</v>
      </c>
      <c r="C9" s="241" t="s">
        <v>53</v>
      </c>
      <c r="D9" s="241"/>
      <c r="E9" s="242"/>
    </row>
    <row r="10" spans="2:5">
      <c r="B10" s="22" t="s">
        <v>52</v>
      </c>
      <c r="C10" s="241" t="s">
        <v>51</v>
      </c>
      <c r="D10" s="241"/>
      <c r="E10" s="242"/>
    </row>
    <row r="11" spans="2:5">
      <c r="B11" s="22" t="s">
        <v>50</v>
      </c>
      <c r="C11" s="241" t="s">
        <v>49</v>
      </c>
      <c r="D11" s="241"/>
      <c r="E11" s="242"/>
    </row>
    <row r="12" spans="2:5">
      <c r="B12" s="22" t="s">
        <v>48</v>
      </c>
      <c r="C12" s="241" t="s">
        <v>47</v>
      </c>
      <c r="D12" s="241"/>
      <c r="E12" s="242"/>
    </row>
    <row r="13" spans="2:5">
      <c r="B13" s="22" t="s">
        <v>46</v>
      </c>
      <c r="C13" s="241" t="s">
        <v>45</v>
      </c>
      <c r="D13" s="241"/>
      <c r="E13" s="242"/>
    </row>
    <row r="14" spans="2:5">
      <c r="B14" s="22" t="s">
        <v>44</v>
      </c>
      <c r="C14" s="241" t="s">
        <v>43</v>
      </c>
      <c r="D14" s="241"/>
      <c r="E14" s="242"/>
    </row>
    <row r="15" spans="2:5">
      <c r="B15" s="22" t="s">
        <v>42</v>
      </c>
      <c r="C15" s="241" t="s">
        <v>41</v>
      </c>
      <c r="D15" s="241"/>
      <c r="E15" s="242"/>
    </row>
    <row r="16" spans="2:5">
      <c r="B16" s="22" t="s">
        <v>40</v>
      </c>
      <c r="C16" s="241" t="s">
        <v>39</v>
      </c>
      <c r="D16" s="241"/>
      <c r="E16" s="242"/>
    </row>
    <row r="17" spans="2:5">
      <c r="B17" s="22" t="s">
        <v>38</v>
      </c>
      <c r="C17" s="241" t="s">
        <v>37</v>
      </c>
      <c r="D17" s="241"/>
      <c r="E17" s="242"/>
    </row>
    <row r="18" spans="2:5">
      <c r="B18" s="22" t="s">
        <v>36</v>
      </c>
      <c r="C18" s="241" t="s">
        <v>35</v>
      </c>
      <c r="D18" s="241"/>
      <c r="E18" s="242"/>
    </row>
    <row r="19" spans="2:5">
      <c r="B19" s="22" t="s">
        <v>34</v>
      </c>
      <c r="C19" s="241" t="s">
        <v>33</v>
      </c>
      <c r="D19" s="241"/>
      <c r="E19" s="242"/>
    </row>
    <row r="20" spans="2:5">
      <c r="B20" s="22" t="s">
        <v>32</v>
      </c>
      <c r="C20" s="241" t="s">
        <v>31</v>
      </c>
      <c r="D20" s="241"/>
      <c r="E20" s="242"/>
    </row>
    <row r="21" spans="2:5">
      <c r="B21" s="23" t="s">
        <v>30</v>
      </c>
      <c r="C21" s="243" t="s">
        <v>29</v>
      </c>
      <c r="D21" s="243"/>
      <c r="E21" s="244"/>
    </row>
    <row r="22" spans="2:5" ht="28.5">
      <c r="B22" s="24" t="s">
        <v>28</v>
      </c>
      <c r="C22" s="243" t="s">
        <v>27</v>
      </c>
      <c r="D22" s="243"/>
      <c r="E22" s="244"/>
    </row>
    <row r="23" spans="2:5">
      <c r="B23" s="23" t="s">
        <v>26</v>
      </c>
      <c r="C23" s="243" t="s">
        <v>25</v>
      </c>
      <c r="D23" s="243"/>
      <c r="E23" s="244"/>
    </row>
    <row r="24" spans="2:5">
      <c r="B24" s="23" t="s">
        <v>24</v>
      </c>
      <c r="C24" s="243" t="s">
        <v>23</v>
      </c>
      <c r="D24" s="243"/>
      <c r="E24" s="244"/>
    </row>
    <row r="25" spans="2:5" ht="15" thickBot="1">
      <c r="B25" s="23" t="s">
        <v>22</v>
      </c>
      <c r="C25" s="243" t="s">
        <v>21</v>
      </c>
      <c r="D25" s="243"/>
      <c r="E25" s="244"/>
    </row>
    <row r="26" spans="2:5" ht="19.5">
      <c r="B26" s="238" t="s">
        <v>20</v>
      </c>
      <c r="C26" s="239"/>
      <c r="D26" s="239"/>
      <c r="E26" s="240"/>
    </row>
    <row r="27" spans="2:5">
      <c r="B27" s="22" t="s">
        <v>19</v>
      </c>
      <c r="C27" s="241" t="s">
        <v>18</v>
      </c>
      <c r="D27" s="241"/>
      <c r="E27" s="242"/>
    </row>
    <row r="28" spans="2:5">
      <c r="B28" s="22" t="s">
        <v>17</v>
      </c>
      <c r="C28" s="241" t="s">
        <v>16</v>
      </c>
      <c r="D28" s="241"/>
      <c r="E28" s="242"/>
    </row>
    <row r="29" spans="2:5">
      <c r="B29" s="22" t="s">
        <v>15</v>
      </c>
      <c r="C29" s="241" t="s">
        <v>14</v>
      </c>
      <c r="D29" s="241"/>
      <c r="E29" s="242"/>
    </row>
    <row r="30" spans="2:5">
      <c r="B30" s="22" t="s">
        <v>13</v>
      </c>
      <c r="C30" s="241" t="s">
        <v>12</v>
      </c>
      <c r="D30" s="241"/>
      <c r="E30" s="242"/>
    </row>
    <row r="31" spans="2:5">
      <c r="B31" s="22" t="s">
        <v>11</v>
      </c>
      <c r="C31" s="241" t="s">
        <v>10</v>
      </c>
      <c r="D31" s="241"/>
      <c r="E31" s="242"/>
    </row>
    <row r="32" spans="2:5" ht="15" thickBot="1">
      <c r="B32" s="21" t="s">
        <v>9</v>
      </c>
      <c r="C32" s="236" t="s">
        <v>8</v>
      </c>
      <c r="D32" s="236"/>
      <c r="E32" s="237"/>
    </row>
  </sheetData>
  <mergeCells count="31">
    <mergeCell ref="C13:E13"/>
    <mergeCell ref="B2:E2"/>
    <mergeCell ref="B3:E3"/>
    <mergeCell ref="B4:E4"/>
    <mergeCell ref="C5:E5"/>
    <mergeCell ref="C6:E6"/>
    <mergeCell ref="C7:E7"/>
    <mergeCell ref="C8:E8"/>
    <mergeCell ref="C9:E9"/>
    <mergeCell ref="C10:E10"/>
    <mergeCell ref="C11:E11"/>
    <mergeCell ref="C12:E12"/>
    <mergeCell ref="C25:E25"/>
    <mergeCell ref="C14:E14"/>
    <mergeCell ref="C15:E15"/>
    <mergeCell ref="C16:E16"/>
    <mergeCell ref="C17:E17"/>
    <mergeCell ref="C18:E18"/>
    <mergeCell ref="C19:E19"/>
    <mergeCell ref="C20:E20"/>
    <mergeCell ref="C21:E21"/>
    <mergeCell ref="C22:E22"/>
    <mergeCell ref="C24:E24"/>
    <mergeCell ref="C23:E23"/>
    <mergeCell ref="C32:E32"/>
    <mergeCell ref="B26:E26"/>
    <mergeCell ref="C27:E27"/>
    <mergeCell ref="C28:E28"/>
    <mergeCell ref="C29:E29"/>
    <mergeCell ref="C30:E30"/>
    <mergeCell ref="C31:E3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20"/>
  <sheetViews>
    <sheetView zoomScale="10" zoomScaleNormal="10" workbookViewId="0">
      <pane ySplit="1" topLeftCell="A2" activePane="bottomLeft" state="frozen"/>
      <selection activeCell="J159" sqref="J159"/>
      <selection pane="bottomLeft" activeCell="AB44" sqref="AB44"/>
    </sheetView>
  </sheetViews>
  <sheetFormatPr defaultColWidth="18.875" defaultRowHeight="121.5" customHeight="1"/>
  <cols>
    <col min="1" max="1" width="14.625" style="28" customWidth="1"/>
    <col min="2" max="35" width="14.625" style="27" customWidth="1"/>
    <col min="36" max="16384" width="18.875" style="26"/>
  </cols>
  <sheetData>
    <row r="1" spans="1:36" ht="90.95" customHeight="1" thickBot="1">
      <c r="A1" s="114">
        <f>36*33-32*29+23*26-15*18+12*14-COUNTIF(B2:AH37,"NP")</f>
        <v>550</v>
      </c>
      <c r="B1" s="43" t="s">
        <v>99</v>
      </c>
      <c r="C1" s="43" t="s">
        <v>98</v>
      </c>
      <c r="D1" s="43" t="s">
        <v>97</v>
      </c>
      <c r="E1" s="43" t="s">
        <v>96</v>
      </c>
      <c r="F1" s="43" t="s">
        <v>95</v>
      </c>
      <c r="G1" s="43" t="s">
        <v>94</v>
      </c>
      <c r="H1" s="43" t="s">
        <v>93</v>
      </c>
      <c r="I1" s="43" t="s">
        <v>92</v>
      </c>
      <c r="J1" s="43" t="s">
        <v>91</v>
      </c>
      <c r="K1" s="43" t="s">
        <v>90</v>
      </c>
      <c r="L1" s="43" t="s">
        <v>89</v>
      </c>
      <c r="M1" s="43" t="s">
        <v>88</v>
      </c>
      <c r="N1" s="43" t="s">
        <v>87</v>
      </c>
      <c r="O1" s="43" t="s">
        <v>86</v>
      </c>
      <c r="P1" s="43" t="s">
        <v>85</v>
      </c>
      <c r="Q1" s="43" t="s">
        <v>84</v>
      </c>
      <c r="R1" s="43" t="s">
        <v>83</v>
      </c>
      <c r="S1" s="43" t="s">
        <v>82</v>
      </c>
      <c r="T1" s="43" t="s">
        <v>81</v>
      </c>
      <c r="U1" s="43" t="s">
        <v>80</v>
      </c>
      <c r="V1" s="43" t="s">
        <v>79</v>
      </c>
      <c r="W1" s="43" t="s">
        <v>78</v>
      </c>
      <c r="X1" s="43" t="s">
        <v>77</v>
      </c>
      <c r="Y1" s="43" t="s">
        <v>76</v>
      </c>
      <c r="Z1" s="43" t="s">
        <v>75</v>
      </c>
      <c r="AA1" s="43" t="s">
        <v>74</v>
      </c>
      <c r="AB1" s="43" t="s">
        <v>73</v>
      </c>
      <c r="AC1" s="43" t="s">
        <v>72</v>
      </c>
      <c r="AD1" s="43" t="s">
        <v>71</v>
      </c>
      <c r="AE1" s="43">
        <v>30</v>
      </c>
      <c r="AF1" s="43">
        <v>31</v>
      </c>
      <c r="AG1" s="43">
        <v>32</v>
      </c>
      <c r="AH1" s="43">
        <v>33</v>
      </c>
      <c r="AI1" s="43"/>
      <c r="AJ1" s="42"/>
    </row>
    <row r="2" spans="1:36" ht="90.95" customHeight="1">
      <c r="A2" s="51" t="s">
        <v>703</v>
      </c>
      <c r="B2" s="113" t="s">
        <v>726</v>
      </c>
      <c r="C2" s="54" t="s">
        <v>725</v>
      </c>
      <c r="D2" s="54" t="s">
        <v>103</v>
      </c>
      <c r="E2" s="54" t="s">
        <v>724</v>
      </c>
      <c r="F2" s="58" t="s">
        <v>723</v>
      </c>
      <c r="G2" s="54" t="s">
        <v>103</v>
      </c>
      <c r="H2" s="54" t="s">
        <v>722</v>
      </c>
      <c r="I2" s="54" t="s">
        <v>721</v>
      </c>
      <c r="J2" s="54" t="s">
        <v>103</v>
      </c>
      <c r="K2" s="54" t="s">
        <v>720</v>
      </c>
      <c r="L2" s="54" t="s">
        <v>719</v>
      </c>
      <c r="M2" s="54" t="s">
        <v>103</v>
      </c>
      <c r="N2" s="54" t="s">
        <v>718</v>
      </c>
      <c r="O2" s="54" t="s">
        <v>717</v>
      </c>
      <c r="P2" s="54" t="s">
        <v>103</v>
      </c>
      <c r="Q2" s="54" t="s">
        <v>716</v>
      </c>
      <c r="R2" s="54" t="s">
        <v>715</v>
      </c>
      <c r="S2" s="54" t="s">
        <v>103</v>
      </c>
      <c r="T2" s="54" t="s">
        <v>714</v>
      </c>
      <c r="U2" s="54" t="s">
        <v>713</v>
      </c>
      <c r="V2" s="54" t="s">
        <v>103</v>
      </c>
      <c r="W2" s="54" t="s">
        <v>712</v>
      </c>
      <c r="X2" s="54" t="s">
        <v>711</v>
      </c>
      <c r="Y2" s="54" t="s">
        <v>103</v>
      </c>
      <c r="Z2" s="54" t="s">
        <v>710</v>
      </c>
      <c r="AA2" s="54" t="s">
        <v>709</v>
      </c>
      <c r="AB2" s="54" t="s">
        <v>103</v>
      </c>
      <c r="AC2" s="55" t="s">
        <v>708</v>
      </c>
      <c r="AD2" s="55" t="s">
        <v>707</v>
      </c>
      <c r="AE2" s="54" t="s">
        <v>103</v>
      </c>
      <c r="AF2" s="112" t="s">
        <v>706</v>
      </c>
      <c r="AG2" s="55" t="s">
        <v>705</v>
      </c>
      <c r="AH2" s="111" t="s">
        <v>704</v>
      </c>
      <c r="AI2" s="43" t="s">
        <v>703</v>
      </c>
      <c r="AJ2" s="81"/>
    </row>
    <row r="3" spans="1:36" ht="90.95" customHeight="1" thickBot="1">
      <c r="A3" s="51" t="s">
        <v>669</v>
      </c>
      <c r="B3" s="61" t="s">
        <v>702</v>
      </c>
      <c r="C3" s="84" t="s">
        <v>701</v>
      </c>
      <c r="D3" s="47" t="s">
        <v>700</v>
      </c>
      <c r="E3" s="46" t="s">
        <v>699</v>
      </c>
      <c r="F3" s="46" t="s">
        <v>698</v>
      </c>
      <c r="G3" s="46" t="s">
        <v>697</v>
      </c>
      <c r="H3" s="46" t="s">
        <v>696</v>
      </c>
      <c r="I3" s="46" t="s">
        <v>695</v>
      </c>
      <c r="J3" s="46" t="s">
        <v>694</v>
      </c>
      <c r="K3" s="46" t="s">
        <v>693</v>
      </c>
      <c r="L3" s="53" t="s">
        <v>692</v>
      </c>
      <c r="M3" s="46" t="s">
        <v>691</v>
      </c>
      <c r="N3" s="46" t="s">
        <v>690</v>
      </c>
      <c r="O3" s="46" t="s">
        <v>689</v>
      </c>
      <c r="P3" s="46" t="s">
        <v>688</v>
      </c>
      <c r="Q3" s="46" t="s">
        <v>687</v>
      </c>
      <c r="R3" s="46" t="s">
        <v>686</v>
      </c>
      <c r="S3" s="46" t="s">
        <v>685</v>
      </c>
      <c r="T3" s="46" t="s">
        <v>684</v>
      </c>
      <c r="U3" s="110" t="s">
        <v>683</v>
      </c>
      <c r="V3" s="110" t="s">
        <v>682</v>
      </c>
      <c r="W3" s="53" t="s">
        <v>681</v>
      </c>
      <c r="X3" s="46" t="s">
        <v>680</v>
      </c>
      <c r="Y3" s="110" t="s">
        <v>679</v>
      </c>
      <c r="Z3" s="110" t="s">
        <v>678</v>
      </c>
      <c r="AA3" s="110" t="s">
        <v>677</v>
      </c>
      <c r="AB3" s="110" t="s">
        <v>676</v>
      </c>
      <c r="AC3" s="109" t="s">
        <v>675</v>
      </c>
      <c r="AD3" s="109" t="s">
        <v>674</v>
      </c>
      <c r="AE3" s="109" t="s">
        <v>673</v>
      </c>
      <c r="AF3" s="45" t="s">
        <v>672</v>
      </c>
      <c r="AG3" s="73" t="s">
        <v>671</v>
      </c>
      <c r="AH3" s="52" t="s">
        <v>670</v>
      </c>
      <c r="AI3" s="75" t="s">
        <v>669</v>
      </c>
      <c r="AJ3" s="81"/>
    </row>
    <row r="4" spans="1:36" ht="90.95" customHeight="1">
      <c r="A4" s="51" t="s">
        <v>665</v>
      </c>
      <c r="B4" s="61" t="s">
        <v>668</v>
      </c>
      <c r="C4" s="84" t="s">
        <v>667</v>
      </c>
      <c r="D4" s="108"/>
      <c r="E4" s="63"/>
      <c r="F4" s="63"/>
      <c r="G4" s="63"/>
      <c r="H4" s="63"/>
      <c r="I4" s="63"/>
      <c r="J4" s="63"/>
      <c r="K4" s="63"/>
      <c r="L4" s="63"/>
      <c r="M4" s="63"/>
      <c r="N4" s="63"/>
      <c r="O4" s="63"/>
      <c r="P4" s="63"/>
      <c r="Q4" s="63"/>
      <c r="R4" s="63"/>
      <c r="S4" s="63"/>
      <c r="T4" s="63"/>
      <c r="U4" s="107"/>
      <c r="V4" s="107"/>
      <c r="W4" s="107"/>
      <c r="X4" s="107"/>
      <c r="Y4" s="107"/>
      <c r="Z4" s="107"/>
      <c r="AA4" s="107"/>
      <c r="AB4" s="107"/>
      <c r="AC4" s="107"/>
      <c r="AD4" s="106"/>
      <c r="AE4" s="106"/>
      <c r="AF4" s="105"/>
      <c r="AG4" s="73" t="s">
        <v>666</v>
      </c>
      <c r="AH4" s="70" t="s">
        <v>103</v>
      </c>
      <c r="AI4" s="75" t="s">
        <v>665</v>
      </c>
      <c r="AJ4" s="81"/>
    </row>
    <row r="5" spans="1:36" ht="90.95" customHeight="1">
      <c r="A5" s="51" t="s">
        <v>661</v>
      </c>
      <c r="B5" s="61" t="s">
        <v>103</v>
      </c>
      <c r="C5" s="84" t="s">
        <v>664</v>
      </c>
      <c r="D5" s="83"/>
      <c r="E5" s="63"/>
      <c r="F5" s="63"/>
      <c r="G5" s="63"/>
      <c r="H5" s="63"/>
      <c r="I5" s="63"/>
      <c r="J5" s="63"/>
      <c r="K5" s="63"/>
      <c r="L5" s="63"/>
      <c r="M5" s="63"/>
      <c r="N5" s="63"/>
      <c r="O5" s="63"/>
      <c r="P5" s="63"/>
      <c r="Q5" s="63"/>
      <c r="R5" s="63"/>
      <c r="S5" s="63"/>
      <c r="T5" s="63"/>
      <c r="U5" s="63"/>
      <c r="V5" s="63"/>
      <c r="W5" s="63"/>
      <c r="X5" s="63"/>
      <c r="Y5" s="63"/>
      <c r="Z5" s="63"/>
      <c r="AA5" s="63"/>
      <c r="AB5" s="63"/>
      <c r="AC5" s="63"/>
      <c r="AD5" s="64"/>
      <c r="AE5" s="64"/>
      <c r="AF5" s="74"/>
      <c r="AG5" s="73" t="s">
        <v>663</v>
      </c>
      <c r="AH5" s="52" t="s">
        <v>662</v>
      </c>
      <c r="AI5" s="75" t="s">
        <v>661</v>
      </c>
      <c r="AJ5" s="81"/>
    </row>
    <row r="6" spans="1:36" ht="90.95" customHeight="1">
      <c r="A6" s="51" t="s">
        <v>656</v>
      </c>
      <c r="B6" s="61" t="s">
        <v>660</v>
      </c>
      <c r="C6" s="84" t="s">
        <v>659</v>
      </c>
      <c r="D6" s="102"/>
      <c r="E6" s="63"/>
      <c r="F6" s="63"/>
      <c r="G6" s="93" t="s">
        <v>99</v>
      </c>
      <c r="H6" s="93" t="s">
        <v>98</v>
      </c>
      <c r="I6" s="93" t="s">
        <v>97</v>
      </c>
      <c r="J6" s="93" t="s">
        <v>96</v>
      </c>
      <c r="K6" s="93" t="s">
        <v>95</v>
      </c>
      <c r="L6" s="93" t="s">
        <v>94</v>
      </c>
      <c r="M6" s="93" t="s">
        <v>93</v>
      </c>
      <c r="N6" s="93" t="s">
        <v>92</v>
      </c>
      <c r="O6" s="93" t="s">
        <v>91</v>
      </c>
      <c r="P6" s="93" t="s">
        <v>90</v>
      </c>
      <c r="Q6" s="93" t="s">
        <v>89</v>
      </c>
      <c r="R6" s="93" t="s">
        <v>88</v>
      </c>
      <c r="S6" s="93" t="s">
        <v>87</v>
      </c>
      <c r="T6" s="93" t="s">
        <v>86</v>
      </c>
      <c r="U6" s="93" t="s">
        <v>85</v>
      </c>
      <c r="V6" s="93" t="s">
        <v>84</v>
      </c>
      <c r="W6" s="93" t="s">
        <v>83</v>
      </c>
      <c r="X6" s="93" t="s">
        <v>82</v>
      </c>
      <c r="Y6" s="93" t="s">
        <v>81</v>
      </c>
      <c r="Z6" s="93" t="s">
        <v>80</v>
      </c>
      <c r="AA6" s="93" t="s">
        <v>79</v>
      </c>
      <c r="AB6" s="93" t="s">
        <v>78</v>
      </c>
      <c r="AC6" s="93" t="s">
        <v>77</v>
      </c>
      <c r="AD6" s="104"/>
      <c r="AE6" s="104"/>
      <c r="AF6" s="103"/>
      <c r="AG6" s="73" t="s">
        <v>658</v>
      </c>
      <c r="AH6" s="52" t="s">
        <v>657</v>
      </c>
      <c r="AI6" s="75" t="s">
        <v>656</v>
      </c>
      <c r="AJ6" s="81"/>
    </row>
    <row r="7" spans="1:36" ht="90.95" customHeight="1">
      <c r="A7" s="51" t="s">
        <v>640</v>
      </c>
      <c r="B7" s="61" t="s">
        <v>655</v>
      </c>
      <c r="C7" s="84" t="s">
        <v>654</v>
      </c>
      <c r="D7" s="83"/>
      <c r="E7" s="63"/>
      <c r="F7" s="51" t="s">
        <v>653</v>
      </c>
      <c r="G7" s="76" t="s">
        <v>103</v>
      </c>
      <c r="H7" s="76" t="s">
        <v>652</v>
      </c>
      <c r="I7" s="76" t="s">
        <v>103</v>
      </c>
      <c r="J7" s="76" t="s">
        <v>651</v>
      </c>
      <c r="K7" s="78" t="s">
        <v>103</v>
      </c>
      <c r="L7" s="76" t="s">
        <v>650</v>
      </c>
      <c r="M7" s="76" t="s">
        <v>103</v>
      </c>
      <c r="N7" s="76" t="s">
        <v>649</v>
      </c>
      <c r="O7" s="76" t="s">
        <v>103</v>
      </c>
      <c r="P7" s="76" t="s">
        <v>648</v>
      </c>
      <c r="Q7" s="76" t="s">
        <v>103</v>
      </c>
      <c r="R7" s="76" t="s">
        <v>647</v>
      </c>
      <c r="S7" s="76" t="s">
        <v>103</v>
      </c>
      <c r="T7" s="76" t="s">
        <v>646</v>
      </c>
      <c r="U7" s="76" t="s">
        <v>103</v>
      </c>
      <c r="V7" s="76" t="s">
        <v>645</v>
      </c>
      <c r="W7" s="76" t="s">
        <v>103</v>
      </c>
      <c r="X7" s="76" t="s">
        <v>644</v>
      </c>
      <c r="Y7" s="76" t="s">
        <v>103</v>
      </c>
      <c r="Z7" s="76" t="s">
        <v>643</v>
      </c>
      <c r="AA7" s="76" t="s">
        <v>103</v>
      </c>
      <c r="AB7" s="76" t="s">
        <v>642</v>
      </c>
      <c r="AC7" s="76" t="s">
        <v>103</v>
      </c>
      <c r="AD7" s="64"/>
      <c r="AE7" s="64"/>
      <c r="AF7" s="74"/>
      <c r="AG7" s="73" t="s">
        <v>641</v>
      </c>
      <c r="AH7" s="70" t="s">
        <v>103</v>
      </c>
      <c r="AI7" s="75" t="s">
        <v>640</v>
      </c>
      <c r="AJ7" s="81"/>
    </row>
    <row r="8" spans="1:36" ht="90.95" customHeight="1">
      <c r="A8" s="51" t="s">
        <v>622</v>
      </c>
      <c r="B8" s="61" t="s">
        <v>103</v>
      </c>
      <c r="C8" s="84" t="s">
        <v>639</v>
      </c>
      <c r="D8" s="83"/>
      <c r="E8" s="63"/>
      <c r="F8" s="51" t="s">
        <v>638</v>
      </c>
      <c r="G8" s="76" t="s">
        <v>637</v>
      </c>
      <c r="H8" s="76" t="s">
        <v>636</v>
      </c>
      <c r="I8" s="76" t="s">
        <v>103</v>
      </c>
      <c r="J8" s="76" t="s">
        <v>635</v>
      </c>
      <c r="K8" s="78" t="s">
        <v>103</v>
      </c>
      <c r="L8" s="76" t="s">
        <v>634</v>
      </c>
      <c r="M8" s="76" t="s">
        <v>103</v>
      </c>
      <c r="N8" s="76" t="s">
        <v>633</v>
      </c>
      <c r="O8" s="76" t="s">
        <v>103</v>
      </c>
      <c r="P8" s="76" t="s">
        <v>632</v>
      </c>
      <c r="Q8" s="76" t="s">
        <v>103</v>
      </c>
      <c r="R8" s="76" t="s">
        <v>631</v>
      </c>
      <c r="S8" s="76" t="s">
        <v>103</v>
      </c>
      <c r="T8" s="76" t="s">
        <v>630</v>
      </c>
      <c r="U8" s="76" t="s">
        <v>103</v>
      </c>
      <c r="V8" s="76" t="s">
        <v>629</v>
      </c>
      <c r="W8" s="76" t="s">
        <v>103</v>
      </c>
      <c r="X8" s="76" t="s">
        <v>628</v>
      </c>
      <c r="Y8" s="76" t="s">
        <v>103</v>
      </c>
      <c r="Z8" s="76" t="s">
        <v>627</v>
      </c>
      <c r="AA8" s="76" t="s">
        <v>103</v>
      </c>
      <c r="AB8" s="76" t="s">
        <v>626</v>
      </c>
      <c r="AC8" s="76" t="s">
        <v>625</v>
      </c>
      <c r="AD8" s="64"/>
      <c r="AE8" s="64"/>
      <c r="AF8" s="64"/>
      <c r="AG8" s="71" t="s">
        <v>624</v>
      </c>
      <c r="AH8" s="52" t="s">
        <v>623</v>
      </c>
      <c r="AI8" s="75" t="s">
        <v>622</v>
      </c>
      <c r="AJ8" s="81"/>
    </row>
    <row r="9" spans="1:36" ht="90.95" customHeight="1">
      <c r="A9" s="51" t="s">
        <v>607</v>
      </c>
      <c r="B9" s="61" t="s">
        <v>621</v>
      </c>
      <c r="C9" s="84" t="s">
        <v>620</v>
      </c>
      <c r="D9" s="102"/>
      <c r="E9" s="63"/>
      <c r="F9" s="51" t="s">
        <v>619</v>
      </c>
      <c r="G9" s="76" t="s">
        <v>103</v>
      </c>
      <c r="H9" s="76" t="s">
        <v>103</v>
      </c>
      <c r="I9" s="76" t="s">
        <v>103</v>
      </c>
      <c r="J9" s="76" t="s">
        <v>618</v>
      </c>
      <c r="K9" s="78" t="s">
        <v>103</v>
      </c>
      <c r="L9" s="76" t="s">
        <v>617</v>
      </c>
      <c r="M9" s="76" t="s">
        <v>103</v>
      </c>
      <c r="N9" s="76" t="s">
        <v>616</v>
      </c>
      <c r="O9" s="76" t="s">
        <v>103</v>
      </c>
      <c r="P9" s="76" t="s">
        <v>615</v>
      </c>
      <c r="Q9" s="76" t="s">
        <v>103</v>
      </c>
      <c r="R9" s="76" t="s">
        <v>614</v>
      </c>
      <c r="S9" s="76" t="s">
        <v>103</v>
      </c>
      <c r="T9" s="76" t="s">
        <v>613</v>
      </c>
      <c r="U9" s="76" t="s">
        <v>103</v>
      </c>
      <c r="V9" s="76" t="s">
        <v>612</v>
      </c>
      <c r="W9" s="76" t="s">
        <v>103</v>
      </c>
      <c r="X9" s="76" t="s">
        <v>611</v>
      </c>
      <c r="Y9" s="76" t="s">
        <v>103</v>
      </c>
      <c r="Z9" s="76" t="s">
        <v>610</v>
      </c>
      <c r="AA9" s="76" t="s">
        <v>103</v>
      </c>
      <c r="AB9" s="76" t="s">
        <v>103</v>
      </c>
      <c r="AC9" s="76" t="s">
        <v>103</v>
      </c>
      <c r="AD9" s="64"/>
      <c r="AE9" s="64"/>
      <c r="AF9" s="64"/>
      <c r="AG9" s="100" t="s">
        <v>609</v>
      </c>
      <c r="AH9" s="52" t="s">
        <v>608</v>
      </c>
      <c r="AI9" s="75" t="s">
        <v>607</v>
      </c>
      <c r="AJ9" s="81"/>
    </row>
    <row r="10" spans="1:36" ht="90.95" customHeight="1">
      <c r="A10" s="51" t="s">
        <v>587</v>
      </c>
      <c r="B10" s="61" t="s">
        <v>606</v>
      </c>
      <c r="C10" s="84" t="s">
        <v>605</v>
      </c>
      <c r="D10" s="102"/>
      <c r="E10" s="63"/>
      <c r="F10" s="51" t="s">
        <v>604</v>
      </c>
      <c r="G10" s="76" t="s">
        <v>603</v>
      </c>
      <c r="H10" s="76" t="s">
        <v>602</v>
      </c>
      <c r="I10" s="76" t="s">
        <v>601</v>
      </c>
      <c r="J10" s="76" t="s">
        <v>600</v>
      </c>
      <c r="K10" s="78" t="s">
        <v>103</v>
      </c>
      <c r="L10" s="76" t="s">
        <v>599</v>
      </c>
      <c r="M10" s="76" t="s">
        <v>103</v>
      </c>
      <c r="N10" s="76" t="s">
        <v>598</v>
      </c>
      <c r="O10" s="76" t="s">
        <v>103</v>
      </c>
      <c r="P10" s="76" t="s">
        <v>597</v>
      </c>
      <c r="Q10" s="76" t="s">
        <v>103</v>
      </c>
      <c r="R10" s="76" t="s">
        <v>596</v>
      </c>
      <c r="S10" s="76" t="s">
        <v>103</v>
      </c>
      <c r="T10" s="76" t="s">
        <v>595</v>
      </c>
      <c r="U10" s="76" t="s">
        <v>103</v>
      </c>
      <c r="V10" s="76" t="s">
        <v>594</v>
      </c>
      <c r="W10" s="76" t="s">
        <v>103</v>
      </c>
      <c r="X10" s="76" t="s">
        <v>593</v>
      </c>
      <c r="Y10" s="76" t="s">
        <v>103</v>
      </c>
      <c r="Z10" s="76" t="s">
        <v>592</v>
      </c>
      <c r="AA10" s="76" t="s">
        <v>591</v>
      </c>
      <c r="AB10" s="76" t="s">
        <v>590</v>
      </c>
      <c r="AC10" s="76" t="s">
        <v>589</v>
      </c>
      <c r="AD10" s="64"/>
      <c r="AE10" s="64"/>
      <c r="AF10" s="64"/>
      <c r="AG10" s="71" t="s">
        <v>588</v>
      </c>
      <c r="AH10" s="70" t="s">
        <v>103</v>
      </c>
      <c r="AI10" s="75" t="s">
        <v>587</v>
      </c>
      <c r="AJ10" s="81"/>
    </row>
    <row r="11" spans="1:36" ht="90.95" customHeight="1">
      <c r="A11" s="51" t="s">
        <v>582</v>
      </c>
      <c r="B11" s="61" t="s">
        <v>103</v>
      </c>
      <c r="C11" s="84" t="s">
        <v>586</v>
      </c>
      <c r="D11" s="83"/>
      <c r="E11" s="63"/>
      <c r="F11" s="51" t="s">
        <v>585</v>
      </c>
      <c r="G11" s="76" t="s">
        <v>103</v>
      </c>
      <c r="H11" s="76" t="s">
        <v>103</v>
      </c>
      <c r="I11" s="76" t="s">
        <v>103</v>
      </c>
      <c r="J11" s="76" t="s">
        <v>103</v>
      </c>
      <c r="K11" s="63"/>
      <c r="L11" s="63"/>
      <c r="M11" s="63"/>
      <c r="N11" s="63"/>
      <c r="O11" s="63"/>
      <c r="P11" s="63"/>
      <c r="Q11" s="63"/>
      <c r="R11" s="63"/>
      <c r="S11" s="63"/>
      <c r="T11" s="63"/>
      <c r="U11" s="63"/>
      <c r="V11" s="63"/>
      <c r="W11" s="63"/>
      <c r="X11" s="63"/>
      <c r="Y11" s="63"/>
      <c r="Z11" s="101" t="s">
        <v>103</v>
      </c>
      <c r="AA11" s="101" t="s">
        <v>103</v>
      </c>
      <c r="AB11" s="101" t="s">
        <v>103</v>
      </c>
      <c r="AC11" s="101" t="s">
        <v>103</v>
      </c>
      <c r="AD11" s="64"/>
      <c r="AE11" s="64"/>
      <c r="AF11" s="64"/>
      <c r="AG11" s="71" t="s">
        <v>584</v>
      </c>
      <c r="AH11" s="52" t="s">
        <v>583</v>
      </c>
      <c r="AI11" s="75" t="s">
        <v>582</v>
      </c>
      <c r="AJ11" s="81"/>
    </row>
    <row r="12" spans="1:36" ht="90.95" customHeight="1">
      <c r="A12" s="51" t="s">
        <v>568</v>
      </c>
      <c r="B12" s="61" t="s">
        <v>581</v>
      </c>
      <c r="C12" s="84" t="s">
        <v>580</v>
      </c>
      <c r="D12" s="83"/>
      <c r="E12" s="63"/>
      <c r="F12" s="51" t="s">
        <v>579</v>
      </c>
      <c r="G12" s="76" t="s">
        <v>578</v>
      </c>
      <c r="H12" s="76" t="s">
        <v>577</v>
      </c>
      <c r="I12" s="76" t="s">
        <v>576</v>
      </c>
      <c r="J12" s="76" t="s">
        <v>575</v>
      </c>
      <c r="K12" s="63"/>
      <c r="L12" s="63"/>
      <c r="M12" s="93" t="s">
        <v>99</v>
      </c>
      <c r="N12" s="93" t="s">
        <v>98</v>
      </c>
      <c r="O12" s="93" t="s">
        <v>97</v>
      </c>
      <c r="P12" s="93" t="s">
        <v>96</v>
      </c>
      <c r="Q12" s="93" t="s">
        <v>95</v>
      </c>
      <c r="R12" s="93" t="s">
        <v>94</v>
      </c>
      <c r="S12" s="93" t="s">
        <v>93</v>
      </c>
      <c r="T12" s="93" t="s">
        <v>92</v>
      </c>
      <c r="U12" s="93" t="s">
        <v>91</v>
      </c>
      <c r="V12" s="93" t="s">
        <v>90</v>
      </c>
      <c r="W12" s="93" t="s">
        <v>89</v>
      </c>
      <c r="X12" s="93" t="s">
        <v>88</v>
      </c>
      <c r="Y12" s="63"/>
      <c r="Z12" s="76" t="s">
        <v>574</v>
      </c>
      <c r="AA12" s="76" t="s">
        <v>573</v>
      </c>
      <c r="AB12" s="76" t="s">
        <v>572</v>
      </c>
      <c r="AC12" s="76" t="s">
        <v>571</v>
      </c>
      <c r="AD12" s="64"/>
      <c r="AE12" s="64"/>
      <c r="AF12" s="64"/>
      <c r="AG12" s="100" t="s">
        <v>570</v>
      </c>
      <c r="AH12" s="52" t="s">
        <v>569</v>
      </c>
      <c r="AI12" s="75" t="s">
        <v>568</v>
      </c>
      <c r="AJ12" s="81"/>
    </row>
    <row r="13" spans="1:36" ht="90.95" customHeight="1">
      <c r="A13" s="51" t="s">
        <v>550</v>
      </c>
      <c r="B13" s="61" t="s">
        <v>567</v>
      </c>
      <c r="C13" s="84" t="s">
        <v>566</v>
      </c>
      <c r="D13" s="83"/>
      <c r="E13" s="63"/>
      <c r="F13" s="51" t="s">
        <v>565</v>
      </c>
      <c r="G13" s="76" t="s">
        <v>103</v>
      </c>
      <c r="H13" s="76" t="s">
        <v>103</v>
      </c>
      <c r="I13" s="76" t="s">
        <v>103</v>
      </c>
      <c r="J13" s="76" t="s">
        <v>103</v>
      </c>
      <c r="K13" s="63"/>
      <c r="L13" s="93" t="s">
        <v>564</v>
      </c>
      <c r="M13" s="92" t="s">
        <v>563</v>
      </c>
      <c r="N13" s="92" t="s">
        <v>562</v>
      </c>
      <c r="O13" s="92" t="s">
        <v>561</v>
      </c>
      <c r="P13" s="92" t="s">
        <v>560</v>
      </c>
      <c r="Q13" s="92" t="s">
        <v>559</v>
      </c>
      <c r="R13" s="92" t="s">
        <v>558</v>
      </c>
      <c r="S13" s="92" t="s">
        <v>557</v>
      </c>
      <c r="T13" s="92" t="s">
        <v>556</v>
      </c>
      <c r="U13" s="92" t="s">
        <v>555</v>
      </c>
      <c r="V13" s="92" t="s">
        <v>554</v>
      </c>
      <c r="W13" s="92" t="s">
        <v>553</v>
      </c>
      <c r="X13" s="92" t="s">
        <v>552</v>
      </c>
      <c r="Y13" s="63"/>
      <c r="Z13" s="76" t="s">
        <v>103</v>
      </c>
      <c r="AA13" s="76" t="s">
        <v>103</v>
      </c>
      <c r="AB13" s="76" t="s">
        <v>103</v>
      </c>
      <c r="AC13" s="76" t="s">
        <v>103</v>
      </c>
      <c r="AD13" s="64"/>
      <c r="AE13" s="64"/>
      <c r="AF13" s="64"/>
      <c r="AG13" s="71" t="s">
        <v>551</v>
      </c>
      <c r="AH13" s="70" t="s">
        <v>103</v>
      </c>
      <c r="AI13" s="75" t="s">
        <v>550</v>
      </c>
      <c r="AJ13" s="81"/>
    </row>
    <row r="14" spans="1:36" ht="90.95" customHeight="1">
      <c r="A14" s="51" t="s">
        <v>524</v>
      </c>
      <c r="B14" s="61" t="s">
        <v>103</v>
      </c>
      <c r="C14" s="84" t="s">
        <v>549</v>
      </c>
      <c r="D14" s="83"/>
      <c r="E14" s="63"/>
      <c r="F14" s="51" t="s">
        <v>548</v>
      </c>
      <c r="G14" s="76" t="s">
        <v>547</v>
      </c>
      <c r="H14" s="76" t="s">
        <v>546</v>
      </c>
      <c r="I14" s="76" t="s">
        <v>545</v>
      </c>
      <c r="J14" s="76" t="s">
        <v>544</v>
      </c>
      <c r="K14" s="63"/>
      <c r="L14" s="93" t="s">
        <v>543</v>
      </c>
      <c r="M14" s="92" t="s">
        <v>542</v>
      </c>
      <c r="N14" s="92" t="s">
        <v>541</v>
      </c>
      <c r="O14" s="99" t="s">
        <v>540</v>
      </c>
      <c r="P14" s="92" t="s">
        <v>539</v>
      </c>
      <c r="Q14" s="92" t="s">
        <v>538</v>
      </c>
      <c r="R14" s="92" t="s">
        <v>537</v>
      </c>
      <c r="S14" s="92" t="s">
        <v>536</v>
      </c>
      <c r="T14" s="92" t="s">
        <v>535</v>
      </c>
      <c r="U14" s="92" t="s">
        <v>534</v>
      </c>
      <c r="V14" s="92" t="s">
        <v>533</v>
      </c>
      <c r="W14" s="92" t="s">
        <v>532</v>
      </c>
      <c r="X14" s="92" t="s">
        <v>531</v>
      </c>
      <c r="Y14" s="63"/>
      <c r="Z14" s="76" t="s">
        <v>530</v>
      </c>
      <c r="AA14" s="76" t="s">
        <v>529</v>
      </c>
      <c r="AB14" s="76" t="s">
        <v>528</v>
      </c>
      <c r="AC14" s="76" t="s">
        <v>527</v>
      </c>
      <c r="AD14" s="64"/>
      <c r="AE14" s="64"/>
      <c r="AF14" s="74"/>
      <c r="AG14" s="73" t="s">
        <v>526</v>
      </c>
      <c r="AH14" s="70" t="s">
        <v>525</v>
      </c>
      <c r="AI14" s="75" t="s">
        <v>524</v>
      </c>
      <c r="AJ14" s="81"/>
    </row>
    <row r="15" spans="1:36" ht="90.95" customHeight="1">
      <c r="A15" s="51" t="s">
        <v>505</v>
      </c>
      <c r="B15" s="61" t="s">
        <v>523</v>
      </c>
      <c r="C15" s="84" t="s">
        <v>522</v>
      </c>
      <c r="D15" s="83"/>
      <c r="E15" s="63"/>
      <c r="F15" s="51" t="s">
        <v>521</v>
      </c>
      <c r="G15" s="76" t="s">
        <v>103</v>
      </c>
      <c r="H15" s="76" t="s">
        <v>103</v>
      </c>
      <c r="I15" s="76" t="s">
        <v>103</v>
      </c>
      <c r="J15" s="76" t="s">
        <v>103</v>
      </c>
      <c r="K15" s="63"/>
      <c r="L15" s="93" t="s">
        <v>520</v>
      </c>
      <c r="M15" s="92" t="s">
        <v>519</v>
      </c>
      <c r="N15" s="92" t="s">
        <v>518</v>
      </c>
      <c r="O15" s="92" t="s">
        <v>517</v>
      </c>
      <c r="P15" s="92" t="s">
        <v>516</v>
      </c>
      <c r="Q15" s="92" t="s">
        <v>515</v>
      </c>
      <c r="R15" s="92" t="s">
        <v>514</v>
      </c>
      <c r="S15" s="92" t="s">
        <v>513</v>
      </c>
      <c r="T15" s="92" t="s">
        <v>512</v>
      </c>
      <c r="U15" s="92" t="s">
        <v>511</v>
      </c>
      <c r="V15" s="92" t="s">
        <v>510</v>
      </c>
      <c r="W15" s="92" t="s">
        <v>509</v>
      </c>
      <c r="X15" s="92" t="s">
        <v>508</v>
      </c>
      <c r="Y15" s="63"/>
      <c r="Z15" s="76" t="s">
        <v>103</v>
      </c>
      <c r="AA15" s="76" t="s">
        <v>103</v>
      </c>
      <c r="AB15" s="76" t="s">
        <v>103</v>
      </c>
      <c r="AC15" s="76" t="s">
        <v>103</v>
      </c>
      <c r="AD15" s="64"/>
      <c r="AE15" s="64"/>
      <c r="AF15" s="74"/>
      <c r="AG15" s="98" t="s">
        <v>507</v>
      </c>
      <c r="AH15" s="52" t="s">
        <v>506</v>
      </c>
      <c r="AI15" s="75" t="s">
        <v>505</v>
      </c>
      <c r="AJ15" s="81"/>
    </row>
    <row r="16" spans="1:36" ht="90.95" customHeight="1">
      <c r="A16" s="51" t="s">
        <v>479</v>
      </c>
      <c r="B16" s="61" t="s">
        <v>504</v>
      </c>
      <c r="C16" s="84" t="s">
        <v>503</v>
      </c>
      <c r="D16" s="83"/>
      <c r="E16" s="63"/>
      <c r="F16" s="51" t="s">
        <v>502</v>
      </c>
      <c r="G16" s="76" t="s">
        <v>501</v>
      </c>
      <c r="H16" s="76" t="s">
        <v>500</v>
      </c>
      <c r="I16" s="76" t="s">
        <v>499</v>
      </c>
      <c r="J16" s="76" t="s">
        <v>498</v>
      </c>
      <c r="K16" s="63"/>
      <c r="L16" s="93" t="s">
        <v>497</v>
      </c>
      <c r="M16" s="92" t="s">
        <v>496</v>
      </c>
      <c r="N16" s="92" t="s">
        <v>495</v>
      </c>
      <c r="O16" s="92" t="s">
        <v>494</v>
      </c>
      <c r="P16" s="92" t="s">
        <v>493</v>
      </c>
      <c r="Q16" s="92" t="s">
        <v>492</v>
      </c>
      <c r="R16" s="92" t="s">
        <v>491</v>
      </c>
      <c r="S16" s="92" t="s">
        <v>490</v>
      </c>
      <c r="T16" s="92" t="s">
        <v>489</v>
      </c>
      <c r="U16" s="92" t="s">
        <v>488</v>
      </c>
      <c r="V16" s="92" t="s">
        <v>487</v>
      </c>
      <c r="W16" s="92" t="s">
        <v>486</v>
      </c>
      <c r="X16" s="92" t="s">
        <v>485</v>
      </c>
      <c r="Y16" s="63"/>
      <c r="Z16" s="76" t="s">
        <v>484</v>
      </c>
      <c r="AA16" s="76" t="s">
        <v>483</v>
      </c>
      <c r="AB16" s="76" t="s">
        <v>482</v>
      </c>
      <c r="AC16" s="76" t="s">
        <v>481</v>
      </c>
      <c r="AD16" s="64"/>
      <c r="AE16" s="64"/>
      <c r="AF16" s="74"/>
      <c r="AG16" s="53" t="s">
        <v>480</v>
      </c>
      <c r="AH16" s="70" t="s">
        <v>103</v>
      </c>
      <c r="AI16" s="75" t="s">
        <v>479</v>
      </c>
      <c r="AJ16" s="81"/>
    </row>
    <row r="17" spans="1:36" ht="90.95" customHeight="1">
      <c r="A17" s="51" t="s">
        <v>461</v>
      </c>
      <c r="B17" s="61" t="s">
        <v>103</v>
      </c>
      <c r="C17" s="84" t="s">
        <v>478</v>
      </c>
      <c r="D17" s="83"/>
      <c r="E17" s="63"/>
      <c r="F17" s="51" t="s">
        <v>477</v>
      </c>
      <c r="G17" s="76" t="s">
        <v>103</v>
      </c>
      <c r="H17" s="76" t="s">
        <v>103</v>
      </c>
      <c r="I17" s="76" t="s">
        <v>103</v>
      </c>
      <c r="J17" s="76" t="s">
        <v>103</v>
      </c>
      <c r="K17" s="63"/>
      <c r="L17" s="93" t="s">
        <v>476</v>
      </c>
      <c r="M17" s="92" t="s">
        <v>475</v>
      </c>
      <c r="N17" s="92" t="s">
        <v>474</v>
      </c>
      <c r="O17" s="92" t="s">
        <v>473</v>
      </c>
      <c r="P17" s="92" t="s">
        <v>472</v>
      </c>
      <c r="Q17" s="92" t="s">
        <v>471</v>
      </c>
      <c r="R17" s="92" t="s">
        <v>470</v>
      </c>
      <c r="S17" s="92" t="s">
        <v>469</v>
      </c>
      <c r="T17" s="92" t="s">
        <v>468</v>
      </c>
      <c r="U17" s="92" t="s">
        <v>467</v>
      </c>
      <c r="V17" s="92" t="s">
        <v>466</v>
      </c>
      <c r="W17" s="92" t="s">
        <v>465</v>
      </c>
      <c r="X17" s="92" t="s">
        <v>464</v>
      </c>
      <c r="Y17" s="63"/>
      <c r="Z17" s="76" t="s">
        <v>103</v>
      </c>
      <c r="AA17" s="76" t="s">
        <v>103</v>
      </c>
      <c r="AB17" s="97" t="s">
        <v>103</v>
      </c>
      <c r="AC17" s="76" t="s">
        <v>103</v>
      </c>
      <c r="AD17" s="64"/>
      <c r="AE17" s="64"/>
      <c r="AF17" s="74"/>
      <c r="AG17" s="96" t="s">
        <v>463</v>
      </c>
      <c r="AH17" s="70" t="s">
        <v>462</v>
      </c>
      <c r="AI17" s="75" t="s">
        <v>461</v>
      </c>
      <c r="AJ17" s="81"/>
    </row>
    <row r="18" spans="1:36" ht="90.95" customHeight="1">
      <c r="A18" s="51" t="s">
        <v>434</v>
      </c>
      <c r="B18" s="61" t="s">
        <v>460</v>
      </c>
      <c r="C18" s="84" t="s">
        <v>459</v>
      </c>
      <c r="D18" s="83"/>
      <c r="E18" s="63"/>
      <c r="F18" s="51" t="s">
        <v>458</v>
      </c>
      <c r="G18" s="76" t="s">
        <v>457</v>
      </c>
      <c r="H18" s="76" t="s">
        <v>456</v>
      </c>
      <c r="I18" s="76" t="s">
        <v>455</v>
      </c>
      <c r="J18" s="76" t="s">
        <v>454</v>
      </c>
      <c r="K18" s="63"/>
      <c r="L18" s="93" t="s">
        <v>453</v>
      </c>
      <c r="M18" s="92" t="s">
        <v>452</v>
      </c>
      <c r="N18" s="92" t="s">
        <v>451</v>
      </c>
      <c r="O18" s="92" t="s">
        <v>450</v>
      </c>
      <c r="P18" s="92" t="s">
        <v>449</v>
      </c>
      <c r="Q18" s="92" t="s">
        <v>448</v>
      </c>
      <c r="R18" s="92" t="s">
        <v>447</v>
      </c>
      <c r="S18" s="92" t="s">
        <v>446</v>
      </c>
      <c r="T18" s="92" t="s">
        <v>445</v>
      </c>
      <c r="U18" s="92" t="s">
        <v>444</v>
      </c>
      <c r="V18" s="92" t="s">
        <v>443</v>
      </c>
      <c r="W18" s="92" t="s">
        <v>442</v>
      </c>
      <c r="X18" s="92" t="s">
        <v>441</v>
      </c>
      <c r="Y18" s="63"/>
      <c r="Z18" s="76" t="s">
        <v>440</v>
      </c>
      <c r="AA18" s="95" t="s">
        <v>439</v>
      </c>
      <c r="AB18" s="95" t="s">
        <v>438</v>
      </c>
      <c r="AC18" s="95" t="s">
        <v>437</v>
      </c>
      <c r="AD18" s="64"/>
      <c r="AE18" s="64"/>
      <c r="AF18" s="74"/>
      <c r="AG18" s="73" t="s">
        <v>436</v>
      </c>
      <c r="AH18" s="52" t="s">
        <v>435</v>
      </c>
      <c r="AI18" s="75" t="s">
        <v>434</v>
      </c>
      <c r="AJ18" s="81"/>
    </row>
    <row r="19" spans="1:36" ht="90.95" customHeight="1">
      <c r="A19" s="51" t="s">
        <v>416</v>
      </c>
      <c r="B19" s="61" t="s">
        <v>433</v>
      </c>
      <c r="C19" s="84" t="s">
        <v>432</v>
      </c>
      <c r="D19" s="83"/>
      <c r="E19" s="63"/>
      <c r="F19" s="51" t="s">
        <v>431</v>
      </c>
      <c r="G19" s="76" t="s">
        <v>103</v>
      </c>
      <c r="H19" s="76" t="s">
        <v>103</v>
      </c>
      <c r="I19" s="76" t="s">
        <v>103</v>
      </c>
      <c r="J19" s="76" t="s">
        <v>103</v>
      </c>
      <c r="K19" s="63"/>
      <c r="L19" s="93" t="s">
        <v>430</v>
      </c>
      <c r="M19" s="92" t="s">
        <v>429</v>
      </c>
      <c r="N19" s="92" t="s">
        <v>428</v>
      </c>
      <c r="O19" s="92" t="s">
        <v>427</v>
      </c>
      <c r="P19" s="92" t="s">
        <v>426</v>
      </c>
      <c r="Q19" s="92" t="s">
        <v>425</v>
      </c>
      <c r="R19" s="92" t="s">
        <v>424</v>
      </c>
      <c r="S19" s="92" t="s">
        <v>423</v>
      </c>
      <c r="T19" s="92" t="s">
        <v>422</v>
      </c>
      <c r="U19" s="92" t="s">
        <v>421</v>
      </c>
      <c r="V19" s="92" t="s">
        <v>420</v>
      </c>
      <c r="W19" s="92" t="s">
        <v>419</v>
      </c>
      <c r="X19" s="92" t="s">
        <v>418</v>
      </c>
      <c r="Y19" s="63"/>
      <c r="Z19" s="76" t="s">
        <v>103</v>
      </c>
      <c r="AA19" s="76" t="s">
        <v>103</v>
      </c>
      <c r="AB19" s="76" t="s">
        <v>103</v>
      </c>
      <c r="AC19" s="76" t="s">
        <v>103</v>
      </c>
      <c r="AD19" s="64"/>
      <c r="AE19" s="64"/>
      <c r="AF19" s="74"/>
      <c r="AG19" s="82" t="s">
        <v>417</v>
      </c>
      <c r="AH19" s="70" t="s">
        <v>103</v>
      </c>
      <c r="AI19" s="75" t="s">
        <v>416</v>
      </c>
      <c r="AJ19" s="81"/>
    </row>
    <row r="20" spans="1:36" ht="90.95" customHeight="1">
      <c r="A20" s="51" t="s">
        <v>390</v>
      </c>
      <c r="B20" s="94" t="s">
        <v>103</v>
      </c>
      <c r="C20" s="70" t="s">
        <v>415</v>
      </c>
      <c r="D20" s="83"/>
      <c r="E20" s="63"/>
      <c r="F20" s="51" t="s">
        <v>414</v>
      </c>
      <c r="G20" s="76" t="s">
        <v>413</v>
      </c>
      <c r="H20" s="76" t="s">
        <v>412</v>
      </c>
      <c r="I20" s="76" t="s">
        <v>411</v>
      </c>
      <c r="J20" s="76" t="s">
        <v>410</v>
      </c>
      <c r="K20" s="63"/>
      <c r="L20" s="93" t="s">
        <v>409</v>
      </c>
      <c r="M20" s="92" t="s">
        <v>408</v>
      </c>
      <c r="N20" s="92" t="s">
        <v>407</v>
      </c>
      <c r="O20" s="92" t="s">
        <v>406</v>
      </c>
      <c r="P20" s="92" t="s">
        <v>405</v>
      </c>
      <c r="Q20" s="92" t="s">
        <v>404</v>
      </c>
      <c r="R20" s="92" t="s">
        <v>403</v>
      </c>
      <c r="S20" s="92" t="s">
        <v>402</v>
      </c>
      <c r="T20" s="92" t="s">
        <v>401</v>
      </c>
      <c r="U20" s="92" t="s">
        <v>400</v>
      </c>
      <c r="V20" s="92" t="s">
        <v>399</v>
      </c>
      <c r="W20" s="92" t="s">
        <v>398</v>
      </c>
      <c r="X20" s="92" t="s">
        <v>397</v>
      </c>
      <c r="Y20" s="63"/>
      <c r="Z20" s="76" t="s">
        <v>396</v>
      </c>
      <c r="AA20" s="76" t="s">
        <v>395</v>
      </c>
      <c r="AB20" s="76" t="s">
        <v>394</v>
      </c>
      <c r="AC20" s="76" t="s">
        <v>393</v>
      </c>
      <c r="AD20" s="64"/>
      <c r="AE20" s="64"/>
      <c r="AF20" s="74"/>
      <c r="AG20" s="73" t="s">
        <v>392</v>
      </c>
      <c r="AH20" s="52" t="s">
        <v>391</v>
      </c>
      <c r="AI20" s="75" t="s">
        <v>390</v>
      </c>
      <c r="AJ20" s="81"/>
    </row>
    <row r="21" spans="1:36" ht="90.95" customHeight="1">
      <c r="A21" s="51" t="s">
        <v>371</v>
      </c>
      <c r="B21" s="61" t="s">
        <v>389</v>
      </c>
      <c r="C21" s="84" t="s">
        <v>388</v>
      </c>
      <c r="D21" s="83"/>
      <c r="E21" s="63"/>
      <c r="F21" s="51" t="s">
        <v>387</v>
      </c>
      <c r="G21" s="76" t="s">
        <v>103</v>
      </c>
      <c r="H21" s="76" t="s">
        <v>103</v>
      </c>
      <c r="I21" s="76" t="s">
        <v>103</v>
      </c>
      <c r="J21" s="76" t="s">
        <v>103</v>
      </c>
      <c r="K21" s="63"/>
      <c r="L21" s="93" t="s">
        <v>386</v>
      </c>
      <c r="M21" s="92" t="s">
        <v>385</v>
      </c>
      <c r="N21" s="92" t="s">
        <v>384</v>
      </c>
      <c r="O21" s="92" t="s">
        <v>383</v>
      </c>
      <c r="P21" s="92" t="s">
        <v>382</v>
      </c>
      <c r="Q21" s="92" t="s">
        <v>381</v>
      </c>
      <c r="R21" s="92" t="s">
        <v>380</v>
      </c>
      <c r="S21" s="92" t="s">
        <v>379</v>
      </c>
      <c r="T21" s="92" t="s">
        <v>378</v>
      </c>
      <c r="U21" s="92" t="s">
        <v>377</v>
      </c>
      <c r="V21" s="92" t="s">
        <v>376</v>
      </c>
      <c r="W21" s="92" t="s">
        <v>375</v>
      </c>
      <c r="X21" s="92" t="s">
        <v>374</v>
      </c>
      <c r="Y21" s="63"/>
      <c r="Z21" s="76" t="s">
        <v>103</v>
      </c>
      <c r="AA21" s="76" t="s">
        <v>103</v>
      </c>
      <c r="AB21" s="76" t="s">
        <v>103</v>
      </c>
      <c r="AC21" s="76" t="s">
        <v>103</v>
      </c>
      <c r="AD21" s="64"/>
      <c r="AE21" s="64"/>
      <c r="AF21" s="74"/>
      <c r="AG21" s="73" t="s">
        <v>373</v>
      </c>
      <c r="AH21" s="52" t="s">
        <v>372</v>
      </c>
      <c r="AI21" s="75" t="s">
        <v>371</v>
      </c>
      <c r="AJ21" s="81"/>
    </row>
    <row r="22" spans="1:36" ht="90.95" customHeight="1">
      <c r="A22" s="51" t="s">
        <v>345</v>
      </c>
      <c r="B22" s="94" t="s">
        <v>370</v>
      </c>
      <c r="C22" s="84" t="s">
        <v>369</v>
      </c>
      <c r="D22" s="83"/>
      <c r="E22" s="63"/>
      <c r="F22" s="51" t="s">
        <v>368</v>
      </c>
      <c r="G22" s="76" t="s">
        <v>367</v>
      </c>
      <c r="H22" s="76" t="s">
        <v>366</v>
      </c>
      <c r="I22" s="76" t="s">
        <v>365</v>
      </c>
      <c r="J22" s="76" t="s">
        <v>364</v>
      </c>
      <c r="K22" s="63"/>
      <c r="L22" s="93" t="s">
        <v>363</v>
      </c>
      <c r="M22" s="92" t="s">
        <v>362</v>
      </c>
      <c r="N22" s="92" t="s">
        <v>361</v>
      </c>
      <c r="O22" s="92" t="s">
        <v>360</v>
      </c>
      <c r="P22" s="92" t="s">
        <v>359</v>
      </c>
      <c r="Q22" s="92" t="s">
        <v>358</v>
      </c>
      <c r="R22" s="92" t="s">
        <v>357</v>
      </c>
      <c r="S22" s="92" t="s">
        <v>356</v>
      </c>
      <c r="T22" s="92" t="s">
        <v>355</v>
      </c>
      <c r="U22" s="92" t="s">
        <v>354</v>
      </c>
      <c r="V22" s="92" t="s">
        <v>353</v>
      </c>
      <c r="W22" s="92" t="s">
        <v>352</v>
      </c>
      <c r="X22" s="92" t="s">
        <v>351</v>
      </c>
      <c r="Y22" s="63"/>
      <c r="Z22" s="76" t="s">
        <v>350</v>
      </c>
      <c r="AA22" s="76" t="s">
        <v>349</v>
      </c>
      <c r="AB22" s="76" t="s">
        <v>348</v>
      </c>
      <c r="AC22" s="76" t="s">
        <v>347</v>
      </c>
      <c r="AD22" s="64"/>
      <c r="AE22" s="64"/>
      <c r="AF22" s="74"/>
      <c r="AG22" s="73" t="s">
        <v>346</v>
      </c>
      <c r="AH22" s="70" t="s">
        <v>103</v>
      </c>
      <c r="AI22" s="75" t="s">
        <v>345</v>
      </c>
      <c r="AJ22" s="81"/>
    </row>
    <row r="23" spans="1:36" ht="90.95" customHeight="1">
      <c r="A23" s="51" t="s">
        <v>327</v>
      </c>
      <c r="B23" s="94" t="s">
        <v>103</v>
      </c>
      <c r="C23" s="70" t="s">
        <v>344</v>
      </c>
      <c r="D23" s="83"/>
      <c r="E23" s="63"/>
      <c r="F23" s="51" t="s">
        <v>343</v>
      </c>
      <c r="G23" s="76" t="s">
        <v>103</v>
      </c>
      <c r="H23" s="76" t="s">
        <v>103</v>
      </c>
      <c r="I23" s="76" t="s">
        <v>103</v>
      </c>
      <c r="J23" s="76" t="s">
        <v>103</v>
      </c>
      <c r="K23" s="63"/>
      <c r="L23" s="93" t="s">
        <v>342</v>
      </c>
      <c r="M23" s="92" t="s">
        <v>341</v>
      </c>
      <c r="N23" s="92" t="s">
        <v>340</v>
      </c>
      <c r="O23" s="92" t="s">
        <v>339</v>
      </c>
      <c r="P23" s="92" t="s">
        <v>338</v>
      </c>
      <c r="Q23" s="92" t="s">
        <v>337</v>
      </c>
      <c r="R23" s="92" t="s">
        <v>336</v>
      </c>
      <c r="S23" s="92" t="s">
        <v>335</v>
      </c>
      <c r="T23" s="92" t="s">
        <v>334</v>
      </c>
      <c r="U23" s="92" t="s">
        <v>333</v>
      </c>
      <c r="V23" s="92" t="s">
        <v>332</v>
      </c>
      <c r="W23" s="92" t="s">
        <v>331</v>
      </c>
      <c r="X23" s="92" t="s">
        <v>330</v>
      </c>
      <c r="Y23" s="63"/>
      <c r="Z23" s="76" t="s">
        <v>103</v>
      </c>
      <c r="AA23" s="76" t="s">
        <v>103</v>
      </c>
      <c r="AB23" s="76" t="s">
        <v>103</v>
      </c>
      <c r="AC23" s="76" t="s">
        <v>103</v>
      </c>
      <c r="AD23" s="64"/>
      <c r="AE23" s="64"/>
      <c r="AF23" s="74"/>
      <c r="AG23" s="73" t="s">
        <v>329</v>
      </c>
      <c r="AH23" s="52" t="s">
        <v>328</v>
      </c>
      <c r="AI23" s="75" t="s">
        <v>327</v>
      </c>
      <c r="AJ23" s="81"/>
    </row>
    <row r="24" spans="1:36" ht="90.95" customHeight="1">
      <c r="A24" s="51" t="s">
        <v>300</v>
      </c>
      <c r="B24" s="61" t="s">
        <v>326</v>
      </c>
      <c r="C24" s="84" t="s">
        <v>325</v>
      </c>
      <c r="D24" s="83"/>
      <c r="E24" s="63"/>
      <c r="F24" s="51" t="s">
        <v>324</v>
      </c>
      <c r="G24" s="76" t="s">
        <v>323</v>
      </c>
      <c r="H24" s="76" t="s">
        <v>322</v>
      </c>
      <c r="I24" s="76" t="s">
        <v>321</v>
      </c>
      <c r="J24" s="76" t="s">
        <v>320</v>
      </c>
      <c r="K24" s="63"/>
      <c r="L24" s="93" t="s">
        <v>319</v>
      </c>
      <c r="M24" s="92" t="s">
        <v>318</v>
      </c>
      <c r="N24" s="92" t="s">
        <v>317</v>
      </c>
      <c r="O24" s="92" t="s">
        <v>316</v>
      </c>
      <c r="P24" s="92" t="s">
        <v>315</v>
      </c>
      <c r="Q24" s="92" t="s">
        <v>314</v>
      </c>
      <c r="R24" s="92" t="s">
        <v>313</v>
      </c>
      <c r="S24" s="92" t="s">
        <v>312</v>
      </c>
      <c r="T24" s="92" t="s">
        <v>311</v>
      </c>
      <c r="U24" s="92" t="s">
        <v>310</v>
      </c>
      <c r="V24" s="92" t="s">
        <v>309</v>
      </c>
      <c r="W24" s="92" t="s">
        <v>308</v>
      </c>
      <c r="X24" s="92" t="s">
        <v>307</v>
      </c>
      <c r="Y24" s="63"/>
      <c r="Z24" s="76" t="s">
        <v>306</v>
      </c>
      <c r="AA24" s="76" t="s">
        <v>305</v>
      </c>
      <c r="AB24" s="76" t="s">
        <v>304</v>
      </c>
      <c r="AC24" s="76" t="s">
        <v>303</v>
      </c>
      <c r="AD24" s="64"/>
      <c r="AE24" s="64"/>
      <c r="AF24" s="74"/>
      <c r="AG24" s="53" t="s">
        <v>302</v>
      </c>
      <c r="AH24" s="52" t="s">
        <v>301</v>
      </c>
      <c r="AI24" s="75" t="s">
        <v>300</v>
      </c>
      <c r="AJ24" s="81"/>
    </row>
    <row r="25" spans="1:36" ht="90.95" customHeight="1">
      <c r="A25" s="51" t="s">
        <v>282</v>
      </c>
      <c r="B25" s="61" t="s">
        <v>299</v>
      </c>
      <c r="C25" s="84" t="s">
        <v>298</v>
      </c>
      <c r="D25" s="83"/>
      <c r="E25" s="63"/>
      <c r="F25" s="51" t="s">
        <v>297</v>
      </c>
      <c r="G25" s="76" t="s">
        <v>103</v>
      </c>
      <c r="H25" s="76" t="s">
        <v>103</v>
      </c>
      <c r="I25" s="76" t="s">
        <v>103</v>
      </c>
      <c r="J25" s="76" t="s">
        <v>103</v>
      </c>
      <c r="K25" s="63"/>
      <c r="L25" s="93" t="s">
        <v>296</v>
      </c>
      <c r="M25" s="92" t="s">
        <v>295</v>
      </c>
      <c r="N25" s="92" t="s">
        <v>294</v>
      </c>
      <c r="O25" s="92" t="s">
        <v>293</v>
      </c>
      <c r="P25" s="92" t="s">
        <v>292</v>
      </c>
      <c r="Q25" s="92" t="s">
        <v>291</v>
      </c>
      <c r="R25" s="92" t="s">
        <v>290</v>
      </c>
      <c r="S25" s="92" t="s">
        <v>289</v>
      </c>
      <c r="T25" s="92" t="s">
        <v>288</v>
      </c>
      <c r="U25" s="92" t="s">
        <v>287</v>
      </c>
      <c r="V25" s="92" t="s">
        <v>286</v>
      </c>
      <c r="W25" s="92" t="s">
        <v>285</v>
      </c>
      <c r="X25" s="92" t="s">
        <v>284</v>
      </c>
      <c r="Y25" s="63"/>
      <c r="Z25" s="76" t="s">
        <v>103</v>
      </c>
      <c r="AA25" s="76" t="s">
        <v>103</v>
      </c>
      <c r="AB25" s="76" t="s">
        <v>103</v>
      </c>
      <c r="AC25" s="76" t="s">
        <v>103</v>
      </c>
      <c r="AD25" s="64"/>
      <c r="AE25" s="64"/>
      <c r="AF25" s="74"/>
      <c r="AG25" s="60" t="s">
        <v>283</v>
      </c>
      <c r="AH25" s="70" t="s">
        <v>103</v>
      </c>
      <c r="AI25" s="75" t="s">
        <v>282</v>
      </c>
      <c r="AJ25" s="81"/>
    </row>
    <row r="26" spans="1:36" ht="90.95" customHeight="1">
      <c r="A26" s="51" t="s">
        <v>256</v>
      </c>
      <c r="B26" s="61" t="s">
        <v>103</v>
      </c>
      <c r="C26" s="84" t="s">
        <v>281</v>
      </c>
      <c r="D26" s="83"/>
      <c r="E26" s="63"/>
      <c r="F26" s="51" t="s">
        <v>280</v>
      </c>
      <c r="G26" s="76" t="s">
        <v>279</v>
      </c>
      <c r="H26" s="76" t="s">
        <v>278</v>
      </c>
      <c r="I26" s="76" t="s">
        <v>277</v>
      </c>
      <c r="J26" s="76" t="s">
        <v>276</v>
      </c>
      <c r="K26" s="63"/>
      <c r="L26" s="93" t="s">
        <v>275</v>
      </c>
      <c r="M26" s="92" t="s">
        <v>274</v>
      </c>
      <c r="N26" s="92" t="s">
        <v>273</v>
      </c>
      <c r="O26" s="92" t="s">
        <v>272</v>
      </c>
      <c r="P26" s="92" t="s">
        <v>271</v>
      </c>
      <c r="Q26" s="92" t="s">
        <v>270</v>
      </c>
      <c r="R26" s="92" t="s">
        <v>269</v>
      </c>
      <c r="S26" s="92" t="s">
        <v>268</v>
      </c>
      <c r="T26" s="92" t="s">
        <v>267</v>
      </c>
      <c r="U26" s="92" t="s">
        <v>266</v>
      </c>
      <c r="V26" s="92" t="s">
        <v>265</v>
      </c>
      <c r="W26" s="92" t="s">
        <v>264</v>
      </c>
      <c r="X26" s="92" t="s">
        <v>263</v>
      </c>
      <c r="Y26" s="63"/>
      <c r="Z26" s="76" t="s">
        <v>262</v>
      </c>
      <c r="AA26" s="76" t="s">
        <v>261</v>
      </c>
      <c r="AB26" s="76" t="s">
        <v>260</v>
      </c>
      <c r="AC26" s="76" t="s">
        <v>259</v>
      </c>
      <c r="AD26" s="64"/>
      <c r="AE26" s="64"/>
      <c r="AF26" s="74"/>
      <c r="AG26" s="91" t="s">
        <v>258</v>
      </c>
      <c r="AH26" s="90" t="s">
        <v>257</v>
      </c>
      <c r="AI26" s="86" t="s">
        <v>256</v>
      </c>
      <c r="AJ26" s="81"/>
    </row>
    <row r="27" spans="1:36" ht="90.95" customHeight="1">
      <c r="A27" s="51" t="s">
        <v>250</v>
      </c>
      <c r="B27" s="61" t="s">
        <v>255</v>
      </c>
      <c r="C27" s="84" t="s">
        <v>254</v>
      </c>
      <c r="D27" s="83"/>
      <c r="E27" s="63"/>
      <c r="F27" s="51" t="s">
        <v>253</v>
      </c>
      <c r="G27" s="76" t="s">
        <v>103</v>
      </c>
      <c r="H27" s="76" t="s">
        <v>103</v>
      </c>
      <c r="I27" s="76" t="s">
        <v>103</v>
      </c>
      <c r="J27" s="76" t="s">
        <v>103</v>
      </c>
      <c r="K27" s="63"/>
      <c r="L27" s="63"/>
      <c r="M27" s="63"/>
      <c r="N27" s="63"/>
      <c r="O27" s="63"/>
      <c r="P27" s="63"/>
      <c r="Q27" s="63"/>
      <c r="R27" s="63"/>
      <c r="S27" s="63"/>
      <c r="T27" s="63"/>
      <c r="U27" s="63"/>
      <c r="V27" s="63"/>
      <c r="W27" s="63"/>
      <c r="X27" s="63"/>
      <c r="Y27" s="63"/>
      <c r="Z27" s="76" t="s">
        <v>103</v>
      </c>
      <c r="AA27" s="76" t="s">
        <v>103</v>
      </c>
      <c r="AB27" s="76" t="s">
        <v>103</v>
      </c>
      <c r="AC27" s="76" t="s">
        <v>103</v>
      </c>
      <c r="AD27" s="64"/>
      <c r="AE27" s="64"/>
      <c r="AF27" s="64"/>
      <c r="AG27" s="71" t="s">
        <v>252</v>
      </c>
      <c r="AH27" s="52" t="s">
        <v>251</v>
      </c>
      <c r="AI27" s="86" t="s">
        <v>250</v>
      </c>
      <c r="AJ27" s="81"/>
    </row>
    <row r="28" spans="1:36" ht="90.95" customHeight="1">
      <c r="A28" s="51" t="s">
        <v>237</v>
      </c>
      <c r="B28" s="61" t="s">
        <v>249</v>
      </c>
      <c r="C28" s="84" t="s">
        <v>248</v>
      </c>
      <c r="D28" s="83"/>
      <c r="E28" s="63"/>
      <c r="F28" s="51" t="s">
        <v>247</v>
      </c>
      <c r="G28" s="76" t="s">
        <v>246</v>
      </c>
      <c r="H28" s="76" t="s">
        <v>245</v>
      </c>
      <c r="I28" s="76" t="s">
        <v>244</v>
      </c>
      <c r="J28" s="76" t="s">
        <v>243</v>
      </c>
      <c r="K28" s="63"/>
      <c r="L28" s="63"/>
      <c r="M28" s="63"/>
      <c r="N28" s="63"/>
      <c r="O28" s="63"/>
      <c r="P28" s="63"/>
      <c r="Q28" s="63"/>
      <c r="R28" s="63"/>
      <c r="S28" s="63"/>
      <c r="T28" s="63"/>
      <c r="U28" s="63"/>
      <c r="V28" s="63"/>
      <c r="W28" s="63"/>
      <c r="X28" s="63"/>
      <c r="Y28" s="63"/>
      <c r="Z28" s="89" t="s">
        <v>242</v>
      </c>
      <c r="AA28" s="89" t="s">
        <v>241</v>
      </c>
      <c r="AB28" s="89" t="s">
        <v>240</v>
      </c>
      <c r="AC28" s="89" t="s">
        <v>239</v>
      </c>
      <c r="AD28" s="64"/>
      <c r="AE28" s="64"/>
      <c r="AF28" s="64"/>
      <c r="AG28" s="61" t="s">
        <v>238</v>
      </c>
      <c r="AH28" s="70" t="s">
        <v>103</v>
      </c>
      <c r="AI28" s="86" t="s">
        <v>237</v>
      </c>
      <c r="AJ28" s="81"/>
    </row>
    <row r="29" spans="1:36" ht="90.95" customHeight="1">
      <c r="A29" s="51" t="s">
        <v>224</v>
      </c>
      <c r="B29" s="61" t="s">
        <v>103</v>
      </c>
      <c r="C29" s="84" t="s">
        <v>236</v>
      </c>
      <c r="D29" s="83"/>
      <c r="E29" s="63"/>
      <c r="F29" s="51" t="s">
        <v>235</v>
      </c>
      <c r="G29" s="76" t="s">
        <v>103</v>
      </c>
      <c r="H29" s="76" t="s">
        <v>103</v>
      </c>
      <c r="I29" s="76" t="s">
        <v>103</v>
      </c>
      <c r="J29" s="76" t="s">
        <v>103</v>
      </c>
      <c r="K29" s="78" t="s">
        <v>234</v>
      </c>
      <c r="L29" s="76" t="s">
        <v>103</v>
      </c>
      <c r="M29" s="76" t="s">
        <v>233</v>
      </c>
      <c r="N29" s="76" t="s">
        <v>103</v>
      </c>
      <c r="O29" s="76" t="s">
        <v>232</v>
      </c>
      <c r="P29" s="76" t="s">
        <v>103</v>
      </c>
      <c r="Q29" s="76" t="s">
        <v>231</v>
      </c>
      <c r="R29" s="76" t="s">
        <v>103</v>
      </c>
      <c r="S29" s="76" t="s">
        <v>230</v>
      </c>
      <c r="T29" s="76" t="s">
        <v>103</v>
      </c>
      <c r="U29" s="76" t="s">
        <v>229</v>
      </c>
      <c r="V29" s="76" t="s">
        <v>103</v>
      </c>
      <c r="W29" s="76" t="s">
        <v>228</v>
      </c>
      <c r="X29" s="76" t="s">
        <v>103</v>
      </c>
      <c r="Y29" s="76" t="s">
        <v>227</v>
      </c>
      <c r="Z29" s="76" t="s">
        <v>103</v>
      </c>
      <c r="AA29" s="76" t="s">
        <v>103</v>
      </c>
      <c r="AB29" s="76" t="s">
        <v>103</v>
      </c>
      <c r="AC29" s="76" t="s">
        <v>103</v>
      </c>
      <c r="AD29" s="64"/>
      <c r="AE29" s="64"/>
      <c r="AF29" s="74"/>
      <c r="AG29" s="88" t="s">
        <v>226</v>
      </c>
      <c r="AH29" s="87" t="s">
        <v>225</v>
      </c>
      <c r="AI29" s="86" t="s">
        <v>224</v>
      </c>
      <c r="AJ29" s="81"/>
    </row>
    <row r="30" spans="1:36" ht="90.95" customHeight="1">
      <c r="A30" s="51" t="s">
        <v>204</v>
      </c>
      <c r="B30" s="61" t="s">
        <v>223</v>
      </c>
      <c r="C30" s="84" t="s">
        <v>222</v>
      </c>
      <c r="D30" s="85"/>
      <c r="E30" s="63"/>
      <c r="F30" s="51" t="s">
        <v>221</v>
      </c>
      <c r="G30" s="76" t="s">
        <v>220</v>
      </c>
      <c r="H30" s="76" t="s">
        <v>219</v>
      </c>
      <c r="I30" s="76" t="s">
        <v>218</v>
      </c>
      <c r="J30" s="76" t="s">
        <v>103</v>
      </c>
      <c r="K30" s="78" t="s">
        <v>217</v>
      </c>
      <c r="L30" s="76" t="s">
        <v>103</v>
      </c>
      <c r="M30" s="76" t="s">
        <v>216</v>
      </c>
      <c r="N30" s="76" t="s">
        <v>103</v>
      </c>
      <c r="O30" s="76" t="s">
        <v>215</v>
      </c>
      <c r="P30" s="76" t="s">
        <v>103</v>
      </c>
      <c r="Q30" s="76" t="s">
        <v>214</v>
      </c>
      <c r="R30" s="76" t="s">
        <v>103</v>
      </c>
      <c r="S30" s="76" t="s">
        <v>213</v>
      </c>
      <c r="T30" s="76" t="s">
        <v>103</v>
      </c>
      <c r="U30" s="76" t="s">
        <v>212</v>
      </c>
      <c r="V30" s="76" t="s">
        <v>103</v>
      </c>
      <c r="W30" s="76" t="s">
        <v>211</v>
      </c>
      <c r="X30" s="76" t="s">
        <v>103</v>
      </c>
      <c r="Y30" s="76" t="s">
        <v>210</v>
      </c>
      <c r="Z30" s="76" t="s">
        <v>103</v>
      </c>
      <c r="AA30" s="76" t="s">
        <v>209</v>
      </c>
      <c r="AB30" s="76" t="s">
        <v>208</v>
      </c>
      <c r="AC30" s="76" t="s">
        <v>207</v>
      </c>
      <c r="AD30" s="64"/>
      <c r="AE30" s="64"/>
      <c r="AF30" s="74"/>
      <c r="AG30" s="73" t="s">
        <v>206</v>
      </c>
      <c r="AH30" s="52" t="s">
        <v>205</v>
      </c>
      <c r="AI30" s="75" t="s">
        <v>204</v>
      </c>
      <c r="AJ30" s="81"/>
    </row>
    <row r="31" spans="1:36" ht="90.95" customHeight="1">
      <c r="A31" s="51" t="s">
        <v>189</v>
      </c>
      <c r="B31" s="61" t="s">
        <v>203</v>
      </c>
      <c r="C31" s="84" t="s">
        <v>202</v>
      </c>
      <c r="D31" s="83"/>
      <c r="E31" s="63"/>
      <c r="F31" s="51" t="s">
        <v>201</v>
      </c>
      <c r="G31" s="76" t="s">
        <v>103</v>
      </c>
      <c r="H31" s="76" t="s">
        <v>103</v>
      </c>
      <c r="I31" s="76" t="s">
        <v>200</v>
      </c>
      <c r="J31" s="76" t="s">
        <v>103</v>
      </c>
      <c r="K31" s="78" t="s">
        <v>199</v>
      </c>
      <c r="L31" s="76" t="s">
        <v>103</v>
      </c>
      <c r="M31" s="76" t="s">
        <v>198</v>
      </c>
      <c r="N31" s="76" t="s">
        <v>103</v>
      </c>
      <c r="O31" s="76" t="s">
        <v>197</v>
      </c>
      <c r="P31" s="76" t="s">
        <v>103</v>
      </c>
      <c r="Q31" s="76" t="s">
        <v>196</v>
      </c>
      <c r="R31" s="76" t="s">
        <v>103</v>
      </c>
      <c r="S31" s="76" t="s">
        <v>195</v>
      </c>
      <c r="T31" s="76" t="s">
        <v>103</v>
      </c>
      <c r="U31" s="76" t="s">
        <v>194</v>
      </c>
      <c r="V31" s="76" t="s">
        <v>103</v>
      </c>
      <c r="W31" s="76" t="s">
        <v>193</v>
      </c>
      <c r="X31" s="76" t="s">
        <v>103</v>
      </c>
      <c r="Y31" s="76" t="s">
        <v>192</v>
      </c>
      <c r="Z31" s="76" t="s">
        <v>103</v>
      </c>
      <c r="AA31" s="76" t="s">
        <v>191</v>
      </c>
      <c r="AB31" s="76" t="s">
        <v>103</v>
      </c>
      <c r="AC31" s="76" t="s">
        <v>103</v>
      </c>
      <c r="AD31" s="64"/>
      <c r="AE31" s="64"/>
      <c r="AF31" s="74"/>
      <c r="AG31" s="82" t="s">
        <v>190</v>
      </c>
      <c r="AH31" s="70" t="s">
        <v>103</v>
      </c>
      <c r="AI31" s="75" t="s">
        <v>189</v>
      </c>
      <c r="AJ31" s="81"/>
    </row>
    <row r="32" spans="1:36" ht="90.95" customHeight="1">
      <c r="A32" s="51" t="s">
        <v>172</v>
      </c>
      <c r="B32" s="80" t="s">
        <v>103</v>
      </c>
      <c r="C32" s="79" t="s">
        <v>188</v>
      </c>
      <c r="D32" s="63"/>
      <c r="E32" s="63"/>
      <c r="F32" s="51" t="s">
        <v>187</v>
      </c>
      <c r="G32" s="76" t="s">
        <v>186</v>
      </c>
      <c r="H32" s="76" t="s">
        <v>103</v>
      </c>
      <c r="I32" s="76" t="s">
        <v>185</v>
      </c>
      <c r="J32" s="76" t="s">
        <v>103</v>
      </c>
      <c r="K32" s="78" t="s">
        <v>184</v>
      </c>
      <c r="L32" s="76" t="s">
        <v>103</v>
      </c>
      <c r="M32" s="76" t="s">
        <v>183</v>
      </c>
      <c r="N32" s="76" t="s">
        <v>103</v>
      </c>
      <c r="O32" s="76" t="s">
        <v>182</v>
      </c>
      <c r="P32" s="76" t="s">
        <v>103</v>
      </c>
      <c r="Q32" s="76" t="s">
        <v>181</v>
      </c>
      <c r="R32" s="76" t="s">
        <v>103</v>
      </c>
      <c r="S32" s="76" t="s">
        <v>180</v>
      </c>
      <c r="T32" s="76" t="s">
        <v>103</v>
      </c>
      <c r="U32" s="76" t="s">
        <v>179</v>
      </c>
      <c r="V32" s="76" t="s">
        <v>103</v>
      </c>
      <c r="W32" s="77" t="s">
        <v>178</v>
      </c>
      <c r="X32" s="77" t="s">
        <v>103</v>
      </c>
      <c r="Y32" s="76" t="s">
        <v>177</v>
      </c>
      <c r="Z32" s="76" t="s">
        <v>103</v>
      </c>
      <c r="AA32" s="76" t="s">
        <v>176</v>
      </c>
      <c r="AB32" s="76" t="s">
        <v>103</v>
      </c>
      <c r="AC32" s="76" t="s">
        <v>175</v>
      </c>
      <c r="AD32" s="64"/>
      <c r="AE32" s="64"/>
      <c r="AF32" s="74"/>
      <c r="AG32" s="73" t="s">
        <v>174</v>
      </c>
      <c r="AH32" s="52" t="s">
        <v>173</v>
      </c>
      <c r="AI32" s="75" t="s">
        <v>172</v>
      </c>
      <c r="AJ32" s="42"/>
    </row>
    <row r="33" spans="1:39" ht="90.95" customHeight="1">
      <c r="A33" s="51" t="s">
        <v>167</v>
      </c>
      <c r="B33" s="61" t="s">
        <v>171</v>
      </c>
      <c r="C33" s="70" t="s">
        <v>170</v>
      </c>
      <c r="D33" s="63"/>
      <c r="E33" s="63"/>
      <c r="F33" s="63"/>
      <c r="G33" s="63"/>
      <c r="H33" s="63"/>
      <c r="I33" s="63"/>
      <c r="J33" s="63"/>
      <c r="K33" s="63"/>
      <c r="L33" s="63"/>
      <c r="M33" s="63"/>
      <c r="N33" s="63"/>
      <c r="O33" s="63"/>
      <c r="P33" s="63"/>
      <c r="Q33" s="63"/>
      <c r="R33" s="63"/>
      <c r="S33" s="63"/>
      <c r="T33" s="63"/>
      <c r="U33" s="63"/>
      <c r="V33" s="63"/>
      <c r="W33" s="64"/>
      <c r="X33" s="64"/>
      <c r="Y33" s="63"/>
      <c r="Z33" s="63"/>
      <c r="AA33" s="63"/>
      <c r="AB33" s="63"/>
      <c r="AC33" s="63"/>
      <c r="AD33" s="64"/>
      <c r="AE33" s="64"/>
      <c r="AF33" s="74"/>
      <c r="AG33" s="73" t="s">
        <v>169</v>
      </c>
      <c r="AH33" s="72" t="s">
        <v>168</v>
      </c>
      <c r="AI33" s="43" t="s">
        <v>167</v>
      </c>
      <c r="AJ33" s="42"/>
    </row>
    <row r="34" spans="1:39" ht="90.95" customHeight="1">
      <c r="A34" s="51" t="s">
        <v>163</v>
      </c>
      <c r="B34" s="61" t="s">
        <v>166</v>
      </c>
      <c r="C34" s="70" t="s">
        <v>165</v>
      </c>
      <c r="D34" s="63"/>
      <c r="E34" s="63"/>
      <c r="F34" s="63"/>
      <c r="G34" s="63"/>
      <c r="H34" s="63"/>
      <c r="I34" s="63"/>
      <c r="J34" s="63"/>
      <c r="K34" s="63"/>
      <c r="L34" s="63"/>
      <c r="M34" s="63"/>
      <c r="N34" s="63"/>
      <c r="O34" s="63"/>
      <c r="P34" s="63"/>
      <c r="Q34" s="63"/>
      <c r="R34" s="63"/>
      <c r="S34" s="63"/>
      <c r="T34" s="63"/>
      <c r="U34" s="66"/>
      <c r="V34" s="63"/>
      <c r="W34" s="64"/>
      <c r="X34" s="64"/>
      <c r="Y34" s="63"/>
      <c r="Z34" s="63"/>
      <c r="AA34" s="63"/>
      <c r="AB34" s="63"/>
      <c r="AC34" s="63"/>
      <c r="AD34" s="64"/>
      <c r="AE34" s="64"/>
      <c r="AF34" s="64"/>
      <c r="AG34" s="71" t="s">
        <v>164</v>
      </c>
      <c r="AH34" s="70" t="s">
        <v>103</v>
      </c>
      <c r="AI34" s="43" t="s">
        <v>163</v>
      </c>
      <c r="AJ34" s="42"/>
    </row>
    <row r="35" spans="1:39" ht="90.95" customHeight="1" thickBot="1">
      <c r="A35" s="51" t="s">
        <v>159</v>
      </c>
      <c r="B35" s="69" t="s">
        <v>103</v>
      </c>
      <c r="C35" s="68" t="s">
        <v>162</v>
      </c>
      <c r="D35" s="63"/>
      <c r="E35" s="63"/>
      <c r="F35" s="67"/>
      <c r="G35" s="66"/>
      <c r="H35" s="66"/>
      <c r="I35" s="63"/>
      <c r="J35" s="63"/>
      <c r="K35" s="63"/>
      <c r="L35" s="63"/>
      <c r="M35" s="63"/>
      <c r="N35" s="63"/>
      <c r="O35" s="63"/>
      <c r="P35" s="63"/>
      <c r="Q35" s="63"/>
      <c r="R35" s="63"/>
      <c r="S35" s="63"/>
      <c r="T35" s="63"/>
      <c r="U35" s="63"/>
      <c r="V35" s="63"/>
      <c r="W35" s="64"/>
      <c r="X35" s="64"/>
      <c r="Y35" s="63"/>
      <c r="Z35" s="63"/>
      <c r="AA35" s="63"/>
      <c r="AB35" s="63"/>
      <c r="AC35" s="65"/>
      <c r="AD35" s="64"/>
      <c r="AE35" s="64"/>
      <c r="AF35" s="63"/>
      <c r="AG35" s="62" t="s">
        <v>161</v>
      </c>
      <c r="AH35" s="52" t="s">
        <v>160</v>
      </c>
      <c r="AI35" s="43" t="s">
        <v>159</v>
      </c>
      <c r="AJ35" s="42"/>
    </row>
    <row r="36" spans="1:39" ht="90.95" customHeight="1">
      <c r="A36" s="51" t="s">
        <v>125</v>
      </c>
      <c r="B36" s="61" t="s">
        <v>158</v>
      </c>
      <c r="C36" s="60" t="s">
        <v>157</v>
      </c>
      <c r="D36" s="54" t="s">
        <v>156</v>
      </c>
      <c r="E36" s="59" t="s">
        <v>155</v>
      </c>
      <c r="F36" s="54" t="s">
        <v>154</v>
      </c>
      <c r="G36" s="54" t="s">
        <v>153</v>
      </c>
      <c r="H36" s="54" t="s">
        <v>152</v>
      </c>
      <c r="I36" s="54" t="s">
        <v>151</v>
      </c>
      <c r="J36" s="54" t="s">
        <v>150</v>
      </c>
      <c r="K36" s="54" t="s">
        <v>149</v>
      </c>
      <c r="L36" s="54" t="s">
        <v>148</v>
      </c>
      <c r="M36" s="58" t="s">
        <v>147</v>
      </c>
      <c r="N36" s="54" t="s">
        <v>146</v>
      </c>
      <c r="O36" s="54" t="s">
        <v>145</v>
      </c>
      <c r="P36" s="54" t="s">
        <v>144</v>
      </c>
      <c r="Q36" s="54" t="s">
        <v>143</v>
      </c>
      <c r="R36" s="54" t="s">
        <v>142</v>
      </c>
      <c r="S36" s="54" t="s">
        <v>141</v>
      </c>
      <c r="T36" s="54" t="s">
        <v>140</v>
      </c>
      <c r="U36" s="57" t="s">
        <v>139</v>
      </c>
      <c r="V36" s="54" t="s">
        <v>138</v>
      </c>
      <c r="W36" s="55" t="s">
        <v>137</v>
      </c>
      <c r="X36" s="55" t="s">
        <v>136</v>
      </c>
      <c r="Y36" s="54" t="s">
        <v>135</v>
      </c>
      <c r="Z36" s="54" t="s">
        <v>134</v>
      </c>
      <c r="AA36" s="54" t="s">
        <v>133</v>
      </c>
      <c r="AB36" s="54" t="s">
        <v>132</v>
      </c>
      <c r="AC36" s="56" t="s">
        <v>131</v>
      </c>
      <c r="AD36" s="55" t="s">
        <v>130</v>
      </c>
      <c r="AE36" s="55" t="s">
        <v>129</v>
      </c>
      <c r="AF36" s="54" t="s">
        <v>128</v>
      </c>
      <c r="AG36" s="53" t="s">
        <v>127</v>
      </c>
      <c r="AH36" s="52" t="s">
        <v>126</v>
      </c>
      <c r="AI36" s="43" t="s">
        <v>125</v>
      </c>
      <c r="AJ36" s="42"/>
    </row>
    <row r="37" spans="1:39" ht="90.95" customHeight="1" thickBot="1">
      <c r="A37" s="51" t="s">
        <v>100</v>
      </c>
      <c r="B37" s="50" t="s">
        <v>124</v>
      </c>
      <c r="C37" s="49" t="s">
        <v>123</v>
      </c>
      <c r="D37" s="48" t="s">
        <v>122</v>
      </c>
      <c r="E37" s="46" t="s">
        <v>103</v>
      </c>
      <c r="F37" s="46" t="s">
        <v>121</v>
      </c>
      <c r="G37" s="46" t="s">
        <v>120</v>
      </c>
      <c r="H37" s="46" t="s">
        <v>103</v>
      </c>
      <c r="I37" s="46" t="s">
        <v>119</v>
      </c>
      <c r="J37" s="46" t="s">
        <v>118</v>
      </c>
      <c r="K37" s="46" t="s">
        <v>103</v>
      </c>
      <c r="L37" s="47" t="s">
        <v>117</v>
      </c>
      <c r="M37" s="46" t="s">
        <v>116</v>
      </c>
      <c r="N37" s="46" t="s">
        <v>103</v>
      </c>
      <c r="O37" s="46" t="s">
        <v>115</v>
      </c>
      <c r="P37" s="46" t="s">
        <v>114</v>
      </c>
      <c r="Q37" s="46" t="s">
        <v>103</v>
      </c>
      <c r="R37" s="46" t="s">
        <v>113</v>
      </c>
      <c r="S37" s="46" t="s">
        <v>112</v>
      </c>
      <c r="T37" s="46" t="s">
        <v>103</v>
      </c>
      <c r="U37" s="46" t="s">
        <v>111</v>
      </c>
      <c r="V37" s="46" t="s">
        <v>110</v>
      </c>
      <c r="W37" s="46" t="s">
        <v>103</v>
      </c>
      <c r="X37" s="45" t="s">
        <v>109</v>
      </c>
      <c r="Y37" s="46" t="s">
        <v>108</v>
      </c>
      <c r="Z37" s="46" t="s">
        <v>103</v>
      </c>
      <c r="AA37" s="46" t="s">
        <v>107</v>
      </c>
      <c r="AB37" s="46" t="s">
        <v>106</v>
      </c>
      <c r="AC37" s="46" t="s">
        <v>103</v>
      </c>
      <c r="AD37" s="45" t="s">
        <v>105</v>
      </c>
      <c r="AE37" s="45" t="s">
        <v>104</v>
      </c>
      <c r="AF37" s="46" t="s">
        <v>103</v>
      </c>
      <c r="AG37" s="45" t="s">
        <v>102</v>
      </c>
      <c r="AH37" s="44" t="s">
        <v>101</v>
      </c>
      <c r="AI37" s="43" t="s">
        <v>100</v>
      </c>
      <c r="AJ37" s="42"/>
    </row>
    <row r="38" spans="1:39" ht="90.95" customHeight="1">
      <c r="A38" s="41"/>
      <c r="B38" s="37" t="s">
        <v>99</v>
      </c>
      <c r="C38" s="37" t="s">
        <v>98</v>
      </c>
      <c r="D38" s="37" t="s">
        <v>97</v>
      </c>
      <c r="E38" s="37" t="s">
        <v>96</v>
      </c>
      <c r="F38" s="37" t="s">
        <v>95</v>
      </c>
      <c r="G38" s="37" t="s">
        <v>94</v>
      </c>
      <c r="H38" s="37" t="s">
        <v>93</v>
      </c>
      <c r="I38" s="37" t="s">
        <v>92</v>
      </c>
      <c r="J38" s="37" t="s">
        <v>91</v>
      </c>
      <c r="K38" s="37" t="s">
        <v>90</v>
      </c>
      <c r="L38" s="40" t="s">
        <v>89</v>
      </c>
      <c r="M38" s="39" t="s">
        <v>88</v>
      </c>
      <c r="N38" s="39" t="s">
        <v>87</v>
      </c>
      <c r="O38" s="39" t="s">
        <v>86</v>
      </c>
      <c r="P38" s="39" t="s">
        <v>85</v>
      </c>
      <c r="Q38" s="39" t="s">
        <v>84</v>
      </c>
      <c r="R38" s="39" t="s">
        <v>83</v>
      </c>
      <c r="S38" s="39" t="s">
        <v>82</v>
      </c>
      <c r="T38" s="39" t="s">
        <v>81</v>
      </c>
      <c r="U38" s="39" t="s">
        <v>80</v>
      </c>
      <c r="V38" s="37" t="s">
        <v>79</v>
      </c>
      <c r="W38" s="37" t="s">
        <v>78</v>
      </c>
      <c r="X38" s="37" t="s">
        <v>77</v>
      </c>
      <c r="Y38" s="37" t="s">
        <v>76</v>
      </c>
      <c r="Z38" s="37" t="s">
        <v>75</v>
      </c>
      <c r="AA38" s="37" t="s">
        <v>74</v>
      </c>
      <c r="AB38" s="37" t="s">
        <v>73</v>
      </c>
      <c r="AC38" s="37" t="s">
        <v>72</v>
      </c>
      <c r="AD38" s="37" t="s">
        <v>71</v>
      </c>
      <c r="AE38" s="37" t="s">
        <v>70</v>
      </c>
      <c r="AF38" s="37" t="s">
        <v>69</v>
      </c>
      <c r="AG38" s="37" t="s">
        <v>68</v>
      </c>
      <c r="AH38" s="37" t="s">
        <v>67</v>
      </c>
      <c r="AI38" s="38"/>
      <c r="AJ38" s="38"/>
      <c r="AK38" s="37"/>
      <c r="AL38" s="37"/>
    </row>
    <row r="39" spans="1:39" s="27" customFormat="1" ht="172.5" customHeight="1">
      <c r="A39" s="28"/>
      <c r="B39" s="256" t="s">
        <v>5007</v>
      </c>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57"/>
      <c r="AB39" s="257"/>
      <c r="AC39" s="257"/>
      <c r="AD39" s="257"/>
      <c r="AE39" s="257"/>
      <c r="AF39" s="257"/>
      <c r="AG39" s="257"/>
      <c r="AH39" s="258"/>
      <c r="AI39" s="30"/>
      <c r="AJ39" s="29"/>
      <c r="AK39" s="34"/>
      <c r="AL39" s="34"/>
      <c r="AM39" s="30"/>
    </row>
    <row r="40" spans="1:39" s="27" customFormat="1" ht="91.5" customHeight="1">
      <c r="A40" s="28"/>
      <c r="B40" s="36"/>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0"/>
      <c r="AJ40" s="29"/>
      <c r="AK40" s="34"/>
      <c r="AL40" s="34"/>
      <c r="AM40" s="30"/>
    </row>
    <row r="41" spans="1:39" s="27" customFormat="1" ht="91.5" customHeight="1">
      <c r="A41" s="28"/>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29"/>
      <c r="AK41" s="30"/>
      <c r="AL41" s="30"/>
      <c r="AM41" s="30"/>
    </row>
    <row r="42" spans="1:39" s="27" customFormat="1" ht="91.5" customHeight="1">
      <c r="A42" s="28"/>
      <c r="B42" s="30"/>
      <c r="C42" s="30"/>
      <c r="D42" s="30"/>
      <c r="E42" s="30"/>
      <c r="F42" s="30"/>
      <c r="G42" s="30"/>
      <c r="H42" s="30"/>
      <c r="I42" s="30"/>
      <c r="J42" s="30"/>
      <c r="K42" s="30"/>
      <c r="L42" s="30"/>
      <c r="M42" s="30"/>
      <c r="N42" s="30"/>
      <c r="O42" s="30"/>
      <c r="P42" s="30"/>
      <c r="Q42" s="30"/>
      <c r="R42" s="30"/>
      <c r="S42" s="30"/>
      <c r="T42" s="30"/>
      <c r="U42" s="30"/>
      <c r="V42" s="30"/>
      <c r="W42" s="30"/>
      <c r="X42" s="30"/>
      <c r="Y42" s="33"/>
      <c r="Z42" s="31"/>
      <c r="AA42" s="30"/>
      <c r="AB42" s="30"/>
      <c r="AC42" s="30"/>
      <c r="AD42" s="30"/>
      <c r="AE42" s="30"/>
      <c r="AF42" s="30"/>
      <c r="AG42" s="30"/>
      <c r="AH42" s="30"/>
      <c r="AI42" s="30"/>
      <c r="AJ42" s="29"/>
      <c r="AK42" s="30"/>
      <c r="AL42" s="30"/>
      <c r="AM42" s="30"/>
    </row>
    <row r="43" spans="1:39" s="27" customFormat="1" ht="93" customHeight="1">
      <c r="A43" s="28"/>
      <c r="B43" s="259"/>
      <c r="C43" s="260"/>
      <c r="D43" s="260"/>
      <c r="E43" s="260"/>
      <c r="F43" s="260"/>
      <c r="G43" s="260"/>
      <c r="H43" s="260"/>
      <c r="I43" s="260"/>
      <c r="J43" s="260"/>
      <c r="K43" s="260"/>
      <c r="L43" s="260"/>
      <c r="M43" s="260"/>
      <c r="N43" s="260"/>
      <c r="O43" s="260"/>
      <c r="P43" s="260"/>
      <c r="Q43" s="260"/>
      <c r="R43" s="260"/>
      <c r="S43" s="260"/>
      <c r="T43" s="260"/>
      <c r="U43" s="260"/>
      <c r="V43" s="260"/>
      <c r="W43" s="260"/>
      <c r="X43" s="30"/>
      <c r="Y43" s="31"/>
      <c r="Z43" s="31"/>
      <c r="AA43" s="30"/>
      <c r="AB43" s="30"/>
      <c r="AC43" s="30"/>
      <c r="AD43" s="30"/>
      <c r="AE43" s="30"/>
      <c r="AF43" s="30"/>
      <c r="AG43" s="30"/>
      <c r="AH43" s="30"/>
      <c r="AI43" s="30"/>
      <c r="AJ43" s="29"/>
      <c r="AK43" s="30"/>
      <c r="AL43" s="30"/>
      <c r="AM43" s="30"/>
    </row>
    <row r="44" spans="1:39" s="27" customFormat="1" ht="91.5" customHeight="1">
      <c r="A44" s="28"/>
      <c r="B44" s="30"/>
      <c r="C44" s="30"/>
      <c r="D44" s="30"/>
      <c r="E44" s="30"/>
      <c r="F44" s="30"/>
      <c r="G44" s="30"/>
      <c r="H44" s="30"/>
      <c r="I44" s="30"/>
      <c r="J44" s="30"/>
      <c r="K44" s="30"/>
      <c r="L44" s="30"/>
      <c r="M44" s="30"/>
      <c r="N44" s="30"/>
      <c r="O44" s="30"/>
      <c r="P44" s="30"/>
      <c r="Q44" s="30"/>
      <c r="R44" s="30"/>
      <c r="S44" s="30"/>
      <c r="T44" s="30"/>
      <c r="U44" s="30"/>
      <c r="V44" s="30"/>
      <c r="W44" s="30"/>
      <c r="X44" s="30"/>
      <c r="Y44" s="32"/>
      <c r="Z44" s="31"/>
      <c r="AA44" s="30"/>
      <c r="AB44" s="30"/>
      <c r="AC44" s="30"/>
      <c r="AD44" s="30"/>
      <c r="AE44" s="30"/>
      <c r="AF44" s="30"/>
      <c r="AG44" s="30"/>
      <c r="AH44" s="30"/>
      <c r="AI44" s="30"/>
      <c r="AJ44" s="29"/>
      <c r="AK44" s="30"/>
      <c r="AL44" s="30"/>
      <c r="AM44" s="30"/>
    </row>
    <row r="45" spans="1:39" s="27" customFormat="1" ht="91.5" customHeight="1">
      <c r="A45" s="28"/>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29"/>
      <c r="AK45" s="30"/>
      <c r="AL45" s="30"/>
      <c r="AM45" s="30"/>
    </row>
    <row r="46" spans="1:39" s="27" customFormat="1" ht="91.5" customHeight="1">
      <c r="A46" s="28"/>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29"/>
      <c r="AK46" s="30"/>
      <c r="AL46" s="30"/>
      <c r="AM46" s="30"/>
    </row>
    <row r="47" spans="1:39" s="27" customFormat="1" ht="91.5" customHeight="1">
      <c r="A47" s="28"/>
      <c r="B47" s="30"/>
      <c r="C47" s="30"/>
      <c r="D47" s="30"/>
      <c r="E47" s="30"/>
      <c r="F47" s="30"/>
      <c r="G47" s="30"/>
      <c r="H47" s="30"/>
      <c r="I47" s="30"/>
      <c r="J47" s="30"/>
      <c r="K47" s="30"/>
      <c r="L47" s="30"/>
      <c r="M47" s="30" t="s">
        <v>66</v>
      </c>
      <c r="N47" s="30"/>
      <c r="O47" s="30"/>
      <c r="P47" s="30"/>
      <c r="Q47" s="30"/>
      <c r="R47" s="30"/>
      <c r="S47" s="30"/>
      <c r="T47" s="30"/>
      <c r="U47" s="30"/>
      <c r="V47" s="30"/>
      <c r="W47" s="30"/>
      <c r="X47" s="30"/>
      <c r="Y47" s="30"/>
      <c r="Z47" s="30"/>
      <c r="AA47" s="30"/>
      <c r="AB47" s="30"/>
      <c r="AC47" s="30"/>
      <c r="AD47" s="30"/>
      <c r="AE47" s="30"/>
      <c r="AF47" s="30"/>
      <c r="AG47" s="30"/>
      <c r="AH47" s="30"/>
      <c r="AI47" s="30"/>
      <c r="AJ47" s="29"/>
      <c r="AK47" s="30"/>
      <c r="AL47" s="30"/>
      <c r="AM47" s="30"/>
    </row>
    <row r="48" spans="1:39" s="27" customFormat="1" ht="91.5" customHeight="1">
      <c r="A48" s="28"/>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29"/>
      <c r="AK48" s="30"/>
      <c r="AL48" s="30"/>
      <c r="AM48" s="30"/>
    </row>
    <row r="49" spans="1:39" s="27" customFormat="1" ht="91.5" customHeight="1">
      <c r="A49" s="28"/>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29"/>
      <c r="AK49" s="30"/>
      <c r="AL49" s="30"/>
      <c r="AM49" s="30"/>
    </row>
    <row r="50" spans="1:39" s="27" customFormat="1" ht="91.5" customHeight="1">
      <c r="A50" s="28"/>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29"/>
      <c r="AK50" s="30"/>
      <c r="AL50" s="30"/>
      <c r="AM50" s="30"/>
    </row>
    <row r="51" spans="1:39" s="27" customFormat="1" ht="91.5" customHeight="1">
      <c r="A51" s="28"/>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29"/>
      <c r="AK51" s="30"/>
      <c r="AL51" s="30"/>
      <c r="AM51" s="30"/>
    </row>
    <row r="52" spans="1:39" s="27" customFormat="1" ht="91.5" customHeight="1">
      <c r="A52" s="28"/>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29"/>
      <c r="AK52" s="30"/>
      <c r="AL52" s="30"/>
      <c r="AM52" s="30"/>
    </row>
    <row r="53" spans="1:39" s="27" customFormat="1" ht="91.5" customHeight="1">
      <c r="A53" s="28"/>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29"/>
      <c r="AK53" s="30"/>
      <c r="AL53" s="30"/>
      <c r="AM53" s="30"/>
    </row>
    <row r="54" spans="1:39" s="27" customFormat="1" ht="91.5" customHeight="1">
      <c r="A54" s="28"/>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29"/>
      <c r="AK54" s="30"/>
      <c r="AL54" s="30"/>
      <c r="AM54" s="30"/>
    </row>
    <row r="55" spans="1:39" s="27" customFormat="1" ht="91.5" customHeight="1">
      <c r="A55" s="28"/>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29"/>
      <c r="AK55" s="30"/>
      <c r="AL55" s="30"/>
      <c r="AM55" s="30"/>
    </row>
    <row r="56" spans="1:39" s="27" customFormat="1" ht="91.5" customHeight="1">
      <c r="A56" s="28"/>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29"/>
      <c r="AK56" s="30"/>
      <c r="AL56" s="30"/>
      <c r="AM56" s="30"/>
    </row>
    <row r="57" spans="1:39" s="27" customFormat="1" ht="91.5" customHeight="1">
      <c r="A57" s="28"/>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29"/>
      <c r="AK57" s="30"/>
      <c r="AL57" s="30"/>
      <c r="AM57" s="30"/>
    </row>
    <row r="58" spans="1:39" s="27" customFormat="1" ht="91.5" customHeight="1">
      <c r="A58" s="28"/>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29"/>
      <c r="AK58" s="30"/>
      <c r="AL58" s="30"/>
      <c r="AM58" s="30"/>
    </row>
    <row r="59" spans="1:39" s="27" customFormat="1" ht="91.5" customHeight="1">
      <c r="A59" s="28"/>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29"/>
      <c r="AK59" s="30"/>
      <c r="AL59" s="30"/>
      <c r="AM59" s="30"/>
    </row>
    <row r="60" spans="1:39" s="27" customFormat="1" ht="91.5" customHeight="1">
      <c r="A60" s="28"/>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29"/>
      <c r="AK60" s="30"/>
      <c r="AL60" s="30"/>
      <c r="AM60" s="30"/>
    </row>
    <row r="61" spans="1:39" s="27" customFormat="1" ht="91.5" customHeight="1">
      <c r="A61" s="28"/>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29"/>
      <c r="AK61" s="30"/>
      <c r="AL61" s="30"/>
      <c r="AM61" s="30"/>
    </row>
    <row r="62" spans="1:39" s="27" customFormat="1" ht="91.5" customHeight="1">
      <c r="A62" s="28"/>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29"/>
      <c r="AK62" s="30"/>
      <c r="AL62" s="30"/>
      <c r="AM62" s="30"/>
    </row>
    <row r="63" spans="1:39" s="27" customFormat="1" ht="91.5" customHeight="1">
      <c r="A63" s="28"/>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29"/>
      <c r="AK63" s="30"/>
      <c r="AL63" s="30"/>
      <c r="AM63" s="30"/>
    </row>
    <row r="64" spans="1:39" s="27" customFormat="1" ht="91.5" customHeight="1">
      <c r="A64" s="28"/>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29"/>
      <c r="AK64" s="30"/>
      <c r="AL64" s="30"/>
      <c r="AM64" s="30"/>
    </row>
    <row r="65" spans="1:39" s="27" customFormat="1" ht="91.5" customHeight="1">
      <c r="A65" s="28"/>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29"/>
      <c r="AK65" s="30"/>
      <c r="AL65" s="30"/>
      <c r="AM65" s="30"/>
    </row>
    <row r="66" spans="1:39" s="27" customFormat="1" ht="91.5" customHeight="1">
      <c r="A66" s="28"/>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29"/>
      <c r="AK66" s="30"/>
      <c r="AL66" s="30"/>
      <c r="AM66" s="30"/>
    </row>
    <row r="67" spans="1:39" s="27" customFormat="1" ht="91.5" customHeight="1">
      <c r="A67" s="28"/>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29"/>
      <c r="AK67" s="30"/>
      <c r="AL67" s="30"/>
      <c r="AM67" s="30"/>
    </row>
    <row r="68" spans="1:39" s="27" customFormat="1" ht="91.5" customHeight="1">
      <c r="A68" s="28"/>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29"/>
      <c r="AK68" s="30"/>
      <c r="AL68" s="30"/>
      <c r="AM68" s="30"/>
    </row>
    <row r="69" spans="1:39" s="27" customFormat="1" ht="91.5" customHeight="1">
      <c r="A69" s="28"/>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29"/>
      <c r="AK69" s="30"/>
      <c r="AL69" s="30"/>
      <c r="AM69" s="30"/>
    </row>
    <row r="70" spans="1:39" s="27" customFormat="1" ht="91.5" customHeight="1">
      <c r="A70" s="28"/>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29"/>
      <c r="AK70" s="30"/>
      <c r="AL70" s="30"/>
      <c r="AM70" s="30"/>
    </row>
    <row r="71" spans="1:39" s="27" customFormat="1" ht="91.5" customHeight="1">
      <c r="A71" s="28"/>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29"/>
      <c r="AK71" s="30"/>
      <c r="AL71" s="30"/>
      <c r="AM71" s="30"/>
    </row>
    <row r="72" spans="1:39" s="27" customFormat="1" ht="91.5" customHeight="1">
      <c r="A72" s="28"/>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29"/>
      <c r="AK72" s="30"/>
      <c r="AL72" s="30"/>
      <c r="AM72" s="30"/>
    </row>
    <row r="73" spans="1:39" s="27" customFormat="1" ht="91.5" customHeight="1">
      <c r="A73" s="28"/>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29"/>
      <c r="AK73" s="30"/>
      <c r="AL73" s="30"/>
      <c r="AM73" s="30"/>
    </row>
    <row r="74" spans="1:39" s="27" customFormat="1" ht="91.5" customHeight="1">
      <c r="A74" s="28"/>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29"/>
      <c r="AK74" s="30"/>
      <c r="AL74" s="30"/>
      <c r="AM74" s="30"/>
    </row>
    <row r="75" spans="1:39" s="27" customFormat="1" ht="91.5" customHeight="1">
      <c r="A75" s="28"/>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29"/>
      <c r="AK75" s="30"/>
      <c r="AL75" s="30"/>
      <c r="AM75" s="30"/>
    </row>
    <row r="76" spans="1:39" s="27" customFormat="1" ht="91.5" customHeight="1">
      <c r="A76" s="28"/>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29"/>
      <c r="AK76" s="30"/>
      <c r="AL76" s="30"/>
      <c r="AM76" s="30"/>
    </row>
    <row r="77" spans="1:39" s="27" customFormat="1" ht="91.5" customHeight="1">
      <c r="A77" s="28"/>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29"/>
      <c r="AK77" s="30"/>
      <c r="AL77" s="30"/>
      <c r="AM77" s="30"/>
    </row>
    <row r="78" spans="1:39" s="27" customFormat="1" ht="91.5" customHeight="1">
      <c r="A78" s="28"/>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29"/>
      <c r="AK78" s="30"/>
      <c r="AL78" s="30"/>
      <c r="AM78" s="30"/>
    </row>
    <row r="79" spans="1:39" s="27" customFormat="1" ht="91.5" customHeight="1">
      <c r="A79" s="28"/>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29"/>
      <c r="AK79" s="30"/>
      <c r="AL79" s="30"/>
      <c r="AM79" s="30"/>
    </row>
    <row r="80" spans="1:39" s="27" customFormat="1" ht="91.5" customHeight="1">
      <c r="A80" s="28"/>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29"/>
      <c r="AK80" s="30"/>
      <c r="AL80" s="30"/>
      <c r="AM80" s="30"/>
    </row>
    <row r="81" spans="1:39" s="27" customFormat="1" ht="91.5" customHeight="1">
      <c r="A81" s="28"/>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29"/>
      <c r="AK81" s="30"/>
      <c r="AL81" s="30"/>
      <c r="AM81" s="30"/>
    </row>
    <row r="82" spans="1:39" s="27" customFormat="1" ht="91.5" customHeight="1">
      <c r="A82" s="28"/>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29"/>
      <c r="AK82" s="30"/>
      <c r="AL82" s="30"/>
      <c r="AM82" s="30"/>
    </row>
    <row r="83" spans="1:39" s="27" customFormat="1" ht="91.5" customHeight="1">
      <c r="A83" s="28"/>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29"/>
      <c r="AK83" s="30"/>
      <c r="AL83" s="30"/>
      <c r="AM83" s="30"/>
    </row>
    <row r="84" spans="1:39" s="27" customFormat="1" ht="91.5" customHeight="1">
      <c r="A84" s="28"/>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29"/>
      <c r="AK84" s="30"/>
      <c r="AL84" s="30"/>
      <c r="AM84" s="30"/>
    </row>
    <row r="85" spans="1:39" s="27" customFormat="1" ht="91.5" customHeight="1">
      <c r="A85" s="28"/>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29"/>
      <c r="AK85" s="30"/>
      <c r="AL85" s="30"/>
      <c r="AM85" s="30"/>
    </row>
    <row r="86" spans="1:39" s="27" customFormat="1" ht="91.5" customHeight="1">
      <c r="A86" s="28"/>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29"/>
      <c r="AK86" s="30"/>
      <c r="AL86" s="30"/>
      <c r="AM86" s="30"/>
    </row>
    <row r="87" spans="1:39" s="27" customFormat="1" ht="91.5" customHeight="1">
      <c r="A87" s="28"/>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29"/>
      <c r="AK87" s="30"/>
      <c r="AL87" s="30"/>
      <c r="AM87" s="30"/>
    </row>
    <row r="88" spans="1:39" s="27" customFormat="1" ht="91.5" customHeight="1">
      <c r="A88" s="28"/>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29"/>
      <c r="AK88" s="30"/>
      <c r="AL88" s="30"/>
      <c r="AM88" s="30"/>
    </row>
    <row r="89" spans="1:39" s="27" customFormat="1" ht="91.5" customHeight="1">
      <c r="A89" s="28"/>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29"/>
      <c r="AK89" s="30"/>
      <c r="AL89" s="30"/>
      <c r="AM89" s="30"/>
    </row>
    <row r="90" spans="1:39" s="27" customFormat="1" ht="91.5" customHeight="1">
      <c r="A90" s="28"/>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29"/>
      <c r="AK90" s="30"/>
      <c r="AL90" s="30"/>
      <c r="AM90" s="30"/>
    </row>
    <row r="91" spans="1:39" s="27" customFormat="1" ht="91.5" customHeight="1">
      <c r="A91" s="28"/>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29"/>
      <c r="AK91" s="30"/>
      <c r="AL91" s="30"/>
      <c r="AM91" s="30"/>
    </row>
    <row r="92" spans="1:39" s="27" customFormat="1" ht="91.5" customHeight="1">
      <c r="A92" s="28"/>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29"/>
      <c r="AK92" s="30"/>
      <c r="AL92" s="30"/>
      <c r="AM92" s="30"/>
    </row>
    <row r="93" spans="1:39" s="27" customFormat="1" ht="91.5" customHeight="1">
      <c r="A93" s="28"/>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29"/>
      <c r="AK93" s="30"/>
      <c r="AL93" s="30"/>
      <c r="AM93" s="30"/>
    </row>
    <row r="94" spans="1:39" s="27" customFormat="1" ht="91.5" customHeight="1">
      <c r="A94" s="28"/>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29"/>
      <c r="AK94" s="30"/>
      <c r="AL94" s="30"/>
      <c r="AM94" s="30"/>
    </row>
    <row r="95" spans="1:39" s="27" customFormat="1" ht="91.5" customHeight="1">
      <c r="A95" s="28"/>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29"/>
      <c r="AK95" s="30"/>
      <c r="AL95" s="30"/>
      <c r="AM95" s="30"/>
    </row>
    <row r="96" spans="1:39" s="27" customFormat="1" ht="91.5" customHeight="1">
      <c r="A96" s="28"/>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29"/>
      <c r="AK96" s="30"/>
      <c r="AL96" s="30"/>
      <c r="AM96" s="30"/>
    </row>
    <row r="97" spans="1:39" s="27" customFormat="1" ht="91.5" customHeight="1">
      <c r="A97" s="28"/>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29"/>
      <c r="AK97" s="30"/>
      <c r="AL97" s="30"/>
      <c r="AM97" s="30"/>
    </row>
    <row r="98" spans="1:39" s="27" customFormat="1" ht="91.5" customHeight="1">
      <c r="A98" s="28"/>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29"/>
      <c r="AK98" s="30"/>
      <c r="AL98" s="30"/>
      <c r="AM98" s="30"/>
    </row>
    <row r="99" spans="1:39" s="27" customFormat="1" ht="91.5" customHeight="1">
      <c r="A99" s="28"/>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29"/>
      <c r="AK99" s="30"/>
      <c r="AL99" s="30"/>
      <c r="AM99" s="30"/>
    </row>
    <row r="100" spans="1:39" s="27" customFormat="1" ht="91.5" customHeight="1">
      <c r="A100" s="28"/>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29"/>
      <c r="AK100" s="30"/>
      <c r="AL100" s="30"/>
      <c r="AM100" s="30"/>
    </row>
    <row r="101" spans="1:39" s="27" customFormat="1" ht="91.5" customHeight="1">
      <c r="A101" s="28"/>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29"/>
      <c r="AK101" s="30"/>
      <c r="AL101" s="30"/>
      <c r="AM101" s="30"/>
    </row>
    <row r="102" spans="1:39" s="27" customFormat="1" ht="91.5" customHeight="1">
      <c r="A102" s="28"/>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29"/>
      <c r="AK102" s="30"/>
      <c r="AL102" s="30"/>
      <c r="AM102" s="30"/>
    </row>
    <row r="103" spans="1:39" s="27" customFormat="1" ht="91.5" customHeight="1">
      <c r="A103" s="28"/>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29"/>
      <c r="AK103" s="30"/>
      <c r="AL103" s="30"/>
      <c r="AM103" s="30"/>
    </row>
    <row r="104" spans="1:39" s="27" customFormat="1" ht="91.5" customHeight="1">
      <c r="A104" s="28"/>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29"/>
      <c r="AK104" s="30"/>
      <c r="AL104" s="30"/>
      <c r="AM104" s="30"/>
    </row>
    <row r="105" spans="1:39" s="27" customFormat="1" ht="91.5" customHeight="1">
      <c r="A105" s="28"/>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29"/>
      <c r="AK105" s="30"/>
      <c r="AL105" s="30"/>
      <c r="AM105" s="30"/>
    </row>
    <row r="106" spans="1:39" s="27" customFormat="1" ht="91.5" customHeight="1">
      <c r="A106" s="28"/>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29"/>
      <c r="AK106" s="30"/>
      <c r="AL106" s="30"/>
      <c r="AM106" s="30"/>
    </row>
    <row r="107" spans="1:39" s="27" customFormat="1" ht="91.5" customHeight="1">
      <c r="A107" s="28"/>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29"/>
      <c r="AK107" s="30"/>
      <c r="AL107" s="30"/>
      <c r="AM107" s="30"/>
    </row>
    <row r="108" spans="1:39" s="27" customFormat="1" ht="91.5" customHeight="1">
      <c r="A108" s="28"/>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29"/>
      <c r="AK108" s="30"/>
      <c r="AL108" s="30"/>
      <c r="AM108" s="30"/>
    </row>
    <row r="109" spans="1:39" s="27" customFormat="1" ht="91.5" customHeight="1">
      <c r="A109" s="28"/>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29"/>
      <c r="AK109" s="30"/>
      <c r="AL109" s="30"/>
      <c r="AM109" s="30"/>
    </row>
    <row r="110" spans="1:39" s="27" customFormat="1" ht="91.5" customHeight="1">
      <c r="A110" s="28"/>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29"/>
      <c r="AK110" s="30"/>
      <c r="AL110" s="30"/>
      <c r="AM110" s="30"/>
    </row>
    <row r="111" spans="1:39" s="27" customFormat="1" ht="91.5" customHeight="1">
      <c r="A111" s="28"/>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29"/>
      <c r="AK111" s="30"/>
      <c r="AL111" s="30"/>
      <c r="AM111" s="30"/>
    </row>
    <row r="112" spans="1:39" s="27" customFormat="1" ht="91.5" customHeight="1">
      <c r="A112" s="28"/>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29"/>
      <c r="AK112" s="30"/>
      <c r="AL112" s="30"/>
      <c r="AM112" s="30"/>
    </row>
    <row r="113" spans="1:39" s="27" customFormat="1" ht="91.5" customHeight="1">
      <c r="A113" s="28"/>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29"/>
      <c r="AK113" s="30"/>
      <c r="AL113" s="30"/>
      <c r="AM113" s="30"/>
    </row>
    <row r="114" spans="1:39" s="27" customFormat="1" ht="91.5" customHeight="1">
      <c r="A114" s="28"/>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29"/>
      <c r="AK114" s="30"/>
      <c r="AL114" s="30"/>
      <c r="AM114" s="30"/>
    </row>
    <row r="115" spans="1:39" s="27" customFormat="1" ht="91.5" customHeight="1">
      <c r="A115" s="28"/>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29"/>
      <c r="AK115" s="30"/>
      <c r="AL115" s="30"/>
      <c r="AM115" s="30"/>
    </row>
    <row r="116" spans="1:39" s="27" customFormat="1" ht="91.5" customHeight="1">
      <c r="A116" s="28"/>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29"/>
      <c r="AK116" s="30"/>
      <c r="AL116" s="30"/>
      <c r="AM116" s="30"/>
    </row>
    <row r="117" spans="1:39" s="27" customFormat="1" ht="121.5" customHeight="1">
      <c r="A117" s="28"/>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29"/>
      <c r="AK117" s="30"/>
      <c r="AL117" s="30"/>
      <c r="AM117" s="30"/>
    </row>
    <row r="118" spans="1:39" s="27" customFormat="1" ht="121.5" customHeight="1">
      <c r="A118" s="28"/>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29"/>
      <c r="AK118" s="30"/>
      <c r="AL118" s="30"/>
      <c r="AM118" s="30"/>
    </row>
    <row r="119" spans="1:39" ht="121.5" customHeight="1">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29"/>
      <c r="AK119" s="29"/>
      <c r="AL119" s="29"/>
      <c r="AM119" s="29"/>
    </row>
    <row r="120" spans="1:39" ht="121.5" customHeight="1">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29"/>
      <c r="AK120" s="29"/>
      <c r="AL120" s="29"/>
      <c r="AM120" s="29"/>
    </row>
  </sheetData>
  <mergeCells count="2">
    <mergeCell ref="B39:AH39"/>
    <mergeCell ref="B43:W43"/>
  </mergeCells>
  <phoneticPr fontId="2"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T571"/>
  <sheetViews>
    <sheetView zoomScale="55" zoomScaleNormal="55" workbookViewId="0">
      <pane xSplit="2" ySplit="2" topLeftCell="C3" activePane="bottomRight" state="frozen"/>
      <selection pane="topRight" activeCell="C1" sqref="C1"/>
      <selection pane="bottomLeft" activeCell="A3" sqref="A3"/>
      <selection pane="bottomRight" activeCell="I34" sqref="I34"/>
    </sheetView>
  </sheetViews>
  <sheetFormatPr defaultColWidth="9" defaultRowHeight="14.25" outlineLevelRow="1" outlineLevelCol="1"/>
  <cols>
    <col min="1" max="1" width="16.5" style="117" customWidth="1"/>
    <col min="2" max="2" width="82.125" style="115" customWidth="1"/>
    <col min="3" max="3" width="38.875" style="115" customWidth="1" outlineLevel="1"/>
    <col min="4" max="4" width="20.125" style="117" customWidth="1" outlineLevel="1"/>
    <col min="5" max="5" width="7.75" style="117" customWidth="1" outlineLevel="1"/>
    <col min="6" max="7" width="9" style="117" customWidth="1" outlineLevel="1"/>
    <col min="8" max="8" width="34.75" style="117" customWidth="1" outlineLevel="1"/>
    <col min="9" max="9" width="26.25" style="117" customWidth="1" outlineLevel="1"/>
    <col min="10" max="10" width="12.25" style="117" customWidth="1" outlineLevel="1"/>
    <col min="11" max="12" width="11" style="117" customWidth="1" outlineLevel="1"/>
    <col min="13" max="13" width="27.75" style="115" customWidth="1"/>
    <col min="14" max="14" width="31.125" style="115" customWidth="1"/>
    <col min="15" max="20" width="26.125" style="115" customWidth="1"/>
    <col min="21" max="21" width="14.25" style="115" customWidth="1"/>
    <col min="22" max="25" width="26.125" style="115" customWidth="1"/>
    <col min="26" max="26" width="30" style="115" customWidth="1"/>
    <col min="27" max="27" width="21" style="115" customWidth="1"/>
    <col min="28" max="28" width="21.5" style="115" customWidth="1"/>
    <col min="29" max="29" width="6.625" style="115" customWidth="1"/>
    <col min="30" max="30" width="164.75" style="116" hidden="1" customWidth="1"/>
    <col min="31" max="46" width="17.375" style="115" hidden="1" customWidth="1"/>
    <col min="47" max="47" width="17.375" style="115" customWidth="1"/>
    <col min="48" max="16384" width="9" style="115"/>
  </cols>
  <sheetData>
    <row r="1" spans="1:46" s="146" customFormat="1" ht="31.35" customHeight="1">
      <c r="A1" s="267" t="s">
        <v>2847</v>
      </c>
      <c r="B1" s="268" t="s">
        <v>2846</v>
      </c>
      <c r="C1" s="268" t="s">
        <v>2845</v>
      </c>
      <c r="D1" s="268" t="s">
        <v>2844</v>
      </c>
      <c r="E1" s="268" t="s">
        <v>2843</v>
      </c>
      <c r="F1" s="268" t="s">
        <v>2842</v>
      </c>
      <c r="G1" s="267" t="s">
        <v>5008</v>
      </c>
      <c r="H1" s="267" t="s">
        <v>2841</v>
      </c>
      <c r="I1" s="267" t="s">
        <v>2840</v>
      </c>
      <c r="J1" s="267" t="s">
        <v>2839</v>
      </c>
      <c r="K1" s="267" t="s">
        <v>2838</v>
      </c>
      <c r="L1" s="267" t="s">
        <v>2837</v>
      </c>
      <c r="M1" s="261" t="s">
        <v>2836</v>
      </c>
      <c r="N1" s="261"/>
      <c r="O1" s="261"/>
      <c r="P1" s="261"/>
      <c r="Q1" s="261"/>
      <c r="R1" s="261"/>
      <c r="S1" s="261"/>
      <c r="T1" s="261"/>
      <c r="U1" s="261"/>
      <c r="V1" s="261"/>
      <c r="W1" s="261"/>
      <c r="X1" s="261"/>
      <c r="Y1" s="261"/>
      <c r="Z1" s="261"/>
      <c r="AA1" s="261"/>
      <c r="AB1" s="261"/>
      <c r="AC1" s="262" t="s">
        <v>2835</v>
      </c>
      <c r="AD1" s="8"/>
    </row>
    <row r="2" spans="1:46" s="146" customFormat="1" ht="36.75" customHeight="1">
      <c r="A2" s="267"/>
      <c r="B2" s="268"/>
      <c r="C2" s="268"/>
      <c r="D2" s="268"/>
      <c r="E2" s="268"/>
      <c r="F2" s="268"/>
      <c r="G2" s="267"/>
      <c r="H2" s="267"/>
      <c r="I2" s="267"/>
      <c r="J2" s="267"/>
      <c r="K2" s="267"/>
      <c r="L2" s="267"/>
      <c r="M2" s="147" t="s">
        <v>2834</v>
      </c>
      <c r="N2" s="147" t="s">
        <v>2833</v>
      </c>
      <c r="O2" s="147" t="s">
        <v>2832</v>
      </c>
      <c r="P2" s="147" t="s">
        <v>2831</v>
      </c>
      <c r="Q2" s="147" t="s">
        <v>2830</v>
      </c>
      <c r="R2" s="147" t="s">
        <v>2829</v>
      </c>
      <c r="S2" s="147" t="s">
        <v>2828</v>
      </c>
      <c r="T2" s="147" t="s">
        <v>2827</v>
      </c>
      <c r="U2" s="147" t="s">
        <v>2826</v>
      </c>
      <c r="V2" s="147" t="s">
        <v>2825</v>
      </c>
      <c r="W2" s="147" t="s">
        <v>2824</v>
      </c>
      <c r="X2" s="147" t="s">
        <v>2823</v>
      </c>
      <c r="Y2" s="147" t="s">
        <v>2822</v>
      </c>
      <c r="Z2" s="147" t="s">
        <v>2821</v>
      </c>
      <c r="AA2" s="147" t="s">
        <v>2820</v>
      </c>
      <c r="AB2" s="147" t="s">
        <v>2819</v>
      </c>
      <c r="AC2" s="263"/>
      <c r="AD2" s="8"/>
      <c r="AE2" s="146" t="s">
        <v>2818</v>
      </c>
      <c r="AF2" s="146" t="s">
        <v>2817</v>
      </c>
      <c r="AG2" s="146" t="s">
        <v>2816</v>
      </c>
      <c r="AH2" s="146" t="s">
        <v>2815</v>
      </c>
      <c r="AI2" s="146" t="s">
        <v>2814</v>
      </c>
      <c r="AJ2" s="146" t="s">
        <v>2813</v>
      </c>
      <c r="AK2" s="146" t="s">
        <v>2812</v>
      </c>
      <c r="AL2" s="146" t="s">
        <v>2811</v>
      </c>
      <c r="AM2" s="146" t="s">
        <v>2810</v>
      </c>
      <c r="AN2" s="146" t="s">
        <v>2809</v>
      </c>
      <c r="AO2" s="146" t="s">
        <v>2808</v>
      </c>
      <c r="AP2" s="146" t="s">
        <v>2807</v>
      </c>
      <c r="AQ2" s="146" t="s">
        <v>2806</v>
      </c>
      <c r="AR2" s="146" t="s">
        <v>2805</v>
      </c>
      <c r="AS2" s="146" t="s">
        <v>2804</v>
      </c>
      <c r="AT2" s="146" t="s">
        <v>2803</v>
      </c>
    </row>
    <row r="3" spans="1:46">
      <c r="A3" s="145" t="s">
        <v>2802</v>
      </c>
      <c r="B3" s="144"/>
      <c r="C3" s="127"/>
      <c r="D3" s="143"/>
      <c r="E3" s="143"/>
      <c r="F3" s="143"/>
      <c r="G3" s="143"/>
      <c r="H3" s="143"/>
      <c r="I3" s="143"/>
      <c r="J3" s="143"/>
      <c r="K3" s="143"/>
      <c r="L3" s="143"/>
      <c r="M3" s="127"/>
      <c r="N3" s="127"/>
      <c r="O3" s="127"/>
      <c r="P3" s="127"/>
      <c r="Q3" s="127"/>
      <c r="R3" s="127"/>
      <c r="S3" s="127"/>
      <c r="T3" s="127"/>
      <c r="U3" s="127"/>
      <c r="V3" s="127"/>
      <c r="W3" s="127"/>
      <c r="X3" s="127"/>
      <c r="Y3" s="127"/>
      <c r="Z3" s="127"/>
      <c r="AA3" s="127"/>
      <c r="AB3" s="127"/>
      <c r="AC3" s="127"/>
    </row>
    <row r="4" spans="1:46" ht="14.25" customHeight="1" outlineLevel="1">
      <c r="A4" s="119" t="s">
        <v>2801</v>
      </c>
      <c r="B4" s="118" t="s">
        <v>2800</v>
      </c>
      <c r="C4" s="118"/>
      <c r="D4" s="119" t="s">
        <v>753</v>
      </c>
      <c r="E4" s="119" t="s">
        <v>2331</v>
      </c>
      <c r="F4" s="119" t="s">
        <v>753</v>
      </c>
      <c r="G4" s="119" t="s">
        <v>753</v>
      </c>
      <c r="H4" s="119" t="s">
        <v>753</v>
      </c>
      <c r="I4" s="119" t="s">
        <v>753</v>
      </c>
      <c r="J4" s="119" t="s">
        <v>753</v>
      </c>
      <c r="K4" s="119" t="s">
        <v>753</v>
      </c>
      <c r="L4" s="119" t="s">
        <v>753</v>
      </c>
      <c r="M4" s="121" t="s">
        <v>2799</v>
      </c>
      <c r="N4" s="118" t="s">
        <v>2798</v>
      </c>
      <c r="O4" s="118" t="s">
        <v>2797</v>
      </c>
      <c r="P4" s="118" t="s">
        <v>2796</v>
      </c>
      <c r="Q4" s="118"/>
      <c r="R4" s="118"/>
      <c r="S4" s="118"/>
      <c r="T4" s="118"/>
      <c r="U4" s="118"/>
      <c r="V4" s="118"/>
      <c r="W4" s="118"/>
      <c r="X4" s="118"/>
      <c r="Y4" s="118"/>
      <c r="Z4" s="118"/>
      <c r="AA4" s="118"/>
      <c r="AB4" s="118"/>
      <c r="AC4" s="118"/>
    </row>
    <row r="5" spans="1:46" ht="14.25" customHeight="1" outlineLevel="1">
      <c r="A5" s="119" t="s">
        <v>2795</v>
      </c>
      <c r="B5" s="118" t="s">
        <v>2794</v>
      </c>
      <c r="C5" s="118"/>
      <c r="D5" s="119" t="s">
        <v>753</v>
      </c>
      <c r="E5" s="119" t="s">
        <v>2331</v>
      </c>
      <c r="F5" s="119" t="s">
        <v>753</v>
      </c>
      <c r="G5" s="119" t="s">
        <v>753</v>
      </c>
      <c r="H5" s="119" t="s">
        <v>753</v>
      </c>
      <c r="I5" s="119" t="s">
        <v>753</v>
      </c>
      <c r="J5" s="119" t="s">
        <v>753</v>
      </c>
      <c r="K5" s="119" t="s">
        <v>753</v>
      </c>
      <c r="L5" s="119" t="s">
        <v>753</v>
      </c>
      <c r="M5" s="121" t="s">
        <v>2793</v>
      </c>
      <c r="N5" s="118" t="s">
        <v>2792</v>
      </c>
      <c r="O5" s="118" t="s">
        <v>2791</v>
      </c>
      <c r="P5" s="118" t="s">
        <v>2790</v>
      </c>
      <c r="Q5" s="118"/>
      <c r="R5" s="118"/>
      <c r="S5" s="118"/>
      <c r="T5" s="118"/>
      <c r="U5" s="118"/>
      <c r="V5" s="118"/>
      <c r="W5" s="118"/>
      <c r="X5" s="118"/>
      <c r="Y5" s="118"/>
      <c r="Z5" s="118"/>
      <c r="AA5" s="118"/>
      <c r="AB5" s="118"/>
      <c r="AC5" s="118"/>
    </row>
    <row r="6" spans="1:46" ht="14.25" customHeight="1" outlineLevel="1">
      <c r="A6" s="119" t="s">
        <v>2789</v>
      </c>
      <c r="B6" s="118" t="s">
        <v>2788</v>
      </c>
      <c r="C6" s="118"/>
      <c r="D6" s="119" t="s">
        <v>753</v>
      </c>
      <c r="E6" s="119" t="s">
        <v>2331</v>
      </c>
      <c r="F6" s="119" t="s">
        <v>753</v>
      </c>
      <c r="G6" s="119" t="s">
        <v>753</v>
      </c>
      <c r="H6" s="119" t="s">
        <v>753</v>
      </c>
      <c r="I6" s="119" t="s">
        <v>753</v>
      </c>
      <c r="J6" s="119" t="s">
        <v>753</v>
      </c>
      <c r="K6" s="119" t="s">
        <v>753</v>
      </c>
      <c r="L6" s="119" t="s">
        <v>753</v>
      </c>
      <c r="M6" s="121" t="s">
        <v>2787</v>
      </c>
      <c r="N6" s="118" t="s">
        <v>2786</v>
      </c>
      <c r="O6" s="118" t="s">
        <v>2785</v>
      </c>
      <c r="P6" s="118" t="s">
        <v>2784</v>
      </c>
      <c r="Q6" s="118"/>
      <c r="R6" s="118"/>
      <c r="S6" s="118"/>
      <c r="T6" s="118"/>
      <c r="U6" s="118"/>
      <c r="V6" s="118"/>
      <c r="W6" s="118"/>
      <c r="X6" s="118"/>
      <c r="Y6" s="118"/>
      <c r="Z6" s="118"/>
      <c r="AA6" s="118"/>
      <c r="AB6" s="118"/>
      <c r="AC6" s="118"/>
    </row>
    <row r="7" spans="1:46" ht="14.25" customHeight="1" outlineLevel="1">
      <c r="A7" s="119" t="s">
        <v>2783</v>
      </c>
      <c r="B7" s="118" t="s">
        <v>2782</v>
      </c>
      <c r="C7" s="118"/>
      <c r="D7" s="119" t="s">
        <v>753</v>
      </c>
      <c r="E7" s="119" t="s">
        <v>2331</v>
      </c>
      <c r="F7" s="119" t="s">
        <v>753</v>
      </c>
      <c r="G7" s="119" t="s">
        <v>753</v>
      </c>
      <c r="H7" s="119" t="s">
        <v>753</v>
      </c>
      <c r="I7" s="119" t="s">
        <v>753</v>
      </c>
      <c r="J7" s="119" t="s">
        <v>753</v>
      </c>
      <c r="K7" s="119" t="s">
        <v>753</v>
      </c>
      <c r="L7" s="119" t="s">
        <v>753</v>
      </c>
      <c r="M7" s="121" t="s">
        <v>2781</v>
      </c>
      <c r="N7" s="118" t="s">
        <v>2780</v>
      </c>
      <c r="O7" s="118" t="s">
        <v>2779</v>
      </c>
      <c r="P7" s="118" t="s">
        <v>2778</v>
      </c>
      <c r="Q7" s="118"/>
      <c r="R7" s="118"/>
      <c r="S7" s="118"/>
      <c r="T7" s="118"/>
      <c r="U7" s="118"/>
      <c r="V7" s="118"/>
      <c r="W7" s="118"/>
      <c r="X7" s="118"/>
      <c r="Y7" s="118"/>
      <c r="Z7" s="118"/>
      <c r="AA7" s="118"/>
      <c r="AB7" s="118"/>
      <c r="AC7" s="118"/>
    </row>
    <row r="8" spans="1:46" ht="14.25" customHeight="1" outlineLevel="1">
      <c r="A8" s="119" t="s">
        <v>2777</v>
      </c>
      <c r="B8" s="118" t="s">
        <v>2776</v>
      </c>
      <c r="C8" s="118"/>
      <c r="D8" s="119" t="s">
        <v>753</v>
      </c>
      <c r="E8" s="119" t="s">
        <v>2331</v>
      </c>
      <c r="F8" s="119" t="s">
        <v>753</v>
      </c>
      <c r="G8" s="119" t="s">
        <v>753</v>
      </c>
      <c r="H8" s="119" t="s">
        <v>753</v>
      </c>
      <c r="I8" s="119" t="s">
        <v>753</v>
      </c>
      <c r="J8" s="119" t="s">
        <v>753</v>
      </c>
      <c r="K8" s="119" t="s">
        <v>753</v>
      </c>
      <c r="L8" s="119" t="s">
        <v>753</v>
      </c>
      <c r="M8" s="121" t="s">
        <v>2775</v>
      </c>
      <c r="N8" s="118" t="s">
        <v>2774</v>
      </c>
      <c r="O8" s="118" t="s">
        <v>2773</v>
      </c>
      <c r="P8" s="118" t="s">
        <v>2772</v>
      </c>
      <c r="Q8" s="118"/>
      <c r="R8" s="118"/>
      <c r="S8" s="118"/>
      <c r="T8" s="118"/>
      <c r="U8" s="118"/>
      <c r="V8" s="118"/>
      <c r="W8" s="118"/>
      <c r="X8" s="118"/>
      <c r="Y8" s="118"/>
      <c r="Z8" s="118"/>
      <c r="AA8" s="118"/>
      <c r="AB8" s="118"/>
      <c r="AC8" s="118"/>
    </row>
    <row r="9" spans="1:46" ht="14.25" customHeight="1" outlineLevel="1">
      <c r="A9" s="119" t="s">
        <v>2771</v>
      </c>
      <c r="B9" s="118" t="s">
        <v>2770</v>
      </c>
      <c r="C9" s="118"/>
      <c r="D9" s="119" t="s">
        <v>753</v>
      </c>
      <c r="E9" s="119" t="s">
        <v>2331</v>
      </c>
      <c r="F9" s="119" t="s">
        <v>753</v>
      </c>
      <c r="G9" s="119" t="s">
        <v>753</v>
      </c>
      <c r="H9" s="119" t="s">
        <v>753</v>
      </c>
      <c r="I9" s="119" t="s">
        <v>753</v>
      </c>
      <c r="J9" s="119" t="s">
        <v>753</v>
      </c>
      <c r="K9" s="119" t="s">
        <v>753</v>
      </c>
      <c r="L9" s="119" t="s">
        <v>753</v>
      </c>
      <c r="M9" s="121" t="s">
        <v>2769</v>
      </c>
      <c r="N9" s="118" t="s">
        <v>2768</v>
      </c>
      <c r="O9" s="118" t="s">
        <v>2767</v>
      </c>
      <c r="P9" s="118" t="s">
        <v>2766</v>
      </c>
      <c r="Q9" s="118"/>
      <c r="R9" s="118"/>
      <c r="S9" s="118"/>
      <c r="T9" s="118"/>
      <c r="U9" s="118"/>
      <c r="V9" s="118"/>
      <c r="W9" s="118"/>
      <c r="X9" s="118"/>
      <c r="Y9" s="118"/>
      <c r="Z9" s="118"/>
      <c r="AA9" s="118"/>
      <c r="AB9" s="118"/>
      <c r="AC9" s="118"/>
    </row>
    <row r="10" spans="1:46" ht="14.25" customHeight="1" outlineLevel="1">
      <c r="A10" s="119" t="s">
        <v>2765</v>
      </c>
      <c r="B10" s="118" t="s">
        <v>2764</v>
      </c>
      <c r="C10" s="118"/>
      <c r="D10" s="119" t="s">
        <v>753</v>
      </c>
      <c r="E10" s="119" t="s">
        <v>2331</v>
      </c>
      <c r="F10" s="119" t="s">
        <v>753</v>
      </c>
      <c r="G10" s="119" t="s">
        <v>753</v>
      </c>
      <c r="H10" s="119" t="s">
        <v>753</v>
      </c>
      <c r="I10" s="119" t="s">
        <v>753</v>
      </c>
      <c r="J10" s="119" t="s">
        <v>753</v>
      </c>
      <c r="K10" s="119" t="s">
        <v>753</v>
      </c>
      <c r="L10" s="119" t="s">
        <v>753</v>
      </c>
      <c r="M10" s="121" t="s">
        <v>2763</v>
      </c>
      <c r="N10" s="118" t="s">
        <v>2762</v>
      </c>
      <c r="O10" s="118" t="s">
        <v>2761</v>
      </c>
      <c r="P10" s="118" t="s">
        <v>2760</v>
      </c>
      <c r="Q10" s="118"/>
      <c r="R10" s="118"/>
      <c r="S10" s="118"/>
      <c r="T10" s="118"/>
      <c r="U10" s="118"/>
      <c r="V10" s="118"/>
      <c r="W10" s="118"/>
      <c r="X10" s="118"/>
      <c r="Y10" s="118"/>
      <c r="Z10" s="118"/>
      <c r="AA10" s="118"/>
      <c r="AB10" s="118"/>
      <c r="AC10" s="118"/>
    </row>
    <row r="11" spans="1:46" ht="14.25" customHeight="1" outlineLevel="1">
      <c r="A11" s="119" t="s">
        <v>2759</v>
      </c>
      <c r="B11" s="118" t="s">
        <v>2758</v>
      </c>
      <c r="C11" s="118"/>
      <c r="D11" s="119" t="s">
        <v>753</v>
      </c>
      <c r="E11" s="119" t="s">
        <v>2331</v>
      </c>
      <c r="F11" s="119" t="s">
        <v>753</v>
      </c>
      <c r="G11" s="119" t="s">
        <v>753</v>
      </c>
      <c r="H11" s="119" t="s">
        <v>753</v>
      </c>
      <c r="I11" s="119" t="s">
        <v>753</v>
      </c>
      <c r="J11" s="119" t="s">
        <v>753</v>
      </c>
      <c r="K11" s="119" t="s">
        <v>753</v>
      </c>
      <c r="L11" s="119" t="s">
        <v>753</v>
      </c>
      <c r="M11" s="121" t="s">
        <v>2757</v>
      </c>
      <c r="N11" s="118" t="s">
        <v>2756</v>
      </c>
      <c r="O11" s="118" t="s">
        <v>2755</v>
      </c>
      <c r="P11" s="118" t="s">
        <v>2754</v>
      </c>
      <c r="Q11" s="118"/>
      <c r="R11" s="118"/>
      <c r="S11" s="118"/>
      <c r="T11" s="118"/>
      <c r="U11" s="118"/>
      <c r="V11" s="118"/>
      <c r="W11" s="118"/>
      <c r="X11" s="118"/>
      <c r="Y11" s="118"/>
      <c r="Z11" s="118"/>
      <c r="AA11" s="118"/>
      <c r="AB11" s="118"/>
      <c r="AC11" s="118"/>
    </row>
    <row r="12" spans="1:46" ht="14.25" customHeight="1" outlineLevel="1">
      <c r="A12" s="119" t="s">
        <v>2753</v>
      </c>
      <c r="B12" s="118" t="s">
        <v>2752</v>
      </c>
      <c r="C12" s="118"/>
      <c r="D12" s="119" t="s">
        <v>753</v>
      </c>
      <c r="E12" s="119" t="s">
        <v>2331</v>
      </c>
      <c r="F12" s="119" t="s">
        <v>753</v>
      </c>
      <c r="G12" s="119" t="s">
        <v>753</v>
      </c>
      <c r="H12" s="119" t="s">
        <v>753</v>
      </c>
      <c r="I12" s="119" t="s">
        <v>753</v>
      </c>
      <c r="J12" s="119" t="s">
        <v>753</v>
      </c>
      <c r="K12" s="119" t="s">
        <v>753</v>
      </c>
      <c r="L12" s="119" t="s">
        <v>753</v>
      </c>
      <c r="M12" s="121" t="s">
        <v>2751</v>
      </c>
      <c r="N12" s="118" t="s">
        <v>2750</v>
      </c>
      <c r="O12" s="118" t="s">
        <v>2749</v>
      </c>
      <c r="P12" s="118" t="s">
        <v>2748</v>
      </c>
      <c r="Q12" s="118"/>
      <c r="R12" s="118"/>
      <c r="S12" s="118"/>
      <c r="T12" s="118"/>
      <c r="U12" s="118"/>
      <c r="V12" s="118"/>
      <c r="W12" s="118"/>
      <c r="X12" s="118"/>
      <c r="Y12" s="118"/>
      <c r="Z12" s="118"/>
      <c r="AA12" s="118"/>
      <c r="AB12" s="118"/>
      <c r="AC12" s="118"/>
    </row>
    <row r="13" spans="1:46" ht="14.25" customHeight="1" outlineLevel="1">
      <c r="A13" s="119" t="s">
        <v>2747</v>
      </c>
      <c r="B13" s="118" t="s">
        <v>2746</v>
      </c>
      <c r="C13" s="118"/>
      <c r="D13" s="119" t="s">
        <v>753</v>
      </c>
      <c r="E13" s="119" t="s">
        <v>2331</v>
      </c>
      <c r="F13" s="119" t="s">
        <v>753</v>
      </c>
      <c r="G13" s="119" t="s">
        <v>753</v>
      </c>
      <c r="H13" s="119" t="s">
        <v>753</v>
      </c>
      <c r="I13" s="119" t="s">
        <v>753</v>
      </c>
      <c r="J13" s="119" t="s">
        <v>753</v>
      </c>
      <c r="K13" s="119" t="s">
        <v>753</v>
      </c>
      <c r="L13" s="119" t="s">
        <v>753</v>
      </c>
      <c r="M13" s="121" t="s">
        <v>2745</v>
      </c>
      <c r="N13" s="118" t="s">
        <v>2744</v>
      </c>
      <c r="O13" s="118" t="s">
        <v>2743</v>
      </c>
      <c r="P13" s="118" t="s">
        <v>2742</v>
      </c>
      <c r="Q13" s="118"/>
      <c r="R13" s="118"/>
      <c r="S13" s="118"/>
      <c r="T13" s="118"/>
      <c r="U13" s="118"/>
      <c r="V13" s="118"/>
      <c r="W13" s="118"/>
      <c r="X13" s="118"/>
      <c r="Y13" s="118"/>
      <c r="Z13" s="118"/>
      <c r="AA13" s="118"/>
      <c r="AB13" s="118"/>
      <c r="AC13" s="118"/>
    </row>
    <row r="14" spans="1:46" ht="14.25" customHeight="1" outlineLevel="1">
      <c r="A14" s="119" t="s">
        <v>2741</v>
      </c>
      <c r="B14" s="118" t="s">
        <v>2740</v>
      </c>
      <c r="C14" s="118"/>
      <c r="D14" s="119" t="s">
        <v>753</v>
      </c>
      <c r="E14" s="119" t="s">
        <v>2331</v>
      </c>
      <c r="F14" s="119" t="s">
        <v>753</v>
      </c>
      <c r="G14" s="119" t="s">
        <v>753</v>
      </c>
      <c r="H14" s="119" t="s">
        <v>753</v>
      </c>
      <c r="I14" s="119" t="s">
        <v>753</v>
      </c>
      <c r="J14" s="119" t="s">
        <v>753</v>
      </c>
      <c r="K14" s="119" t="s">
        <v>753</v>
      </c>
      <c r="L14" s="119" t="s">
        <v>753</v>
      </c>
      <c r="M14" s="121" t="s">
        <v>2739</v>
      </c>
      <c r="N14" s="118" t="s">
        <v>2738</v>
      </c>
      <c r="O14" s="118" t="s">
        <v>2737</v>
      </c>
      <c r="P14" s="118" t="s">
        <v>2736</v>
      </c>
      <c r="Q14" s="118"/>
      <c r="R14" s="118"/>
      <c r="S14" s="118"/>
      <c r="T14" s="118"/>
      <c r="U14" s="118"/>
      <c r="V14" s="118"/>
      <c r="W14" s="118"/>
      <c r="X14" s="118"/>
      <c r="Y14" s="118"/>
      <c r="Z14" s="118"/>
      <c r="AA14" s="118"/>
      <c r="AB14" s="118"/>
      <c r="AC14" s="118"/>
    </row>
    <row r="15" spans="1:46" ht="14.25" customHeight="1" outlineLevel="1">
      <c r="A15" s="119" t="s">
        <v>2735</v>
      </c>
      <c r="B15" s="118" t="s">
        <v>2734</v>
      </c>
      <c r="C15" s="118"/>
      <c r="D15" s="119" t="s">
        <v>753</v>
      </c>
      <c r="E15" s="119" t="s">
        <v>2157</v>
      </c>
      <c r="F15" s="119" t="s">
        <v>753</v>
      </c>
      <c r="G15" s="119" t="s">
        <v>753</v>
      </c>
      <c r="H15" s="119" t="s">
        <v>753</v>
      </c>
      <c r="I15" s="119" t="s">
        <v>753</v>
      </c>
      <c r="J15" s="119" t="s">
        <v>753</v>
      </c>
      <c r="K15" s="119" t="s">
        <v>753</v>
      </c>
      <c r="L15" s="119" t="s">
        <v>753</v>
      </c>
      <c r="M15" s="121"/>
      <c r="N15" s="118"/>
      <c r="O15" s="118" t="s">
        <v>322</v>
      </c>
      <c r="P15" s="118" t="s">
        <v>2733</v>
      </c>
      <c r="Q15" s="118"/>
      <c r="R15" s="118"/>
      <c r="S15" s="118"/>
      <c r="T15" s="118"/>
      <c r="U15" s="118"/>
      <c r="V15" s="118"/>
      <c r="W15" s="118"/>
      <c r="X15" s="118"/>
      <c r="Y15" s="118"/>
      <c r="Z15" s="118"/>
      <c r="AA15" s="118"/>
      <c r="AB15" s="118"/>
      <c r="AC15" s="118"/>
    </row>
    <row r="16" spans="1:46" ht="14.25" customHeight="1" outlineLevel="1">
      <c r="A16" s="119" t="s">
        <v>2732</v>
      </c>
      <c r="B16" s="118" t="s">
        <v>2731</v>
      </c>
      <c r="C16" s="118"/>
      <c r="D16" s="119" t="s">
        <v>753</v>
      </c>
      <c r="E16" s="119" t="s">
        <v>2157</v>
      </c>
      <c r="F16" s="119" t="s">
        <v>753</v>
      </c>
      <c r="G16" s="119" t="s">
        <v>753</v>
      </c>
      <c r="H16" s="119" t="s">
        <v>753</v>
      </c>
      <c r="I16" s="119" t="s">
        <v>753</v>
      </c>
      <c r="J16" s="119" t="s">
        <v>753</v>
      </c>
      <c r="K16" s="119" t="s">
        <v>753</v>
      </c>
      <c r="L16" s="119" t="s">
        <v>753</v>
      </c>
      <c r="M16" s="121"/>
      <c r="N16" s="118"/>
      <c r="O16" s="118" t="s">
        <v>321</v>
      </c>
      <c r="P16" s="118" t="s">
        <v>2730</v>
      </c>
      <c r="Q16" s="118"/>
      <c r="R16" s="118"/>
      <c r="S16" s="118"/>
      <c r="T16" s="118"/>
      <c r="U16" s="118"/>
      <c r="V16" s="118"/>
      <c r="W16" s="118"/>
      <c r="X16" s="118"/>
      <c r="Y16" s="118"/>
      <c r="Z16" s="118"/>
      <c r="AA16" s="118"/>
      <c r="AB16" s="118"/>
      <c r="AC16" s="118"/>
    </row>
    <row r="17" spans="1:29" ht="14.25" customHeight="1" outlineLevel="1">
      <c r="A17" s="119" t="s">
        <v>2729</v>
      </c>
      <c r="B17" s="118" t="s">
        <v>3522</v>
      </c>
      <c r="C17" s="118"/>
      <c r="D17" s="119" t="s">
        <v>753</v>
      </c>
      <c r="E17" s="119" t="s">
        <v>2331</v>
      </c>
      <c r="F17" s="119" t="s">
        <v>753</v>
      </c>
      <c r="G17" s="119" t="s">
        <v>753</v>
      </c>
      <c r="H17" s="119" t="s">
        <v>753</v>
      </c>
      <c r="I17" s="119" t="s">
        <v>753</v>
      </c>
      <c r="J17" s="119" t="s">
        <v>753</v>
      </c>
      <c r="K17" s="119" t="s">
        <v>753</v>
      </c>
      <c r="L17" s="119" t="s">
        <v>753</v>
      </c>
      <c r="M17" s="121" t="s">
        <v>2727</v>
      </c>
      <c r="N17" s="118" t="s">
        <v>2726</v>
      </c>
      <c r="O17" s="118" t="s">
        <v>2725</v>
      </c>
      <c r="P17" s="118" t="s">
        <v>2724</v>
      </c>
      <c r="Q17" s="118"/>
      <c r="R17" s="118"/>
      <c r="S17" s="118"/>
      <c r="T17" s="118"/>
      <c r="U17" s="118"/>
      <c r="V17" s="118"/>
      <c r="W17" s="118"/>
      <c r="X17" s="118"/>
      <c r="Y17" s="118"/>
      <c r="Z17" s="118"/>
      <c r="AA17" s="118"/>
      <c r="AB17" s="118"/>
      <c r="AC17" s="118"/>
    </row>
    <row r="18" spans="1:29" ht="14.25" customHeight="1" outlineLevel="1">
      <c r="A18" s="119" t="s">
        <v>2723</v>
      </c>
      <c r="B18" s="118" t="s">
        <v>3523</v>
      </c>
      <c r="C18" s="118"/>
      <c r="D18" s="119" t="s">
        <v>753</v>
      </c>
      <c r="E18" s="119" t="s">
        <v>2331</v>
      </c>
      <c r="F18" s="119" t="s">
        <v>753</v>
      </c>
      <c r="G18" s="119" t="s">
        <v>753</v>
      </c>
      <c r="H18" s="119" t="s">
        <v>753</v>
      </c>
      <c r="I18" s="119" t="s">
        <v>753</v>
      </c>
      <c r="J18" s="119" t="s">
        <v>753</v>
      </c>
      <c r="K18" s="119" t="s">
        <v>753</v>
      </c>
      <c r="L18" s="119" t="s">
        <v>753</v>
      </c>
      <c r="M18" s="121" t="s">
        <v>2721</v>
      </c>
      <c r="N18" s="118" t="s">
        <v>2720</v>
      </c>
      <c r="O18" s="118" t="s">
        <v>2719</v>
      </c>
      <c r="P18" s="118" t="s">
        <v>2718</v>
      </c>
      <c r="Q18" s="118"/>
      <c r="R18" s="118"/>
      <c r="S18" s="118"/>
      <c r="T18" s="118"/>
      <c r="U18" s="118"/>
      <c r="V18" s="118"/>
      <c r="W18" s="118"/>
      <c r="X18" s="118"/>
      <c r="Y18" s="118"/>
      <c r="Z18" s="118"/>
      <c r="AA18" s="118"/>
      <c r="AB18" s="118"/>
      <c r="AC18" s="118"/>
    </row>
    <row r="19" spans="1:29" ht="14.25" customHeight="1" outlineLevel="1">
      <c r="A19" s="119" t="s">
        <v>2717</v>
      </c>
      <c r="B19" s="118" t="s">
        <v>2716</v>
      </c>
      <c r="C19" s="118"/>
      <c r="D19" s="119" t="s">
        <v>753</v>
      </c>
      <c r="E19" s="119" t="s">
        <v>2331</v>
      </c>
      <c r="F19" s="119" t="s">
        <v>753</v>
      </c>
      <c r="G19" s="119" t="s">
        <v>753</v>
      </c>
      <c r="H19" s="119" t="s">
        <v>753</v>
      </c>
      <c r="I19" s="119" t="s">
        <v>753</v>
      </c>
      <c r="J19" s="119" t="s">
        <v>753</v>
      </c>
      <c r="K19" s="119" t="s">
        <v>753</v>
      </c>
      <c r="L19" s="119" t="s">
        <v>753</v>
      </c>
      <c r="M19" s="121" t="s">
        <v>2715</v>
      </c>
      <c r="N19" s="118" t="s">
        <v>2714</v>
      </c>
      <c r="O19" s="118" t="s">
        <v>2713</v>
      </c>
      <c r="P19" s="118" t="s">
        <v>2712</v>
      </c>
      <c r="Q19" s="118"/>
      <c r="R19" s="118"/>
      <c r="S19" s="118"/>
      <c r="T19" s="118"/>
      <c r="U19" s="118"/>
      <c r="V19" s="118"/>
      <c r="W19" s="118"/>
      <c r="X19" s="118"/>
      <c r="Y19" s="118"/>
      <c r="Z19" s="118"/>
      <c r="AA19" s="118"/>
      <c r="AB19" s="118"/>
      <c r="AC19" s="118"/>
    </row>
    <row r="20" spans="1:29" ht="14.25" customHeight="1" outlineLevel="1">
      <c r="A20" s="119" t="s">
        <v>2711</v>
      </c>
      <c r="B20" s="118" t="s">
        <v>2710</v>
      </c>
      <c r="C20" s="118"/>
      <c r="D20" s="119" t="s">
        <v>753</v>
      </c>
      <c r="E20" s="119" t="s">
        <v>2331</v>
      </c>
      <c r="F20" s="119" t="s">
        <v>753</v>
      </c>
      <c r="G20" s="119" t="s">
        <v>753</v>
      </c>
      <c r="H20" s="119" t="s">
        <v>753</v>
      </c>
      <c r="I20" s="119" t="s">
        <v>753</v>
      </c>
      <c r="J20" s="119" t="s">
        <v>753</v>
      </c>
      <c r="K20" s="119" t="s">
        <v>753</v>
      </c>
      <c r="L20" s="119" t="s">
        <v>753</v>
      </c>
      <c r="M20" s="121" t="s">
        <v>2709</v>
      </c>
      <c r="N20" s="118" t="s">
        <v>2708</v>
      </c>
      <c r="O20" s="118" t="s">
        <v>2707</v>
      </c>
      <c r="P20" s="118" t="s">
        <v>2706</v>
      </c>
      <c r="Q20" s="118"/>
      <c r="R20" s="118"/>
      <c r="S20" s="118"/>
      <c r="T20" s="118"/>
      <c r="U20" s="118"/>
      <c r="V20" s="118"/>
      <c r="W20" s="118"/>
      <c r="X20" s="118"/>
      <c r="Y20" s="118"/>
      <c r="Z20" s="118"/>
      <c r="AA20" s="118"/>
      <c r="AB20" s="118"/>
      <c r="AC20" s="118"/>
    </row>
    <row r="21" spans="1:29" ht="14.25" customHeight="1" outlineLevel="1">
      <c r="A21" s="119" t="s">
        <v>2705</v>
      </c>
      <c r="B21" s="118" t="s">
        <v>2704</v>
      </c>
      <c r="C21" s="118"/>
      <c r="D21" s="119" t="s">
        <v>753</v>
      </c>
      <c r="E21" s="119" t="s">
        <v>2331</v>
      </c>
      <c r="F21" s="119" t="s">
        <v>753</v>
      </c>
      <c r="G21" s="119" t="s">
        <v>753</v>
      </c>
      <c r="H21" s="119" t="s">
        <v>753</v>
      </c>
      <c r="I21" s="119" t="s">
        <v>753</v>
      </c>
      <c r="J21" s="119" t="s">
        <v>753</v>
      </c>
      <c r="K21" s="119" t="s">
        <v>753</v>
      </c>
      <c r="L21" s="119" t="s">
        <v>753</v>
      </c>
      <c r="M21" s="121" t="s">
        <v>2703</v>
      </c>
      <c r="N21" s="118" t="s">
        <v>2702</v>
      </c>
      <c r="O21" s="118" t="s">
        <v>2701</v>
      </c>
      <c r="P21" s="118" t="s">
        <v>2700</v>
      </c>
      <c r="Q21" s="118"/>
      <c r="R21" s="118"/>
      <c r="S21" s="118"/>
      <c r="T21" s="118"/>
      <c r="U21" s="118"/>
      <c r="V21" s="118"/>
      <c r="W21" s="118"/>
      <c r="X21" s="118"/>
      <c r="Y21" s="118"/>
      <c r="Z21" s="118"/>
      <c r="AA21" s="118"/>
      <c r="AB21" s="118"/>
      <c r="AC21" s="118"/>
    </row>
    <row r="22" spans="1:29" ht="14.25" customHeight="1" outlineLevel="1">
      <c r="A22" s="119" t="s">
        <v>2699</v>
      </c>
      <c r="B22" s="118" t="s">
        <v>2698</v>
      </c>
      <c r="C22" s="118"/>
      <c r="D22" s="119" t="s">
        <v>753</v>
      </c>
      <c r="E22" s="119" t="s">
        <v>2331</v>
      </c>
      <c r="F22" s="119" t="s">
        <v>753</v>
      </c>
      <c r="G22" s="119" t="s">
        <v>753</v>
      </c>
      <c r="H22" s="119" t="s">
        <v>753</v>
      </c>
      <c r="I22" s="119" t="s">
        <v>753</v>
      </c>
      <c r="J22" s="119" t="s">
        <v>753</v>
      </c>
      <c r="K22" s="119" t="s">
        <v>753</v>
      </c>
      <c r="L22" s="119" t="s">
        <v>753</v>
      </c>
      <c r="M22" s="121" t="s">
        <v>2697</v>
      </c>
      <c r="N22" s="118" t="s">
        <v>2696</v>
      </c>
      <c r="O22" s="118" t="s">
        <v>2695</v>
      </c>
      <c r="P22" s="118" t="s">
        <v>2694</v>
      </c>
      <c r="Q22" s="118"/>
      <c r="R22" s="118"/>
      <c r="S22" s="118"/>
      <c r="T22" s="118"/>
      <c r="U22" s="118"/>
      <c r="V22" s="118"/>
      <c r="W22" s="118"/>
      <c r="X22" s="118"/>
      <c r="Y22" s="118"/>
      <c r="Z22" s="118"/>
      <c r="AA22" s="118"/>
      <c r="AB22" s="118"/>
      <c r="AC22" s="118"/>
    </row>
    <row r="23" spans="1:29" ht="14.25" customHeight="1" outlineLevel="1">
      <c r="A23" s="119" t="s">
        <v>2693</v>
      </c>
      <c r="B23" s="118" t="s">
        <v>2692</v>
      </c>
      <c r="C23" s="118"/>
      <c r="D23" s="119" t="s">
        <v>753</v>
      </c>
      <c r="E23" s="119" t="s">
        <v>2331</v>
      </c>
      <c r="F23" s="119" t="s">
        <v>753</v>
      </c>
      <c r="G23" s="119" t="s">
        <v>753</v>
      </c>
      <c r="H23" s="119" t="s">
        <v>753</v>
      </c>
      <c r="I23" s="119" t="s">
        <v>753</v>
      </c>
      <c r="J23" s="119" t="s">
        <v>753</v>
      </c>
      <c r="K23" s="119" t="s">
        <v>753</v>
      </c>
      <c r="L23" s="119" t="s">
        <v>753</v>
      </c>
      <c r="M23" s="121" t="s">
        <v>2691</v>
      </c>
      <c r="N23" s="118" t="s">
        <v>2690</v>
      </c>
      <c r="O23" s="118" t="s">
        <v>2689</v>
      </c>
      <c r="P23" s="118" t="s">
        <v>2688</v>
      </c>
      <c r="Q23" s="118"/>
      <c r="R23" s="118"/>
      <c r="S23" s="118"/>
      <c r="T23" s="118"/>
      <c r="U23" s="118"/>
      <c r="V23" s="118"/>
      <c r="W23" s="118"/>
      <c r="X23" s="118"/>
      <c r="Y23" s="118"/>
      <c r="Z23" s="118"/>
      <c r="AA23" s="118"/>
      <c r="AB23" s="118"/>
      <c r="AC23" s="118"/>
    </row>
    <row r="24" spans="1:29" ht="14.25" customHeight="1" outlineLevel="1">
      <c r="A24" s="119" t="s">
        <v>2687</v>
      </c>
      <c r="B24" s="118" t="s">
        <v>2686</v>
      </c>
      <c r="C24" s="118"/>
      <c r="D24" s="119" t="s">
        <v>753</v>
      </c>
      <c r="E24" s="119" t="s">
        <v>2331</v>
      </c>
      <c r="F24" s="119" t="s">
        <v>753</v>
      </c>
      <c r="G24" s="119" t="s">
        <v>753</v>
      </c>
      <c r="H24" s="119" t="s">
        <v>753</v>
      </c>
      <c r="I24" s="119" t="s">
        <v>753</v>
      </c>
      <c r="J24" s="119" t="s">
        <v>753</v>
      </c>
      <c r="K24" s="119" t="s">
        <v>753</v>
      </c>
      <c r="L24" s="119" t="s">
        <v>753</v>
      </c>
      <c r="M24" s="121" t="s">
        <v>2685</v>
      </c>
      <c r="N24" s="118" t="s">
        <v>2684</v>
      </c>
      <c r="O24" s="118" t="s">
        <v>2683</v>
      </c>
      <c r="P24" s="118" t="s">
        <v>2682</v>
      </c>
      <c r="Q24" s="118"/>
      <c r="R24" s="118"/>
      <c r="S24" s="118"/>
      <c r="T24" s="118"/>
      <c r="U24" s="118"/>
      <c r="V24" s="118"/>
      <c r="W24" s="118"/>
      <c r="X24" s="118"/>
      <c r="Y24" s="118"/>
      <c r="Z24" s="118"/>
      <c r="AA24" s="118"/>
      <c r="AB24" s="118"/>
      <c r="AC24" s="118"/>
    </row>
    <row r="25" spans="1:29" ht="14.25" customHeight="1" outlineLevel="1">
      <c r="A25" s="119" t="s">
        <v>2681</v>
      </c>
      <c r="B25" s="118" t="s">
        <v>2680</v>
      </c>
      <c r="C25" s="118"/>
      <c r="D25" s="119" t="s">
        <v>753</v>
      </c>
      <c r="E25" s="119" t="s">
        <v>2331</v>
      </c>
      <c r="F25" s="119" t="s">
        <v>753</v>
      </c>
      <c r="G25" s="119" t="s">
        <v>753</v>
      </c>
      <c r="H25" s="119" t="s">
        <v>753</v>
      </c>
      <c r="I25" s="119" t="s">
        <v>753</v>
      </c>
      <c r="J25" s="119" t="s">
        <v>753</v>
      </c>
      <c r="K25" s="119" t="s">
        <v>753</v>
      </c>
      <c r="L25" s="119" t="s">
        <v>753</v>
      </c>
      <c r="M25" s="121" t="s">
        <v>2679</v>
      </c>
      <c r="N25" s="118" t="s">
        <v>2678</v>
      </c>
      <c r="O25" s="118" t="s">
        <v>2677</v>
      </c>
      <c r="P25" s="118" t="s">
        <v>2676</v>
      </c>
      <c r="Q25" s="118"/>
      <c r="R25" s="118"/>
      <c r="S25" s="118"/>
      <c r="T25" s="118"/>
      <c r="U25" s="118"/>
      <c r="V25" s="118"/>
      <c r="W25" s="118"/>
      <c r="X25" s="118"/>
      <c r="Y25" s="118"/>
      <c r="Z25" s="118"/>
      <c r="AA25" s="118"/>
      <c r="AB25" s="118"/>
      <c r="AC25" s="118"/>
    </row>
    <row r="26" spans="1:29" ht="14.25" customHeight="1" outlineLevel="1">
      <c r="A26" s="119" t="s">
        <v>2675</v>
      </c>
      <c r="B26" s="118" t="s">
        <v>2674</v>
      </c>
      <c r="C26" s="118"/>
      <c r="D26" s="119" t="s">
        <v>753</v>
      </c>
      <c r="E26" s="119" t="s">
        <v>2331</v>
      </c>
      <c r="F26" s="119" t="s">
        <v>753</v>
      </c>
      <c r="G26" s="119" t="s">
        <v>753</v>
      </c>
      <c r="H26" s="119" t="s">
        <v>753</v>
      </c>
      <c r="I26" s="119" t="s">
        <v>753</v>
      </c>
      <c r="J26" s="119" t="s">
        <v>753</v>
      </c>
      <c r="K26" s="119" t="s">
        <v>753</v>
      </c>
      <c r="L26" s="119" t="s">
        <v>753</v>
      </c>
      <c r="M26" s="121" t="s">
        <v>2673</v>
      </c>
      <c r="N26" s="118" t="s">
        <v>2672</v>
      </c>
      <c r="O26" s="118" t="s">
        <v>2671</v>
      </c>
      <c r="P26" s="118" t="s">
        <v>2670</v>
      </c>
      <c r="Q26" s="118"/>
      <c r="R26" s="118"/>
      <c r="S26" s="118"/>
      <c r="T26" s="118"/>
      <c r="U26" s="118"/>
      <c r="V26" s="118"/>
      <c r="W26" s="118"/>
      <c r="X26" s="118"/>
      <c r="Y26" s="118"/>
      <c r="Z26" s="118"/>
      <c r="AA26" s="118"/>
      <c r="AB26" s="118"/>
      <c r="AC26" s="118"/>
    </row>
    <row r="27" spans="1:29" ht="14.25" customHeight="1" outlineLevel="1">
      <c r="A27" s="119" t="s">
        <v>2669</v>
      </c>
      <c r="B27" s="118" t="s">
        <v>2668</v>
      </c>
      <c r="C27" s="118"/>
      <c r="D27" s="119" t="s">
        <v>753</v>
      </c>
      <c r="E27" s="119" t="s">
        <v>2331</v>
      </c>
      <c r="F27" s="119" t="s">
        <v>753</v>
      </c>
      <c r="G27" s="119" t="s">
        <v>753</v>
      </c>
      <c r="H27" s="119" t="s">
        <v>753</v>
      </c>
      <c r="I27" s="119" t="s">
        <v>753</v>
      </c>
      <c r="J27" s="119" t="s">
        <v>753</v>
      </c>
      <c r="K27" s="119" t="s">
        <v>753</v>
      </c>
      <c r="L27" s="119" t="s">
        <v>753</v>
      </c>
      <c r="M27" s="121" t="s">
        <v>2667</v>
      </c>
      <c r="N27" s="118" t="s">
        <v>2666</v>
      </c>
      <c r="O27" s="118" t="s">
        <v>2665</v>
      </c>
      <c r="P27" s="118" t="s">
        <v>2664</v>
      </c>
      <c r="Q27" s="118"/>
      <c r="R27" s="118"/>
      <c r="S27" s="118"/>
      <c r="T27" s="118"/>
      <c r="U27" s="118"/>
      <c r="V27" s="118"/>
      <c r="W27" s="118"/>
      <c r="X27" s="118"/>
      <c r="Y27" s="118"/>
      <c r="Z27" s="118"/>
      <c r="AA27" s="118"/>
      <c r="AB27" s="118"/>
      <c r="AC27" s="118"/>
    </row>
    <row r="28" spans="1:29" ht="14.25" customHeight="1" outlineLevel="1">
      <c r="A28" s="119" t="s">
        <v>2663</v>
      </c>
      <c r="B28" s="118" t="s">
        <v>2662</v>
      </c>
      <c r="C28" s="118"/>
      <c r="D28" s="119" t="s">
        <v>753</v>
      </c>
      <c r="E28" s="119" t="s">
        <v>2157</v>
      </c>
      <c r="F28" s="119" t="s">
        <v>753</v>
      </c>
      <c r="G28" s="119" t="s">
        <v>753</v>
      </c>
      <c r="H28" s="119" t="s">
        <v>753</v>
      </c>
      <c r="I28" s="119" t="s">
        <v>753</v>
      </c>
      <c r="J28" s="119" t="s">
        <v>753</v>
      </c>
      <c r="K28" s="119" t="s">
        <v>753</v>
      </c>
      <c r="L28" s="119" t="s">
        <v>753</v>
      </c>
      <c r="M28" s="121"/>
      <c r="N28" s="118"/>
      <c r="O28" s="118" t="s">
        <v>245</v>
      </c>
      <c r="P28" s="118" t="s">
        <v>2661</v>
      </c>
      <c r="Q28" s="118"/>
      <c r="R28" s="118"/>
      <c r="S28" s="118"/>
      <c r="T28" s="118"/>
      <c r="U28" s="118"/>
      <c r="V28" s="118"/>
      <c r="W28" s="118"/>
      <c r="X28" s="118"/>
      <c r="Y28" s="118"/>
      <c r="Z28" s="118"/>
      <c r="AA28" s="118"/>
      <c r="AB28" s="118"/>
      <c r="AC28" s="118"/>
    </row>
    <row r="29" spans="1:29" ht="14.25" customHeight="1" outlineLevel="1">
      <c r="A29" s="119" t="s">
        <v>2660</v>
      </c>
      <c r="B29" s="118" t="s">
        <v>2659</v>
      </c>
      <c r="C29" s="118"/>
      <c r="D29" s="119" t="s">
        <v>753</v>
      </c>
      <c r="E29" s="119" t="s">
        <v>2157</v>
      </c>
      <c r="F29" s="119" t="s">
        <v>753</v>
      </c>
      <c r="G29" s="119" t="s">
        <v>753</v>
      </c>
      <c r="H29" s="119" t="s">
        <v>753</v>
      </c>
      <c r="I29" s="119" t="s">
        <v>753</v>
      </c>
      <c r="J29" s="119" t="s">
        <v>753</v>
      </c>
      <c r="K29" s="119" t="s">
        <v>753</v>
      </c>
      <c r="L29" s="119" t="s">
        <v>753</v>
      </c>
      <c r="M29" s="121"/>
      <c r="N29" s="118"/>
      <c r="O29" s="118" t="s">
        <v>244</v>
      </c>
      <c r="P29" s="118" t="s">
        <v>2658</v>
      </c>
      <c r="Q29" s="118"/>
      <c r="R29" s="118"/>
      <c r="S29" s="118"/>
      <c r="T29" s="118"/>
      <c r="U29" s="118"/>
      <c r="V29" s="118"/>
      <c r="W29" s="118"/>
      <c r="X29" s="118"/>
      <c r="Y29" s="118"/>
      <c r="Z29" s="118"/>
      <c r="AA29" s="118"/>
      <c r="AB29" s="118"/>
      <c r="AC29" s="118"/>
    </row>
    <row r="30" spans="1:29" ht="14.25" customHeight="1" outlineLevel="1">
      <c r="A30" s="119" t="s">
        <v>2657</v>
      </c>
      <c r="B30" s="118" t="s">
        <v>2656</v>
      </c>
      <c r="C30" s="118"/>
      <c r="D30" s="119" t="s">
        <v>753</v>
      </c>
      <c r="E30" s="119" t="s">
        <v>2157</v>
      </c>
      <c r="F30" s="119" t="s">
        <v>753</v>
      </c>
      <c r="G30" s="119" t="s">
        <v>753</v>
      </c>
      <c r="H30" s="119" t="s">
        <v>753</v>
      </c>
      <c r="I30" s="119" t="s">
        <v>753</v>
      </c>
      <c r="J30" s="119" t="s">
        <v>753</v>
      </c>
      <c r="K30" s="119" t="s">
        <v>753</v>
      </c>
      <c r="L30" s="119" t="s">
        <v>753</v>
      </c>
      <c r="M30" s="121" t="s">
        <v>2655</v>
      </c>
      <c r="N30" s="118" t="s">
        <v>2654</v>
      </c>
      <c r="O30" s="118" t="s">
        <v>2653</v>
      </c>
      <c r="P30" s="118" t="s">
        <v>2652</v>
      </c>
      <c r="Q30" s="118"/>
      <c r="R30" s="118"/>
      <c r="S30" s="118"/>
      <c r="T30" s="118"/>
      <c r="U30" s="118"/>
      <c r="V30" s="118"/>
      <c r="W30" s="118"/>
      <c r="X30" s="118"/>
      <c r="Y30" s="118"/>
      <c r="Z30" s="118"/>
      <c r="AA30" s="118"/>
      <c r="AB30" s="118"/>
      <c r="AC30" s="118"/>
    </row>
    <row r="31" spans="1:29" ht="14.25" customHeight="1" outlineLevel="1">
      <c r="A31" s="119" t="s">
        <v>2651</v>
      </c>
      <c r="B31" s="118" t="s">
        <v>2650</v>
      </c>
      <c r="C31" s="118"/>
      <c r="D31" s="119" t="s">
        <v>753</v>
      </c>
      <c r="E31" s="119" t="s">
        <v>2157</v>
      </c>
      <c r="F31" s="119" t="s">
        <v>753</v>
      </c>
      <c r="G31" s="119" t="s">
        <v>753</v>
      </c>
      <c r="H31" s="119" t="s">
        <v>753</v>
      </c>
      <c r="I31" s="119" t="s">
        <v>753</v>
      </c>
      <c r="J31" s="119" t="s">
        <v>753</v>
      </c>
      <c r="K31" s="119" t="s">
        <v>753</v>
      </c>
      <c r="L31" s="119" t="s">
        <v>753</v>
      </c>
      <c r="M31" s="121" t="s">
        <v>2649</v>
      </c>
      <c r="N31" s="118" t="s">
        <v>2648</v>
      </c>
      <c r="O31" s="118" t="s">
        <v>2647</v>
      </c>
      <c r="P31" s="118" t="s">
        <v>2646</v>
      </c>
      <c r="Q31" s="118"/>
      <c r="R31" s="118"/>
      <c r="S31" s="118"/>
      <c r="T31" s="118"/>
      <c r="U31" s="118"/>
      <c r="V31" s="118"/>
      <c r="W31" s="118"/>
      <c r="X31" s="118"/>
      <c r="Y31" s="118"/>
      <c r="Z31" s="118"/>
      <c r="AA31" s="118"/>
      <c r="AB31" s="118"/>
      <c r="AC31" s="118"/>
    </row>
    <row r="32" spans="1:29" ht="14.25" customHeight="1" outlineLevel="1">
      <c r="A32" s="119" t="s">
        <v>2645</v>
      </c>
      <c r="B32" s="118" t="s">
        <v>2644</v>
      </c>
      <c r="C32" s="118"/>
      <c r="D32" s="119" t="s">
        <v>753</v>
      </c>
      <c r="E32" s="119" t="s">
        <v>2157</v>
      </c>
      <c r="F32" s="119" t="s">
        <v>753</v>
      </c>
      <c r="G32" s="119" t="s">
        <v>753</v>
      </c>
      <c r="H32" s="119" t="s">
        <v>753</v>
      </c>
      <c r="I32" s="119" t="s">
        <v>753</v>
      </c>
      <c r="J32" s="119" t="s">
        <v>753</v>
      </c>
      <c r="K32" s="119" t="s">
        <v>753</v>
      </c>
      <c r="L32" s="119" t="s">
        <v>753</v>
      </c>
      <c r="M32" s="121" t="s">
        <v>2643</v>
      </c>
      <c r="N32" s="118" t="s">
        <v>2642</v>
      </c>
      <c r="O32" s="118" t="s">
        <v>2641</v>
      </c>
      <c r="P32" s="118" t="s">
        <v>2640</v>
      </c>
      <c r="Q32" s="118"/>
      <c r="R32" s="118"/>
      <c r="S32" s="118"/>
      <c r="T32" s="118"/>
      <c r="U32" s="118"/>
      <c r="V32" s="118"/>
      <c r="W32" s="118"/>
      <c r="X32" s="118"/>
      <c r="Y32" s="118"/>
      <c r="Z32" s="118"/>
      <c r="AA32" s="118"/>
      <c r="AB32" s="118"/>
      <c r="AC32" s="118"/>
    </row>
    <row r="33" spans="1:29" ht="14.25" customHeight="1" outlineLevel="1">
      <c r="A33" s="119" t="s">
        <v>2639</v>
      </c>
      <c r="B33" s="118" t="s">
        <v>2638</v>
      </c>
      <c r="C33" s="118"/>
      <c r="D33" s="119" t="s">
        <v>753</v>
      </c>
      <c r="E33" s="119" t="s">
        <v>2157</v>
      </c>
      <c r="F33" s="119" t="s">
        <v>753</v>
      </c>
      <c r="G33" s="119" t="s">
        <v>753</v>
      </c>
      <c r="H33" s="119" t="s">
        <v>753</v>
      </c>
      <c r="I33" s="119" t="s">
        <v>753</v>
      </c>
      <c r="J33" s="119" t="s">
        <v>753</v>
      </c>
      <c r="K33" s="119" t="s">
        <v>753</v>
      </c>
      <c r="L33" s="119" t="s">
        <v>753</v>
      </c>
      <c r="M33" s="121" t="s">
        <v>2637</v>
      </c>
      <c r="N33" s="118" t="s">
        <v>2636</v>
      </c>
      <c r="O33" s="118" t="s">
        <v>2635</v>
      </c>
      <c r="P33" s="118" t="s">
        <v>2634</v>
      </c>
      <c r="Q33" s="118"/>
      <c r="R33" s="118"/>
      <c r="S33" s="118"/>
      <c r="T33" s="118"/>
      <c r="U33" s="118"/>
      <c r="V33" s="118"/>
      <c r="W33" s="118"/>
      <c r="X33" s="118"/>
      <c r="Y33" s="118"/>
      <c r="Z33" s="118"/>
      <c r="AA33" s="118"/>
      <c r="AB33" s="118"/>
      <c r="AC33" s="118"/>
    </row>
    <row r="34" spans="1:29" ht="14.25" customHeight="1" outlineLevel="1">
      <c r="A34" s="119" t="s">
        <v>2633</v>
      </c>
      <c r="B34" s="118" t="s">
        <v>2632</v>
      </c>
      <c r="C34" s="118"/>
      <c r="D34" s="119" t="s">
        <v>753</v>
      </c>
      <c r="E34" s="119" t="s">
        <v>2157</v>
      </c>
      <c r="F34" s="119" t="s">
        <v>753</v>
      </c>
      <c r="G34" s="119" t="s">
        <v>753</v>
      </c>
      <c r="H34" s="119" t="s">
        <v>753</v>
      </c>
      <c r="I34" s="119" t="s">
        <v>753</v>
      </c>
      <c r="J34" s="119" t="s">
        <v>753</v>
      </c>
      <c r="K34" s="119" t="s">
        <v>753</v>
      </c>
      <c r="L34" s="119" t="s">
        <v>753</v>
      </c>
      <c r="M34" s="121" t="s">
        <v>2631</v>
      </c>
      <c r="N34" s="118" t="s">
        <v>2630</v>
      </c>
      <c r="O34" s="118" t="s">
        <v>2629</v>
      </c>
      <c r="P34" s="118" t="s">
        <v>2628</v>
      </c>
      <c r="Q34" s="118"/>
      <c r="R34" s="118"/>
      <c r="S34" s="118"/>
      <c r="T34" s="118"/>
      <c r="U34" s="118"/>
      <c r="V34" s="118"/>
      <c r="W34" s="118"/>
      <c r="X34" s="118"/>
      <c r="Y34" s="118"/>
      <c r="Z34" s="118"/>
      <c r="AA34" s="118"/>
      <c r="AB34" s="118"/>
      <c r="AC34" s="118"/>
    </row>
    <row r="35" spans="1:29" ht="14.25" customHeight="1" outlineLevel="1">
      <c r="A35" s="119" t="s">
        <v>2627</v>
      </c>
      <c r="B35" s="118" t="s">
        <v>2626</v>
      </c>
      <c r="C35" s="118"/>
      <c r="D35" s="119" t="s">
        <v>753</v>
      </c>
      <c r="E35" s="119" t="s">
        <v>2157</v>
      </c>
      <c r="F35" s="119" t="s">
        <v>753</v>
      </c>
      <c r="G35" s="119" t="s">
        <v>753</v>
      </c>
      <c r="H35" s="119" t="s">
        <v>753</v>
      </c>
      <c r="I35" s="119" t="s">
        <v>753</v>
      </c>
      <c r="J35" s="119" t="s">
        <v>753</v>
      </c>
      <c r="K35" s="119" t="s">
        <v>753</v>
      </c>
      <c r="L35" s="119" t="s">
        <v>753</v>
      </c>
      <c r="M35" s="121" t="s">
        <v>2625</v>
      </c>
      <c r="N35" s="118" t="s">
        <v>2624</v>
      </c>
      <c r="O35" s="118" t="s">
        <v>2623</v>
      </c>
      <c r="P35" s="118" t="s">
        <v>2622</v>
      </c>
      <c r="Q35" s="118"/>
      <c r="R35" s="118"/>
      <c r="S35" s="118"/>
      <c r="T35" s="118"/>
      <c r="U35" s="118"/>
      <c r="V35" s="118"/>
      <c r="W35" s="118"/>
      <c r="X35" s="118"/>
      <c r="Y35" s="118"/>
      <c r="Z35" s="118"/>
      <c r="AA35" s="118"/>
      <c r="AB35" s="118"/>
      <c r="AC35" s="118"/>
    </row>
    <row r="36" spans="1:29" ht="14.25" customHeight="1" outlineLevel="1">
      <c r="A36" s="119" t="s">
        <v>2621</v>
      </c>
      <c r="B36" s="118" t="s">
        <v>2620</v>
      </c>
      <c r="C36" s="118"/>
      <c r="D36" s="119" t="s">
        <v>753</v>
      </c>
      <c r="E36" s="119" t="s">
        <v>2157</v>
      </c>
      <c r="F36" s="119" t="s">
        <v>753</v>
      </c>
      <c r="G36" s="119" t="s">
        <v>753</v>
      </c>
      <c r="H36" s="119" t="s">
        <v>753</v>
      </c>
      <c r="I36" s="119" t="s">
        <v>753</v>
      </c>
      <c r="J36" s="119" t="s">
        <v>753</v>
      </c>
      <c r="K36" s="119" t="s">
        <v>753</v>
      </c>
      <c r="L36" s="119" t="s">
        <v>753</v>
      </c>
      <c r="M36" s="121" t="s">
        <v>2619</v>
      </c>
      <c r="N36" s="118" t="s">
        <v>2618</v>
      </c>
      <c r="O36" s="118" t="s">
        <v>2617</v>
      </c>
      <c r="P36" s="118" t="s">
        <v>2616</v>
      </c>
      <c r="Q36" s="118"/>
      <c r="R36" s="118"/>
      <c r="S36" s="118"/>
      <c r="T36" s="118"/>
      <c r="U36" s="118"/>
      <c r="V36" s="118"/>
      <c r="W36" s="118"/>
      <c r="X36" s="118"/>
      <c r="Y36" s="118"/>
      <c r="Z36" s="118"/>
      <c r="AA36" s="118"/>
      <c r="AB36" s="118"/>
      <c r="AC36" s="118"/>
    </row>
    <row r="37" spans="1:29" ht="14.25" customHeight="1" outlineLevel="1">
      <c r="A37" s="119" t="s">
        <v>2615</v>
      </c>
      <c r="B37" s="118" t="s">
        <v>2614</v>
      </c>
      <c r="C37" s="118"/>
      <c r="D37" s="119" t="s">
        <v>753</v>
      </c>
      <c r="E37" s="119" t="s">
        <v>2157</v>
      </c>
      <c r="F37" s="119" t="s">
        <v>753</v>
      </c>
      <c r="G37" s="119" t="s">
        <v>753</v>
      </c>
      <c r="H37" s="119" t="s">
        <v>753</v>
      </c>
      <c r="I37" s="119" t="s">
        <v>753</v>
      </c>
      <c r="J37" s="119" t="s">
        <v>753</v>
      </c>
      <c r="K37" s="119" t="s">
        <v>753</v>
      </c>
      <c r="L37" s="119" t="s">
        <v>753</v>
      </c>
      <c r="M37" s="121" t="s">
        <v>2613</v>
      </c>
      <c r="N37" s="118" t="s">
        <v>2612</v>
      </c>
      <c r="O37" s="118" t="s">
        <v>2611</v>
      </c>
      <c r="P37" s="118" t="s">
        <v>2610</v>
      </c>
      <c r="Q37" s="118"/>
      <c r="R37" s="118"/>
      <c r="S37" s="118"/>
      <c r="T37" s="118"/>
      <c r="U37" s="118"/>
      <c r="V37" s="118"/>
      <c r="W37" s="118"/>
      <c r="X37" s="118"/>
      <c r="Y37" s="118"/>
      <c r="Z37" s="118"/>
      <c r="AA37" s="118"/>
      <c r="AB37" s="118"/>
      <c r="AC37" s="118"/>
    </row>
    <row r="38" spans="1:29" ht="14.25" customHeight="1" outlineLevel="1">
      <c r="A38" s="119" t="s">
        <v>2609</v>
      </c>
      <c r="B38" s="118" t="s">
        <v>2608</v>
      </c>
      <c r="C38" s="118"/>
      <c r="D38" s="119" t="s">
        <v>753</v>
      </c>
      <c r="E38" s="119" t="s">
        <v>2157</v>
      </c>
      <c r="F38" s="119" t="s">
        <v>753</v>
      </c>
      <c r="G38" s="119" t="s">
        <v>753</v>
      </c>
      <c r="H38" s="119" t="s">
        <v>753</v>
      </c>
      <c r="I38" s="119" t="s">
        <v>753</v>
      </c>
      <c r="J38" s="119" t="s">
        <v>753</v>
      </c>
      <c r="K38" s="119" t="s">
        <v>753</v>
      </c>
      <c r="L38" s="119" t="s">
        <v>753</v>
      </c>
      <c r="M38" s="121" t="s">
        <v>2607</v>
      </c>
      <c r="N38" s="118" t="s">
        <v>2606</v>
      </c>
      <c r="O38" s="118" t="s">
        <v>2605</v>
      </c>
      <c r="P38" s="118" t="s">
        <v>2604</v>
      </c>
      <c r="Q38" s="118"/>
      <c r="R38" s="118"/>
      <c r="S38" s="118"/>
      <c r="T38" s="118"/>
      <c r="U38" s="118"/>
      <c r="V38" s="118"/>
      <c r="W38" s="118"/>
      <c r="X38" s="118"/>
      <c r="Y38" s="118"/>
      <c r="Z38" s="118"/>
      <c r="AA38" s="118"/>
      <c r="AB38" s="118"/>
      <c r="AC38" s="118"/>
    </row>
    <row r="39" spans="1:29" ht="14.25" customHeight="1" outlineLevel="1">
      <c r="A39" s="119" t="s">
        <v>2603</v>
      </c>
      <c r="B39" s="118" t="s">
        <v>2602</v>
      </c>
      <c r="C39" s="118"/>
      <c r="D39" s="119" t="s">
        <v>753</v>
      </c>
      <c r="E39" s="119" t="s">
        <v>2157</v>
      </c>
      <c r="F39" s="119" t="s">
        <v>753</v>
      </c>
      <c r="G39" s="119" t="s">
        <v>753</v>
      </c>
      <c r="H39" s="119" t="s">
        <v>753</v>
      </c>
      <c r="I39" s="119" t="s">
        <v>753</v>
      </c>
      <c r="J39" s="119" t="s">
        <v>753</v>
      </c>
      <c r="K39" s="119" t="s">
        <v>753</v>
      </c>
      <c r="L39" s="119" t="s">
        <v>753</v>
      </c>
      <c r="M39" s="121" t="s">
        <v>2601</v>
      </c>
      <c r="N39" s="118" t="s">
        <v>2600</v>
      </c>
      <c r="O39" s="118" t="s">
        <v>2599</v>
      </c>
      <c r="P39" s="118" t="s">
        <v>2598</v>
      </c>
      <c r="Q39" s="118"/>
      <c r="R39" s="118"/>
      <c r="S39" s="118"/>
      <c r="T39" s="118"/>
      <c r="U39" s="118"/>
      <c r="V39" s="118"/>
      <c r="W39" s="118"/>
      <c r="X39" s="118"/>
      <c r="Y39" s="118"/>
      <c r="Z39" s="118"/>
      <c r="AA39" s="118"/>
      <c r="AB39" s="118"/>
      <c r="AC39" s="118"/>
    </row>
    <row r="40" spans="1:29" ht="14.25" customHeight="1" outlineLevel="1">
      <c r="A40" s="119" t="s">
        <v>2597</v>
      </c>
      <c r="B40" s="118" t="s">
        <v>2596</v>
      </c>
      <c r="C40" s="118"/>
      <c r="D40" s="119" t="s">
        <v>753</v>
      </c>
      <c r="E40" s="119" t="s">
        <v>2157</v>
      </c>
      <c r="F40" s="119" t="s">
        <v>753</v>
      </c>
      <c r="G40" s="119" t="s">
        <v>753</v>
      </c>
      <c r="H40" s="119" t="s">
        <v>753</v>
      </c>
      <c r="I40" s="119" t="s">
        <v>753</v>
      </c>
      <c r="J40" s="119" t="s">
        <v>753</v>
      </c>
      <c r="K40" s="119" t="s">
        <v>753</v>
      </c>
      <c r="L40" s="119" t="s">
        <v>753</v>
      </c>
      <c r="M40" s="121" t="s">
        <v>2595</v>
      </c>
      <c r="N40" s="118" t="s">
        <v>2594</v>
      </c>
      <c r="O40" s="118" t="s">
        <v>2593</v>
      </c>
      <c r="P40" s="118" t="s">
        <v>2592</v>
      </c>
      <c r="Q40" s="118"/>
      <c r="R40" s="118"/>
      <c r="S40" s="118"/>
      <c r="T40" s="118"/>
      <c r="U40" s="118"/>
      <c r="V40" s="118"/>
      <c r="W40" s="118"/>
      <c r="X40" s="118"/>
      <c r="Y40" s="118"/>
      <c r="Z40" s="118"/>
      <c r="AA40" s="118"/>
      <c r="AB40" s="118"/>
      <c r="AC40" s="118"/>
    </row>
    <row r="41" spans="1:29" ht="14.25" customHeight="1" outlineLevel="1">
      <c r="A41" s="119" t="s">
        <v>2591</v>
      </c>
      <c r="B41" s="118" t="s">
        <v>223</v>
      </c>
      <c r="C41" s="118"/>
      <c r="D41" s="119" t="s">
        <v>753</v>
      </c>
      <c r="E41" s="119" t="s">
        <v>2157</v>
      </c>
      <c r="F41" s="119" t="s">
        <v>753</v>
      </c>
      <c r="G41" s="119" t="s">
        <v>753</v>
      </c>
      <c r="H41" s="119" t="s">
        <v>753</v>
      </c>
      <c r="I41" s="119" t="s">
        <v>753</v>
      </c>
      <c r="J41" s="119" t="s">
        <v>753</v>
      </c>
      <c r="K41" s="119" t="s">
        <v>753</v>
      </c>
      <c r="L41" s="119" t="s">
        <v>753</v>
      </c>
      <c r="M41" s="121" t="s">
        <v>2590</v>
      </c>
      <c r="N41" s="118" t="s">
        <v>2589</v>
      </c>
      <c r="O41" s="118"/>
      <c r="P41" s="118"/>
      <c r="Q41" s="118"/>
      <c r="R41" s="118"/>
      <c r="S41" s="118"/>
      <c r="T41" s="118"/>
      <c r="U41" s="118"/>
      <c r="V41" s="118"/>
      <c r="W41" s="118"/>
      <c r="X41" s="118"/>
      <c r="Y41" s="118"/>
      <c r="Z41" s="118"/>
      <c r="AA41" s="118"/>
      <c r="AB41" s="118"/>
      <c r="AC41" s="118"/>
    </row>
    <row r="42" spans="1:29" ht="14.25" customHeight="1" outlineLevel="1">
      <c r="A42" s="119" t="s">
        <v>2588</v>
      </c>
      <c r="B42" s="118" t="s">
        <v>2587</v>
      </c>
      <c r="C42" s="118"/>
      <c r="D42" s="119" t="s">
        <v>753</v>
      </c>
      <c r="E42" s="119" t="s">
        <v>2331</v>
      </c>
      <c r="F42" s="119" t="s">
        <v>753</v>
      </c>
      <c r="G42" s="119" t="s">
        <v>753</v>
      </c>
      <c r="H42" s="119" t="s">
        <v>753</v>
      </c>
      <c r="I42" s="119" t="s">
        <v>753</v>
      </c>
      <c r="J42" s="119" t="s">
        <v>753</v>
      </c>
      <c r="K42" s="119" t="s">
        <v>753</v>
      </c>
      <c r="L42" s="119" t="s">
        <v>753</v>
      </c>
      <c r="M42" s="121" t="s">
        <v>2586</v>
      </c>
      <c r="N42" s="118" t="s">
        <v>2585</v>
      </c>
      <c r="O42" s="118" t="s">
        <v>2584</v>
      </c>
      <c r="P42" s="118" t="s">
        <v>2583</v>
      </c>
      <c r="Q42" s="118"/>
      <c r="R42" s="118"/>
      <c r="S42" s="118"/>
      <c r="T42" s="118"/>
      <c r="U42" s="118"/>
      <c r="V42" s="118"/>
      <c r="W42" s="118"/>
      <c r="X42" s="118"/>
      <c r="Y42" s="118"/>
      <c r="Z42" s="118"/>
      <c r="AA42" s="118"/>
      <c r="AB42" s="118"/>
      <c r="AC42" s="118"/>
    </row>
    <row r="43" spans="1:29" ht="14.25" customHeight="1" outlineLevel="1">
      <c r="A43" s="119" t="s">
        <v>2582</v>
      </c>
      <c r="B43" s="118" t="s">
        <v>2581</v>
      </c>
      <c r="C43" s="118"/>
      <c r="D43" s="119" t="s">
        <v>753</v>
      </c>
      <c r="E43" s="119" t="s">
        <v>2331</v>
      </c>
      <c r="F43" s="119" t="s">
        <v>753</v>
      </c>
      <c r="G43" s="119" t="s">
        <v>753</v>
      </c>
      <c r="H43" s="119" t="s">
        <v>753</v>
      </c>
      <c r="I43" s="119" t="s">
        <v>753</v>
      </c>
      <c r="J43" s="119" t="s">
        <v>753</v>
      </c>
      <c r="K43" s="119" t="s">
        <v>753</v>
      </c>
      <c r="L43" s="119" t="s">
        <v>753</v>
      </c>
      <c r="M43" s="121" t="s">
        <v>2580</v>
      </c>
      <c r="N43" s="118" t="s">
        <v>2579</v>
      </c>
      <c r="O43" s="118" t="s">
        <v>2578</v>
      </c>
      <c r="P43" s="118" t="s">
        <v>2577</v>
      </c>
      <c r="Q43" s="118"/>
      <c r="R43" s="118"/>
      <c r="S43" s="118"/>
      <c r="T43" s="118"/>
      <c r="U43" s="118"/>
      <c r="V43" s="118"/>
      <c r="W43" s="118"/>
      <c r="X43" s="118"/>
      <c r="Y43" s="118"/>
      <c r="Z43" s="118"/>
      <c r="AA43" s="118"/>
      <c r="AB43" s="118"/>
      <c r="AC43" s="118"/>
    </row>
    <row r="44" spans="1:29" ht="14.25" customHeight="1" outlineLevel="1">
      <c r="A44" s="119" t="s">
        <v>2576</v>
      </c>
      <c r="B44" s="118" t="s">
        <v>2575</v>
      </c>
      <c r="C44" s="118"/>
      <c r="D44" s="119" t="s">
        <v>753</v>
      </c>
      <c r="E44" s="119" t="s">
        <v>2331</v>
      </c>
      <c r="F44" s="119" t="s">
        <v>753</v>
      </c>
      <c r="G44" s="119" t="s">
        <v>753</v>
      </c>
      <c r="H44" s="119" t="s">
        <v>753</v>
      </c>
      <c r="I44" s="119" t="s">
        <v>753</v>
      </c>
      <c r="J44" s="119" t="s">
        <v>753</v>
      </c>
      <c r="K44" s="119" t="s">
        <v>753</v>
      </c>
      <c r="L44" s="119" t="s">
        <v>753</v>
      </c>
      <c r="M44" s="121" t="s">
        <v>2574</v>
      </c>
      <c r="N44" s="118" t="s">
        <v>2573</v>
      </c>
      <c r="O44" s="118" t="s">
        <v>2572</v>
      </c>
      <c r="P44" s="118" t="s">
        <v>2571</v>
      </c>
      <c r="Q44" s="118"/>
      <c r="R44" s="118"/>
      <c r="S44" s="118"/>
      <c r="T44" s="118"/>
      <c r="U44" s="118"/>
      <c r="V44" s="118"/>
      <c r="W44" s="118"/>
      <c r="X44" s="118"/>
      <c r="Y44" s="118"/>
      <c r="Z44" s="118"/>
      <c r="AA44" s="118"/>
      <c r="AB44" s="118"/>
      <c r="AC44" s="118"/>
    </row>
    <row r="45" spans="1:29" ht="14.25" customHeight="1" outlineLevel="1">
      <c r="A45" s="119" t="s">
        <v>2570</v>
      </c>
      <c r="B45" s="118" t="s">
        <v>2569</v>
      </c>
      <c r="C45" s="118"/>
      <c r="D45" s="119" t="s">
        <v>753</v>
      </c>
      <c r="E45" s="119" t="s">
        <v>2331</v>
      </c>
      <c r="F45" s="119" t="s">
        <v>753</v>
      </c>
      <c r="G45" s="119" t="s">
        <v>753</v>
      </c>
      <c r="H45" s="119" t="s">
        <v>753</v>
      </c>
      <c r="I45" s="119" t="s">
        <v>753</v>
      </c>
      <c r="J45" s="119" t="s">
        <v>753</v>
      </c>
      <c r="K45" s="119" t="s">
        <v>753</v>
      </c>
      <c r="L45" s="119" t="s">
        <v>753</v>
      </c>
      <c r="M45" s="121" t="s">
        <v>2568</v>
      </c>
      <c r="N45" s="118" t="s">
        <v>2567</v>
      </c>
      <c r="O45" s="118" t="s">
        <v>2566</v>
      </c>
      <c r="P45" s="118" t="s">
        <v>2565</v>
      </c>
      <c r="Q45" s="118"/>
      <c r="R45" s="118"/>
      <c r="S45" s="118"/>
      <c r="T45" s="118"/>
      <c r="U45" s="118"/>
      <c r="V45" s="118"/>
      <c r="W45" s="118"/>
      <c r="X45" s="118"/>
      <c r="Y45" s="118"/>
      <c r="Z45" s="118"/>
      <c r="AA45" s="118"/>
      <c r="AB45" s="118"/>
      <c r="AC45" s="118"/>
    </row>
    <row r="46" spans="1:29" ht="14.25" customHeight="1" outlineLevel="1">
      <c r="A46" s="119" t="s">
        <v>2564</v>
      </c>
      <c r="B46" s="118" t="s">
        <v>2563</v>
      </c>
      <c r="C46" s="118"/>
      <c r="D46" s="119" t="s">
        <v>753</v>
      </c>
      <c r="E46" s="119" t="s">
        <v>2331</v>
      </c>
      <c r="F46" s="119" t="s">
        <v>753</v>
      </c>
      <c r="G46" s="119" t="s">
        <v>753</v>
      </c>
      <c r="H46" s="119" t="s">
        <v>753</v>
      </c>
      <c r="I46" s="119" t="s">
        <v>753</v>
      </c>
      <c r="J46" s="119" t="s">
        <v>753</v>
      </c>
      <c r="K46" s="119" t="s">
        <v>753</v>
      </c>
      <c r="L46" s="119" t="s">
        <v>753</v>
      </c>
      <c r="M46" s="121" t="s">
        <v>2562</v>
      </c>
      <c r="N46" s="118" t="s">
        <v>2561</v>
      </c>
      <c r="O46" s="118" t="s">
        <v>2560</v>
      </c>
      <c r="P46" s="118" t="s">
        <v>2559</v>
      </c>
      <c r="Q46" s="118"/>
      <c r="R46" s="118"/>
      <c r="S46" s="118"/>
      <c r="T46" s="118"/>
      <c r="U46" s="118"/>
      <c r="V46" s="118"/>
      <c r="W46" s="118"/>
      <c r="X46" s="118"/>
      <c r="Y46" s="118"/>
      <c r="Z46" s="118"/>
      <c r="AA46" s="118"/>
      <c r="AB46" s="118"/>
      <c r="AC46" s="118"/>
    </row>
    <row r="47" spans="1:29" ht="14.25" customHeight="1" outlineLevel="1">
      <c r="A47" s="119" t="s">
        <v>2558</v>
      </c>
      <c r="B47" s="118" t="s">
        <v>2557</v>
      </c>
      <c r="C47" s="118"/>
      <c r="D47" s="119" t="s">
        <v>753</v>
      </c>
      <c r="E47" s="119" t="s">
        <v>2331</v>
      </c>
      <c r="F47" s="119" t="s">
        <v>753</v>
      </c>
      <c r="G47" s="119" t="s">
        <v>753</v>
      </c>
      <c r="H47" s="119" t="s">
        <v>753</v>
      </c>
      <c r="I47" s="119" t="s">
        <v>753</v>
      </c>
      <c r="J47" s="119" t="s">
        <v>753</v>
      </c>
      <c r="K47" s="119" t="s">
        <v>753</v>
      </c>
      <c r="L47" s="119" t="s">
        <v>753</v>
      </c>
      <c r="M47" s="121" t="s">
        <v>2556</v>
      </c>
      <c r="N47" s="118" t="s">
        <v>2555</v>
      </c>
      <c r="O47" s="118" t="s">
        <v>2554</v>
      </c>
      <c r="P47" s="118" t="s">
        <v>2553</v>
      </c>
      <c r="Q47" s="118"/>
      <c r="R47" s="118"/>
      <c r="S47" s="118"/>
      <c r="T47" s="118"/>
      <c r="U47" s="118"/>
      <c r="V47" s="118"/>
      <c r="W47" s="118"/>
      <c r="X47" s="118"/>
      <c r="Y47" s="118"/>
      <c r="Z47" s="118"/>
      <c r="AA47" s="118"/>
      <c r="AB47" s="118"/>
      <c r="AC47" s="118"/>
    </row>
    <row r="48" spans="1:29" ht="14.25" customHeight="1" outlineLevel="1">
      <c r="A48" s="119" t="s">
        <v>2552</v>
      </c>
      <c r="B48" s="118" t="s">
        <v>2551</v>
      </c>
      <c r="C48" s="118"/>
      <c r="D48" s="119" t="s">
        <v>753</v>
      </c>
      <c r="E48" s="119" t="s">
        <v>2331</v>
      </c>
      <c r="F48" s="119" t="s">
        <v>753</v>
      </c>
      <c r="G48" s="119" t="s">
        <v>753</v>
      </c>
      <c r="H48" s="119" t="s">
        <v>753</v>
      </c>
      <c r="I48" s="119" t="s">
        <v>753</v>
      </c>
      <c r="J48" s="119" t="s">
        <v>753</v>
      </c>
      <c r="K48" s="119" t="s">
        <v>753</v>
      </c>
      <c r="L48" s="119" t="s">
        <v>753</v>
      </c>
      <c r="M48" s="121" t="s">
        <v>2550</v>
      </c>
      <c r="N48" s="118" t="s">
        <v>2549</v>
      </c>
      <c r="O48" s="118" t="s">
        <v>2548</v>
      </c>
      <c r="P48" s="118" t="s">
        <v>2547</v>
      </c>
      <c r="Q48" s="118"/>
      <c r="R48" s="118"/>
      <c r="S48" s="118"/>
      <c r="T48" s="118"/>
      <c r="U48" s="118"/>
      <c r="V48" s="118"/>
      <c r="W48" s="118"/>
      <c r="X48" s="118"/>
      <c r="Y48" s="118"/>
      <c r="Z48" s="118"/>
      <c r="AA48" s="118"/>
      <c r="AB48" s="118"/>
      <c r="AC48" s="118"/>
    </row>
    <row r="49" spans="1:29" ht="14.25" customHeight="1" outlineLevel="1">
      <c r="A49" s="119" t="s">
        <v>2546</v>
      </c>
      <c r="B49" s="118" t="s">
        <v>2545</v>
      </c>
      <c r="C49" s="118"/>
      <c r="D49" s="119" t="s">
        <v>753</v>
      </c>
      <c r="E49" s="119" t="s">
        <v>2331</v>
      </c>
      <c r="F49" s="119" t="s">
        <v>753</v>
      </c>
      <c r="G49" s="119" t="s">
        <v>753</v>
      </c>
      <c r="H49" s="119" t="s">
        <v>753</v>
      </c>
      <c r="I49" s="119" t="s">
        <v>753</v>
      </c>
      <c r="J49" s="119" t="s">
        <v>753</v>
      </c>
      <c r="K49" s="119" t="s">
        <v>753</v>
      </c>
      <c r="L49" s="119" t="s">
        <v>753</v>
      </c>
      <c r="M49" s="121" t="s">
        <v>2544</v>
      </c>
      <c r="N49" s="118" t="s">
        <v>2543</v>
      </c>
      <c r="O49" s="118" t="s">
        <v>2542</v>
      </c>
      <c r="P49" s="118" t="s">
        <v>2541</v>
      </c>
      <c r="Q49" s="118"/>
      <c r="R49" s="118"/>
      <c r="S49" s="118"/>
      <c r="T49" s="118"/>
      <c r="U49" s="118"/>
      <c r="V49" s="118"/>
      <c r="W49" s="118"/>
      <c r="X49" s="118"/>
      <c r="Y49" s="118"/>
      <c r="Z49" s="118"/>
      <c r="AA49" s="118"/>
      <c r="AB49" s="118"/>
      <c r="AC49" s="118"/>
    </row>
    <row r="50" spans="1:29" ht="14.25" customHeight="1" outlineLevel="1">
      <c r="A50" s="119" t="s">
        <v>2540</v>
      </c>
      <c r="B50" s="118" t="s">
        <v>2539</v>
      </c>
      <c r="C50" s="118"/>
      <c r="D50" s="119" t="s">
        <v>753</v>
      </c>
      <c r="E50" s="119" t="s">
        <v>2331</v>
      </c>
      <c r="F50" s="119" t="s">
        <v>753</v>
      </c>
      <c r="G50" s="119" t="s">
        <v>753</v>
      </c>
      <c r="H50" s="119" t="s">
        <v>753</v>
      </c>
      <c r="I50" s="119" t="s">
        <v>753</v>
      </c>
      <c r="J50" s="119" t="s">
        <v>753</v>
      </c>
      <c r="K50" s="119" t="s">
        <v>753</v>
      </c>
      <c r="L50" s="119" t="s">
        <v>753</v>
      </c>
      <c r="M50" s="121" t="s">
        <v>2538</v>
      </c>
      <c r="N50" s="118" t="s">
        <v>2537</v>
      </c>
      <c r="O50" s="118" t="s">
        <v>2536</v>
      </c>
      <c r="P50" s="118" t="s">
        <v>2535</v>
      </c>
      <c r="Q50" s="118"/>
      <c r="R50" s="118"/>
      <c r="S50" s="118"/>
      <c r="T50" s="118"/>
      <c r="U50" s="118"/>
      <c r="V50" s="118"/>
      <c r="W50" s="118"/>
      <c r="X50" s="118"/>
      <c r="Y50" s="118"/>
      <c r="Z50" s="118"/>
      <c r="AA50" s="118"/>
      <c r="AB50" s="118"/>
      <c r="AC50" s="118"/>
    </row>
    <row r="51" spans="1:29" ht="14.25" customHeight="1" outlineLevel="1">
      <c r="A51" s="119" t="s">
        <v>2534</v>
      </c>
      <c r="B51" s="118" t="s">
        <v>2533</v>
      </c>
      <c r="C51" s="118"/>
      <c r="D51" s="119" t="s">
        <v>753</v>
      </c>
      <c r="E51" s="119" t="s">
        <v>2331</v>
      </c>
      <c r="F51" s="119" t="s">
        <v>753</v>
      </c>
      <c r="G51" s="119" t="s">
        <v>753</v>
      </c>
      <c r="H51" s="119" t="s">
        <v>753</v>
      </c>
      <c r="I51" s="119" t="s">
        <v>753</v>
      </c>
      <c r="J51" s="119" t="s">
        <v>753</v>
      </c>
      <c r="K51" s="119" t="s">
        <v>753</v>
      </c>
      <c r="L51" s="119" t="s">
        <v>753</v>
      </c>
      <c r="M51" s="121" t="s">
        <v>2532</v>
      </c>
      <c r="N51" s="118" t="s">
        <v>2531</v>
      </c>
      <c r="O51" s="118" t="s">
        <v>2530</v>
      </c>
      <c r="P51" s="118" t="s">
        <v>2529</v>
      </c>
      <c r="Q51" s="118"/>
      <c r="R51" s="118"/>
      <c r="S51" s="118"/>
      <c r="T51" s="118"/>
      <c r="U51" s="118"/>
      <c r="V51" s="118"/>
      <c r="W51" s="118"/>
      <c r="X51" s="118"/>
      <c r="Y51" s="118"/>
      <c r="Z51" s="118"/>
      <c r="AA51" s="118"/>
      <c r="AB51" s="118"/>
      <c r="AC51" s="118"/>
    </row>
    <row r="52" spans="1:29" ht="14.25" customHeight="1" outlineLevel="1">
      <c r="A52" s="119" t="s">
        <v>2528</v>
      </c>
      <c r="B52" s="118" t="s">
        <v>2527</v>
      </c>
      <c r="C52" s="118"/>
      <c r="D52" s="119" t="s">
        <v>753</v>
      </c>
      <c r="E52" s="119" t="s">
        <v>2331</v>
      </c>
      <c r="F52" s="119" t="s">
        <v>753</v>
      </c>
      <c r="G52" s="119" t="s">
        <v>753</v>
      </c>
      <c r="H52" s="119" t="s">
        <v>753</v>
      </c>
      <c r="I52" s="119" t="s">
        <v>753</v>
      </c>
      <c r="J52" s="119" t="s">
        <v>753</v>
      </c>
      <c r="K52" s="119" t="s">
        <v>753</v>
      </c>
      <c r="L52" s="119" t="s">
        <v>753</v>
      </c>
      <c r="M52" s="121" t="s">
        <v>2526</v>
      </c>
      <c r="N52" s="118" t="s">
        <v>2525</v>
      </c>
      <c r="O52" s="118" t="s">
        <v>2524</v>
      </c>
      <c r="P52" s="118" t="s">
        <v>2523</v>
      </c>
      <c r="Q52" s="118"/>
      <c r="R52" s="118"/>
      <c r="S52" s="118"/>
      <c r="T52" s="118"/>
      <c r="U52" s="118"/>
      <c r="V52" s="118"/>
      <c r="W52" s="118"/>
      <c r="X52" s="118"/>
      <c r="Y52" s="118"/>
      <c r="Z52" s="118"/>
      <c r="AA52" s="118"/>
      <c r="AB52" s="118"/>
      <c r="AC52" s="118"/>
    </row>
    <row r="53" spans="1:29" ht="14.25" customHeight="1" outlineLevel="1">
      <c r="A53" s="119" t="s">
        <v>2522</v>
      </c>
      <c r="B53" s="118" t="s">
        <v>2521</v>
      </c>
      <c r="C53" s="118"/>
      <c r="D53" s="119" t="s">
        <v>753</v>
      </c>
      <c r="E53" s="119" t="s">
        <v>2157</v>
      </c>
      <c r="F53" s="119" t="s">
        <v>753</v>
      </c>
      <c r="G53" s="119" t="s">
        <v>753</v>
      </c>
      <c r="H53" s="119" t="s">
        <v>753</v>
      </c>
      <c r="I53" s="119" t="s">
        <v>753</v>
      </c>
      <c r="J53" s="119" t="s">
        <v>753</v>
      </c>
      <c r="K53" s="119" t="s">
        <v>753</v>
      </c>
      <c r="L53" s="119" t="s">
        <v>753</v>
      </c>
      <c r="M53" s="121"/>
      <c r="N53" s="118"/>
      <c r="O53" s="118" t="s">
        <v>499</v>
      </c>
      <c r="P53" s="118" t="s">
        <v>2520</v>
      </c>
      <c r="Q53" s="118"/>
      <c r="R53" s="118"/>
      <c r="S53" s="118"/>
      <c r="T53" s="118"/>
      <c r="U53" s="118"/>
      <c r="V53" s="118"/>
      <c r="W53" s="118"/>
      <c r="X53" s="118"/>
      <c r="Y53" s="118"/>
      <c r="Z53" s="118"/>
      <c r="AA53" s="118"/>
      <c r="AB53" s="118"/>
      <c r="AC53" s="118"/>
    </row>
    <row r="54" spans="1:29" ht="14.25" customHeight="1" outlineLevel="1">
      <c r="A54" s="119" t="s">
        <v>2519</v>
      </c>
      <c r="B54" s="118" t="s">
        <v>2518</v>
      </c>
      <c r="C54" s="118"/>
      <c r="D54" s="119" t="s">
        <v>753</v>
      </c>
      <c r="E54" s="119" t="s">
        <v>2157</v>
      </c>
      <c r="F54" s="119" t="s">
        <v>753</v>
      </c>
      <c r="G54" s="119" t="s">
        <v>753</v>
      </c>
      <c r="H54" s="119" t="s">
        <v>753</v>
      </c>
      <c r="I54" s="119" t="s">
        <v>753</v>
      </c>
      <c r="J54" s="119" t="s">
        <v>753</v>
      </c>
      <c r="K54" s="119" t="s">
        <v>753</v>
      </c>
      <c r="L54" s="119" t="s">
        <v>753</v>
      </c>
      <c r="M54" s="121"/>
      <c r="N54" s="118"/>
      <c r="O54" s="118" t="s">
        <v>500</v>
      </c>
      <c r="P54" s="118" t="s">
        <v>2517</v>
      </c>
      <c r="Q54" s="118"/>
      <c r="R54" s="118"/>
      <c r="S54" s="118"/>
      <c r="T54" s="118"/>
      <c r="U54" s="118"/>
      <c r="V54" s="118"/>
      <c r="W54" s="118"/>
      <c r="X54" s="118"/>
      <c r="Y54" s="118"/>
      <c r="Z54" s="118"/>
      <c r="AA54" s="118"/>
      <c r="AB54" s="118"/>
      <c r="AC54" s="118"/>
    </row>
    <row r="55" spans="1:29" ht="14.25" customHeight="1" outlineLevel="1">
      <c r="A55" s="119" t="s">
        <v>2516</v>
      </c>
      <c r="B55" s="118" t="s">
        <v>2515</v>
      </c>
      <c r="C55" s="118"/>
      <c r="D55" s="119" t="s">
        <v>753</v>
      </c>
      <c r="E55" s="119" t="s">
        <v>2331</v>
      </c>
      <c r="F55" s="119" t="s">
        <v>753</v>
      </c>
      <c r="G55" s="119" t="s">
        <v>753</v>
      </c>
      <c r="H55" s="119" t="s">
        <v>753</v>
      </c>
      <c r="I55" s="119" t="s">
        <v>753</v>
      </c>
      <c r="J55" s="119" t="s">
        <v>753</v>
      </c>
      <c r="K55" s="119" t="s">
        <v>753</v>
      </c>
      <c r="L55" s="119" t="s">
        <v>753</v>
      </c>
      <c r="M55" s="121" t="s">
        <v>2514</v>
      </c>
      <c r="N55" s="118" t="s">
        <v>2513</v>
      </c>
      <c r="O55" s="118" t="s">
        <v>2512</v>
      </c>
      <c r="P55" s="118" t="s">
        <v>2511</v>
      </c>
      <c r="Q55" s="118"/>
      <c r="R55" s="118"/>
      <c r="S55" s="118"/>
      <c r="T55" s="118"/>
      <c r="U55" s="118"/>
      <c r="V55" s="118"/>
      <c r="W55" s="118"/>
      <c r="X55" s="118"/>
      <c r="Y55" s="118"/>
      <c r="Z55" s="118"/>
      <c r="AA55" s="118"/>
      <c r="AB55" s="118"/>
      <c r="AC55" s="118"/>
    </row>
    <row r="56" spans="1:29" ht="14.25" customHeight="1" outlineLevel="1">
      <c r="A56" s="119" t="s">
        <v>2510</v>
      </c>
      <c r="B56" s="118" t="s">
        <v>2509</v>
      </c>
      <c r="C56" s="118"/>
      <c r="D56" s="119" t="s">
        <v>753</v>
      </c>
      <c r="E56" s="119" t="s">
        <v>2331</v>
      </c>
      <c r="F56" s="119" t="s">
        <v>753</v>
      </c>
      <c r="G56" s="119" t="s">
        <v>753</v>
      </c>
      <c r="H56" s="119" t="s">
        <v>753</v>
      </c>
      <c r="I56" s="119" t="s">
        <v>753</v>
      </c>
      <c r="J56" s="119" t="s">
        <v>753</v>
      </c>
      <c r="K56" s="119" t="s">
        <v>753</v>
      </c>
      <c r="L56" s="119" t="s">
        <v>753</v>
      </c>
      <c r="M56" s="121" t="s">
        <v>2508</v>
      </c>
      <c r="N56" s="118" t="s">
        <v>2507</v>
      </c>
      <c r="O56" s="118" t="s">
        <v>2506</v>
      </c>
      <c r="P56" s="118" t="s">
        <v>2505</v>
      </c>
      <c r="Q56" s="118"/>
      <c r="R56" s="118"/>
      <c r="S56" s="118"/>
      <c r="T56" s="118"/>
      <c r="U56" s="118"/>
      <c r="V56" s="118"/>
      <c r="W56" s="118"/>
      <c r="X56" s="118"/>
      <c r="Y56" s="118"/>
      <c r="Z56" s="118"/>
      <c r="AA56" s="118"/>
      <c r="AB56" s="118"/>
      <c r="AC56" s="118"/>
    </row>
    <row r="57" spans="1:29" ht="14.25" customHeight="1" outlineLevel="1">
      <c r="A57" s="119" t="s">
        <v>2504</v>
      </c>
      <c r="B57" s="118" t="s">
        <v>2503</v>
      </c>
      <c r="C57" s="118"/>
      <c r="D57" s="119" t="s">
        <v>753</v>
      </c>
      <c r="E57" s="119" t="s">
        <v>2331</v>
      </c>
      <c r="F57" s="119" t="s">
        <v>753</v>
      </c>
      <c r="G57" s="119" t="s">
        <v>753</v>
      </c>
      <c r="H57" s="119" t="s">
        <v>753</v>
      </c>
      <c r="I57" s="119" t="s">
        <v>753</v>
      </c>
      <c r="J57" s="119" t="s">
        <v>753</v>
      </c>
      <c r="K57" s="119" t="s">
        <v>753</v>
      </c>
      <c r="L57" s="119" t="s">
        <v>753</v>
      </c>
      <c r="M57" s="121" t="s">
        <v>2502</v>
      </c>
      <c r="N57" s="118" t="s">
        <v>2501</v>
      </c>
      <c r="O57" s="118" t="s">
        <v>2500</v>
      </c>
      <c r="P57" s="118" t="s">
        <v>2499</v>
      </c>
      <c r="Q57" s="118"/>
      <c r="R57" s="118"/>
      <c r="S57" s="118"/>
      <c r="T57" s="118"/>
      <c r="U57" s="118"/>
      <c r="V57" s="118"/>
      <c r="W57" s="118"/>
      <c r="X57" s="118"/>
      <c r="Y57" s="118"/>
      <c r="Z57" s="118"/>
      <c r="AA57" s="118"/>
      <c r="AB57" s="118"/>
      <c r="AC57" s="118"/>
    </row>
    <row r="58" spans="1:29" ht="14.25" customHeight="1" outlineLevel="1">
      <c r="A58" s="119" t="s">
        <v>2498</v>
      </c>
      <c r="B58" s="118" t="s">
        <v>2497</v>
      </c>
      <c r="C58" s="118"/>
      <c r="D58" s="119" t="s">
        <v>753</v>
      </c>
      <c r="E58" s="119" t="s">
        <v>2331</v>
      </c>
      <c r="F58" s="119" t="s">
        <v>753</v>
      </c>
      <c r="G58" s="119" t="s">
        <v>753</v>
      </c>
      <c r="H58" s="119" t="s">
        <v>753</v>
      </c>
      <c r="I58" s="119" t="s">
        <v>753</v>
      </c>
      <c r="J58" s="119" t="s">
        <v>753</v>
      </c>
      <c r="K58" s="119" t="s">
        <v>753</v>
      </c>
      <c r="L58" s="119" t="s">
        <v>753</v>
      </c>
      <c r="M58" s="121" t="s">
        <v>2496</v>
      </c>
      <c r="N58" s="118" t="s">
        <v>2495</v>
      </c>
      <c r="O58" s="118" t="s">
        <v>2494</v>
      </c>
      <c r="P58" s="118" t="s">
        <v>2493</v>
      </c>
      <c r="Q58" s="118"/>
      <c r="R58" s="118"/>
      <c r="S58" s="118"/>
      <c r="T58" s="118"/>
      <c r="U58" s="118"/>
      <c r="V58" s="118"/>
      <c r="W58" s="118"/>
      <c r="X58" s="118"/>
      <c r="Y58" s="118"/>
      <c r="Z58" s="118"/>
      <c r="AA58" s="118"/>
      <c r="AB58" s="118"/>
      <c r="AC58" s="118"/>
    </row>
    <row r="59" spans="1:29" ht="14.25" customHeight="1" outlineLevel="1">
      <c r="A59" s="119" t="s">
        <v>2492</v>
      </c>
      <c r="B59" s="118" t="s">
        <v>2491</v>
      </c>
      <c r="C59" s="118"/>
      <c r="D59" s="119" t="s">
        <v>753</v>
      </c>
      <c r="E59" s="119" t="s">
        <v>2331</v>
      </c>
      <c r="F59" s="119" t="s">
        <v>753</v>
      </c>
      <c r="G59" s="119" t="s">
        <v>753</v>
      </c>
      <c r="H59" s="119" t="s">
        <v>753</v>
      </c>
      <c r="I59" s="119" t="s">
        <v>753</v>
      </c>
      <c r="J59" s="119" t="s">
        <v>753</v>
      </c>
      <c r="K59" s="119" t="s">
        <v>753</v>
      </c>
      <c r="L59" s="119" t="s">
        <v>753</v>
      </c>
      <c r="M59" s="121" t="s">
        <v>2490</v>
      </c>
      <c r="N59" s="118" t="s">
        <v>2489</v>
      </c>
      <c r="O59" s="118" t="s">
        <v>2488</v>
      </c>
      <c r="P59" s="118" t="s">
        <v>2487</v>
      </c>
      <c r="Q59" s="118"/>
      <c r="R59" s="118"/>
      <c r="S59" s="118"/>
      <c r="T59" s="118"/>
      <c r="U59" s="118"/>
      <c r="V59" s="118"/>
      <c r="W59" s="118"/>
      <c r="X59" s="118"/>
      <c r="Y59" s="118"/>
      <c r="Z59" s="118"/>
      <c r="AA59" s="118"/>
      <c r="AB59" s="118"/>
      <c r="AC59" s="118"/>
    </row>
    <row r="60" spans="1:29" ht="14.25" customHeight="1" outlineLevel="1">
      <c r="A60" s="119" t="s">
        <v>2486</v>
      </c>
      <c r="B60" s="118" t="s">
        <v>2485</v>
      </c>
      <c r="C60" s="118"/>
      <c r="D60" s="119" t="s">
        <v>753</v>
      </c>
      <c r="E60" s="119" t="s">
        <v>2331</v>
      </c>
      <c r="F60" s="119" t="s">
        <v>753</v>
      </c>
      <c r="G60" s="119" t="s">
        <v>753</v>
      </c>
      <c r="H60" s="119" t="s">
        <v>753</v>
      </c>
      <c r="I60" s="119" t="s">
        <v>753</v>
      </c>
      <c r="J60" s="119" t="s">
        <v>753</v>
      </c>
      <c r="K60" s="119" t="s">
        <v>753</v>
      </c>
      <c r="L60" s="119" t="s">
        <v>753</v>
      </c>
      <c r="M60" s="121" t="s">
        <v>2484</v>
      </c>
      <c r="N60" s="118" t="s">
        <v>2483</v>
      </c>
      <c r="O60" s="118" t="s">
        <v>2482</v>
      </c>
      <c r="P60" s="118" t="s">
        <v>2481</v>
      </c>
      <c r="Q60" s="118"/>
      <c r="R60" s="118"/>
      <c r="S60" s="118"/>
      <c r="T60" s="118"/>
      <c r="U60" s="118"/>
      <c r="V60" s="118"/>
      <c r="W60" s="118"/>
      <c r="X60" s="118"/>
      <c r="Y60" s="118"/>
      <c r="Z60" s="118"/>
      <c r="AA60" s="118"/>
      <c r="AB60" s="118"/>
      <c r="AC60" s="118"/>
    </row>
    <row r="61" spans="1:29" ht="14.25" customHeight="1" outlineLevel="1">
      <c r="A61" s="119" t="s">
        <v>2480</v>
      </c>
      <c r="B61" s="118" t="s">
        <v>2479</v>
      </c>
      <c r="C61" s="118"/>
      <c r="D61" s="119" t="s">
        <v>753</v>
      </c>
      <c r="E61" s="119" t="s">
        <v>2331</v>
      </c>
      <c r="F61" s="119" t="s">
        <v>753</v>
      </c>
      <c r="G61" s="119" t="s">
        <v>753</v>
      </c>
      <c r="H61" s="119" t="s">
        <v>753</v>
      </c>
      <c r="I61" s="119" t="s">
        <v>753</v>
      </c>
      <c r="J61" s="119" t="s">
        <v>753</v>
      </c>
      <c r="K61" s="119" t="s">
        <v>753</v>
      </c>
      <c r="L61" s="119" t="s">
        <v>753</v>
      </c>
      <c r="M61" s="121" t="s">
        <v>2478</v>
      </c>
      <c r="N61" s="118" t="s">
        <v>2477</v>
      </c>
      <c r="O61" s="118" t="s">
        <v>2476</v>
      </c>
      <c r="P61" s="118" t="s">
        <v>2475</v>
      </c>
      <c r="Q61" s="118"/>
      <c r="R61" s="118"/>
      <c r="S61" s="118"/>
      <c r="T61" s="118"/>
      <c r="U61" s="118"/>
      <c r="V61" s="118"/>
      <c r="W61" s="118"/>
      <c r="X61" s="118"/>
      <c r="Y61" s="118"/>
      <c r="Z61" s="118"/>
      <c r="AA61" s="118"/>
      <c r="AB61" s="118"/>
      <c r="AC61" s="118"/>
    </row>
    <row r="62" spans="1:29" ht="14.25" customHeight="1" outlineLevel="1">
      <c r="A62" s="119" t="s">
        <v>2474</v>
      </c>
      <c r="B62" s="118" t="s">
        <v>2473</v>
      </c>
      <c r="C62" s="118"/>
      <c r="D62" s="119" t="s">
        <v>753</v>
      </c>
      <c r="E62" s="119" t="s">
        <v>2331</v>
      </c>
      <c r="F62" s="119" t="s">
        <v>753</v>
      </c>
      <c r="G62" s="119" t="s">
        <v>753</v>
      </c>
      <c r="H62" s="119" t="s">
        <v>753</v>
      </c>
      <c r="I62" s="119" t="s">
        <v>753</v>
      </c>
      <c r="J62" s="119" t="s">
        <v>753</v>
      </c>
      <c r="K62" s="119" t="s">
        <v>753</v>
      </c>
      <c r="L62" s="119" t="s">
        <v>753</v>
      </c>
      <c r="M62" s="121" t="s">
        <v>2472</v>
      </c>
      <c r="N62" s="118" t="s">
        <v>2471</v>
      </c>
      <c r="O62" s="118" t="s">
        <v>2470</v>
      </c>
      <c r="P62" s="118" t="s">
        <v>2469</v>
      </c>
      <c r="Q62" s="118"/>
      <c r="R62" s="118"/>
      <c r="S62" s="118"/>
      <c r="T62" s="118"/>
      <c r="U62" s="118"/>
      <c r="V62" s="118"/>
      <c r="W62" s="118"/>
      <c r="X62" s="118"/>
      <c r="Y62" s="118"/>
      <c r="Z62" s="118"/>
      <c r="AA62" s="118"/>
      <c r="AB62" s="118"/>
      <c r="AC62" s="118"/>
    </row>
    <row r="63" spans="1:29" ht="14.25" customHeight="1" outlineLevel="1">
      <c r="A63" s="119" t="s">
        <v>2468</v>
      </c>
      <c r="B63" s="118" t="s">
        <v>2467</v>
      </c>
      <c r="C63" s="118"/>
      <c r="D63" s="119" t="s">
        <v>753</v>
      </c>
      <c r="E63" s="119" t="s">
        <v>2331</v>
      </c>
      <c r="F63" s="119" t="s">
        <v>753</v>
      </c>
      <c r="G63" s="119" t="s">
        <v>753</v>
      </c>
      <c r="H63" s="119" t="s">
        <v>753</v>
      </c>
      <c r="I63" s="119" t="s">
        <v>753</v>
      </c>
      <c r="J63" s="119" t="s">
        <v>753</v>
      </c>
      <c r="K63" s="119" t="s">
        <v>753</v>
      </c>
      <c r="L63" s="119" t="s">
        <v>753</v>
      </c>
      <c r="M63" s="121" t="s">
        <v>2466</v>
      </c>
      <c r="N63" s="118" t="s">
        <v>2465</v>
      </c>
      <c r="O63" s="118" t="s">
        <v>2464</v>
      </c>
      <c r="P63" s="118" t="s">
        <v>2463</v>
      </c>
      <c r="Q63" s="118"/>
      <c r="R63" s="118"/>
      <c r="S63" s="118"/>
      <c r="T63" s="118"/>
      <c r="U63" s="118"/>
      <c r="V63" s="118"/>
      <c r="W63" s="118"/>
      <c r="X63" s="118"/>
      <c r="Y63" s="118"/>
      <c r="Z63" s="118"/>
      <c r="AA63" s="118"/>
      <c r="AB63" s="118"/>
      <c r="AC63" s="118"/>
    </row>
    <row r="64" spans="1:29" ht="14.25" customHeight="1" outlineLevel="1">
      <c r="A64" s="119" t="s">
        <v>2462</v>
      </c>
      <c r="B64" s="118" t="s">
        <v>2461</v>
      </c>
      <c r="C64" s="118"/>
      <c r="D64" s="119" t="s">
        <v>753</v>
      </c>
      <c r="E64" s="119" t="s">
        <v>2331</v>
      </c>
      <c r="F64" s="119" t="s">
        <v>753</v>
      </c>
      <c r="G64" s="119" t="s">
        <v>753</v>
      </c>
      <c r="H64" s="119" t="s">
        <v>753</v>
      </c>
      <c r="I64" s="119" t="s">
        <v>753</v>
      </c>
      <c r="J64" s="119" t="s">
        <v>753</v>
      </c>
      <c r="K64" s="119" t="s">
        <v>753</v>
      </c>
      <c r="L64" s="119" t="s">
        <v>753</v>
      </c>
      <c r="M64" s="121" t="s">
        <v>2460</v>
      </c>
      <c r="N64" s="118" t="s">
        <v>2459</v>
      </c>
      <c r="O64" s="118" t="s">
        <v>2458</v>
      </c>
      <c r="P64" s="118" t="s">
        <v>2457</v>
      </c>
      <c r="Q64" s="118"/>
      <c r="R64" s="118"/>
      <c r="S64" s="118"/>
      <c r="T64" s="118"/>
      <c r="U64" s="118"/>
      <c r="V64" s="118"/>
      <c r="W64" s="118"/>
      <c r="X64" s="118"/>
      <c r="Y64" s="118"/>
      <c r="Z64" s="118"/>
      <c r="AA64" s="118"/>
      <c r="AB64" s="118"/>
      <c r="AC64" s="118"/>
    </row>
    <row r="65" spans="1:29" ht="14.25" customHeight="1" outlineLevel="1">
      <c r="A65" s="119" t="s">
        <v>2456</v>
      </c>
      <c r="B65" s="118" t="s">
        <v>2455</v>
      </c>
      <c r="C65" s="118"/>
      <c r="D65" s="119" t="s">
        <v>753</v>
      </c>
      <c r="E65" s="119" t="s">
        <v>2331</v>
      </c>
      <c r="F65" s="119" t="s">
        <v>753</v>
      </c>
      <c r="G65" s="119" t="s">
        <v>753</v>
      </c>
      <c r="H65" s="119" t="s">
        <v>753</v>
      </c>
      <c r="I65" s="119" t="s">
        <v>753</v>
      </c>
      <c r="J65" s="119" t="s">
        <v>753</v>
      </c>
      <c r="K65" s="119" t="s">
        <v>753</v>
      </c>
      <c r="L65" s="119" t="s">
        <v>753</v>
      </c>
      <c r="M65" s="121" t="s">
        <v>2454</v>
      </c>
      <c r="N65" s="118" t="s">
        <v>2453</v>
      </c>
      <c r="O65" s="118" t="s">
        <v>2452</v>
      </c>
      <c r="P65" s="118" t="s">
        <v>2451</v>
      </c>
      <c r="Q65" s="118"/>
      <c r="R65" s="118"/>
      <c r="S65" s="118"/>
      <c r="T65" s="118"/>
      <c r="U65" s="118"/>
      <c r="V65" s="118"/>
      <c r="W65" s="118"/>
      <c r="X65" s="118"/>
      <c r="Y65" s="118"/>
      <c r="Z65" s="118"/>
      <c r="AA65" s="118"/>
      <c r="AB65" s="118"/>
      <c r="AC65" s="118"/>
    </row>
    <row r="66" spans="1:29" ht="14.25" customHeight="1" outlineLevel="1">
      <c r="A66" s="119" t="s">
        <v>2450</v>
      </c>
      <c r="B66" s="118" t="s">
        <v>2449</v>
      </c>
      <c r="C66" s="118"/>
      <c r="D66" s="119" t="s">
        <v>753</v>
      </c>
      <c r="E66" s="119" t="s">
        <v>2157</v>
      </c>
      <c r="F66" s="119" t="s">
        <v>753</v>
      </c>
      <c r="G66" s="119" t="s">
        <v>753</v>
      </c>
      <c r="H66" s="119" t="s">
        <v>753</v>
      </c>
      <c r="I66" s="119" t="s">
        <v>753</v>
      </c>
      <c r="J66" s="119" t="s">
        <v>753</v>
      </c>
      <c r="K66" s="119" t="s">
        <v>753</v>
      </c>
      <c r="L66" s="119" t="s">
        <v>753</v>
      </c>
      <c r="M66" s="121"/>
      <c r="N66" s="118"/>
      <c r="O66" s="118" t="s">
        <v>3468</v>
      </c>
      <c r="P66" s="118" t="s">
        <v>2448</v>
      </c>
      <c r="Q66" s="118"/>
      <c r="R66" s="118"/>
      <c r="S66" s="118"/>
      <c r="T66" s="118"/>
      <c r="U66" s="118"/>
      <c r="V66" s="118"/>
      <c r="W66" s="118"/>
      <c r="X66" s="118"/>
      <c r="Y66" s="118"/>
      <c r="Z66" s="118"/>
      <c r="AA66" s="118"/>
      <c r="AB66" s="118"/>
      <c r="AC66" s="118"/>
    </row>
    <row r="67" spans="1:29" ht="14.25" customHeight="1" outlineLevel="1">
      <c r="A67" s="119" t="s">
        <v>2447</v>
      </c>
      <c r="B67" s="118" t="s">
        <v>2446</v>
      </c>
      <c r="C67" s="118"/>
      <c r="D67" s="119" t="s">
        <v>753</v>
      </c>
      <c r="E67" s="119" t="s">
        <v>2157</v>
      </c>
      <c r="F67" s="119" t="s">
        <v>753</v>
      </c>
      <c r="G67" s="119" t="s">
        <v>753</v>
      </c>
      <c r="H67" s="119" t="s">
        <v>753</v>
      </c>
      <c r="I67" s="119" t="s">
        <v>753</v>
      </c>
      <c r="J67" s="119" t="s">
        <v>753</v>
      </c>
      <c r="K67" s="119" t="s">
        <v>753</v>
      </c>
      <c r="L67" s="119" t="s">
        <v>753</v>
      </c>
      <c r="M67" s="118"/>
      <c r="N67" s="118"/>
      <c r="O67" s="118" t="s">
        <v>3469</v>
      </c>
      <c r="P67" s="118" t="s">
        <v>2445</v>
      </c>
      <c r="Q67" s="118"/>
      <c r="R67" s="118"/>
      <c r="S67" s="118"/>
      <c r="T67" s="118"/>
      <c r="U67" s="118"/>
      <c r="V67" s="118"/>
      <c r="W67" s="118"/>
      <c r="X67" s="118"/>
      <c r="Y67" s="118"/>
      <c r="Z67" s="118"/>
      <c r="AA67" s="118"/>
      <c r="AB67" s="118"/>
      <c r="AC67" s="118"/>
    </row>
    <row r="68" spans="1:29" ht="14.25" customHeight="1" outlineLevel="1">
      <c r="A68" s="119" t="s">
        <v>2444</v>
      </c>
      <c r="B68" s="118" t="s">
        <v>2443</v>
      </c>
      <c r="C68" s="118"/>
      <c r="D68" s="119" t="s">
        <v>753</v>
      </c>
      <c r="E68" s="119" t="s">
        <v>2157</v>
      </c>
      <c r="F68" s="119" t="s">
        <v>753</v>
      </c>
      <c r="G68" s="119" t="s">
        <v>753</v>
      </c>
      <c r="H68" s="119" t="s">
        <v>753</v>
      </c>
      <c r="I68" s="119" t="s">
        <v>753</v>
      </c>
      <c r="J68" s="119" t="s">
        <v>753</v>
      </c>
      <c r="K68" s="119" t="s">
        <v>753</v>
      </c>
      <c r="L68" s="119" t="s">
        <v>753</v>
      </c>
      <c r="M68" s="118" t="s">
        <v>2442</v>
      </c>
      <c r="N68" s="118" t="s">
        <v>2441</v>
      </c>
      <c r="O68" s="118" t="s">
        <v>2440</v>
      </c>
      <c r="P68" s="118" t="s">
        <v>2439</v>
      </c>
      <c r="Q68" s="118"/>
      <c r="R68" s="118"/>
      <c r="S68" s="118"/>
      <c r="T68" s="118"/>
      <c r="U68" s="118"/>
      <c r="V68" s="118"/>
      <c r="W68" s="118"/>
      <c r="X68" s="118"/>
      <c r="Y68" s="118"/>
      <c r="Z68" s="118"/>
      <c r="AA68" s="118"/>
      <c r="AB68" s="118"/>
      <c r="AC68" s="118"/>
    </row>
    <row r="69" spans="1:29" ht="14.25" customHeight="1" outlineLevel="1">
      <c r="A69" s="119" t="s">
        <v>2438</v>
      </c>
      <c r="B69" s="118" t="s">
        <v>2437</v>
      </c>
      <c r="C69" s="118"/>
      <c r="D69" s="119" t="s">
        <v>753</v>
      </c>
      <c r="E69" s="119" t="s">
        <v>2157</v>
      </c>
      <c r="F69" s="119" t="s">
        <v>753</v>
      </c>
      <c r="G69" s="119" t="s">
        <v>753</v>
      </c>
      <c r="H69" s="119" t="s">
        <v>753</v>
      </c>
      <c r="I69" s="119" t="s">
        <v>753</v>
      </c>
      <c r="J69" s="119" t="s">
        <v>753</v>
      </c>
      <c r="K69" s="119" t="s">
        <v>753</v>
      </c>
      <c r="L69" s="119" t="s">
        <v>753</v>
      </c>
      <c r="M69" s="118" t="s">
        <v>2436</v>
      </c>
      <c r="N69" s="118" t="s">
        <v>2435</v>
      </c>
      <c r="O69" s="118" t="s">
        <v>2434</v>
      </c>
      <c r="P69" s="118" t="s">
        <v>2433</v>
      </c>
      <c r="Q69" s="118"/>
      <c r="R69" s="118"/>
      <c r="S69" s="118"/>
      <c r="T69" s="118"/>
      <c r="U69" s="118"/>
      <c r="V69" s="118"/>
      <c r="W69" s="118"/>
      <c r="X69" s="118"/>
      <c r="Y69" s="118"/>
      <c r="Z69" s="118"/>
      <c r="AA69" s="118"/>
      <c r="AB69" s="118"/>
      <c r="AC69" s="118"/>
    </row>
    <row r="70" spans="1:29" ht="14.25" customHeight="1" outlineLevel="1">
      <c r="A70" s="119" t="s">
        <v>2432</v>
      </c>
      <c r="B70" s="118" t="s">
        <v>2431</v>
      </c>
      <c r="C70" s="118"/>
      <c r="D70" s="119" t="s">
        <v>753</v>
      </c>
      <c r="E70" s="119" t="s">
        <v>2157</v>
      </c>
      <c r="F70" s="119" t="s">
        <v>753</v>
      </c>
      <c r="G70" s="119" t="s">
        <v>753</v>
      </c>
      <c r="H70" s="119" t="s">
        <v>753</v>
      </c>
      <c r="I70" s="119" t="s">
        <v>753</v>
      </c>
      <c r="J70" s="119" t="s">
        <v>753</v>
      </c>
      <c r="K70" s="119" t="s">
        <v>753</v>
      </c>
      <c r="L70" s="119" t="s">
        <v>753</v>
      </c>
      <c r="M70" s="118" t="s">
        <v>2430</v>
      </c>
      <c r="N70" s="118" t="s">
        <v>2429</v>
      </c>
      <c r="O70" s="118" t="s">
        <v>2428</v>
      </c>
      <c r="P70" s="118" t="s">
        <v>2427</v>
      </c>
      <c r="Q70" s="118"/>
      <c r="R70" s="118"/>
      <c r="S70" s="118"/>
      <c r="T70" s="118"/>
      <c r="U70" s="118"/>
      <c r="V70" s="118"/>
      <c r="W70" s="118"/>
      <c r="X70" s="118"/>
      <c r="Y70" s="118"/>
      <c r="Z70" s="118"/>
      <c r="AA70" s="118"/>
      <c r="AB70" s="118"/>
      <c r="AC70" s="118"/>
    </row>
    <row r="71" spans="1:29" ht="14.25" customHeight="1" outlineLevel="1">
      <c r="A71" s="119" t="s">
        <v>2426</v>
      </c>
      <c r="B71" s="118" t="s">
        <v>2425</v>
      </c>
      <c r="C71" s="118"/>
      <c r="D71" s="119" t="s">
        <v>753</v>
      </c>
      <c r="E71" s="119" t="s">
        <v>2157</v>
      </c>
      <c r="F71" s="119" t="s">
        <v>753</v>
      </c>
      <c r="G71" s="119" t="s">
        <v>753</v>
      </c>
      <c r="H71" s="119" t="s">
        <v>753</v>
      </c>
      <c r="I71" s="119" t="s">
        <v>753</v>
      </c>
      <c r="J71" s="119" t="s">
        <v>753</v>
      </c>
      <c r="K71" s="119" t="s">
        <v>753</v>
      </c>
      <c r="L71" s="119" t="s">
        <v>753</v>
      </c>
      <c r="M71" s="118" t="s">
        <v>2424</v>
      </c>
      <c r="N71" s="118" t="s">
        <v>2423</v>
      </c>
      <c r="O71" s="118" t="s">
        <v>2422</v>
      </c>
      <c r="P71" s="118" t="s">
        <v>2421</v>
      </c>
      <c r="Q71" s="118"/>
      <c r="R71" s="118"/>
      <c r="S71" s="118"/>
      <c r="T71" s="118"/>
      <c r="U71" s="118"/>
      <c r="V71" s="118"/>
      <c r="W71" s="118"/>
      <c r="X71" s="118"/>
      <c r="Y71" s="118"/>
      <c r="Z71" s="118"/>
      <c r="AA71" s="118"/>
      <c r="AB71" s="118"/>
      <c r="AC71" s="118"/>
    </row>
    <row r="72" spans="1:29" ht="14.25" customHeight="1" outlineLevel="1">
      <c r="A72" s="119" t="s">
        <v>2420</v>
      </c>
      <c r="B72" s="118" t="s">
        <v>2419</v>
      </c>
      <c r="C72" s="118"/>
      <c r="D72" s="119" t="s">
        <v>753</v>
      </c>
      <c r="E72" s="119" t="s">
        <v>2157</v>
      </c>
      <c r="F72" s="119" t="s">
        <v>753</v>
      </c>
      <c r="G72" s="119" t="s">
        <v>753</v>
      </c>
      <c r="H72" s="119" t="s">
        <v>753</v>
      </c>
      <c r="I72" s="119" t="s">
        <v>753</v>
      </c>
      <c r="J72" s="119" t="s">
        <v>753</v>
      </c>
      <c r="K72" s="119" t="s">
        <v>753</v>
      </c>
      <c r="L72" s="119" t="s">
        <v>753</v>
      </c>
      <c r="M72" s="118" t="s">
        <v>2418</v>
      </c>
      <c r="N72" s="118" t="s">
        <v>2417</v>
      </c>
      <c r="O72" s="118" t="s">
        <v>2416</v>
      </c>
      <c r="P72" s="118" t="s">
        <v>2415</v>
      </c>
      <c r="Q72" s="118"/>
      <c r="R72" s="118"/>
      <c r="S72" s="118"/>
      <c r="T72" s="118"/>
      <c r="U72" s="118"/>
      <c r="V72" s="118"/>
      <c r="W72" s="118"/>
      <c r="X72" s="118"/>
      <c r="Y72" s="118"/>
      <c r="Z72" s="118"/>
      <c r="AA72" s="118"/>
      <c r="AB72" s="118"/>
      <c r="AC72" s="118"/>
    </row>
    <row r="73" spans="1:29" ht="14.25" customHeight="1" outlineLevel="1">
      <c r="A73" s="119" t="s">
        <v>2414</v>
      </c>
      <c r="B73" s="118" t="s">
        <v>2413</v>
      </c>
      <c r="C73" s="118"/>
      <c r="D73" s="119" t="s">
        <v>753</v>
      </c>
      <c r="E73" s="119" t="s">
        <v>2157</v>
      </c>
      <c r="F73" s="119" t="s">
        <v>753</v>
      </c>
      <c r="G73" s="119" t="s">
        <v>753</v>
      </c>
      <c r="H73" s="119" t="s">
        <v>753</v>
      </c>
      <c r="I73" s="119" t="s">
        <v>753</v>
      </c>
      <c r="J73" s="119" t="s">
        <v>753</v>
      </c>
      <c r="K73" s="119" t="s">
        <v>753</v>
      </c>
      <c r="L73" s="119" t="s">
        <v>753</v>
      </c>
      <c r="M73" s="118" t="s">
        <v>2412</v>
      </c>
      <c r="N73" s="118" t="s">
        <v>2411</v>
      </c>
      <c r="O73" s="118" t="s">
        <v>2410</v>
      </c>
      <c r="P73" s="118" t="s">
        <v>2409</v>
      </c>
      <c r="Q73" s="118"/>
      <c r="R73" s="118"/>
      <c r="S73" s="118"/>
      <c r="T73" s="118"/>
      <c r="U73" s="118"/>
      <c r="V73" s="118"/>
      <c r="W73" s="118"/>
      <c r="X73" s="118"/>
      <c r="Y73" s="118"/>
      <c r="Z73" s="118"/>
      <c r="AA73" s="118"/>
      <c r="AB73" s="118"/>
      <c r="AC73" s="118"/>
    </row>
    <row r="74" spans="1:29" ht="14.25" customHeight="1" outlineLevel="1">
      <c r="A74" s="119" t="s">
        <v>2408</v>
      </c>
      <c r="B74" s="118" t="s">
        <v>2407</v>
      </c>
      <c r="C74" s="132"/>
      <c r="D74" s="119" t="s">
        <v>753</v>
      </c>
      <c r="E74" s="119" t="s">
        <v>2157</v>
      </c>
      <c r="F74" s="119" t="s">
        <v>753</v>
      </c>
      <c r="G74" s="119" t="s">
        <v>753</v>
      </c>
      <c r="H74" s="119" t="s">
        <v>753</v>
      </c>
      <c r="I74" s="119" t="s">
        <v>753</v>
      </c>
      <c r="J74" s="119" t="s">
        <v>753</v>
      </c>
      <c r="K74" s="119" t="s">
        <v>753</v>
      </c>
      <c r="L74" s="119" t="s">
        <v>753</v>
      </c>
      <c r="M74" s="121" t="s">
        <v>2406</v>
      </c>
      <c r="N74" s="118" t="s">
        <v>2405</v>
      </c>
      <c r="O74" s="118" t="s">
        <v>2404</v>
      </c>
      <c r="P74" s="122" t="s">
        <v>2403</v>
      </c>
      <c r="Q74" s="122"/>
      <c r="R74" s="122"/>
      <c r="S74" s="122"/>
      <c r="T74" s="122"/>
      <c r="U74" s="122"/>
      <c r="V74" s="122"/>
      <c r="W74" s="122"/>
      <c r="X74" s="122"/>
      <c r="Y74" s="122"/>
      <c r="Z74" s="122"/>
      <c r="AA74" s="122"/>
      <c r="AB74" s="122"/>
      <c r="AC74" s="122"/>
    </row>
    <row r="75" spans="1:29" ht="14.25" customHeight="1" outlineLevel="1">
      <c r="A75" s="162" t="s">
        <v>2402</v>
      </c>
      <c r="B75" s="124" t="s">
        <v>2401</v>
      </c>
      <c r="C75" s="118"/>
      <c r="D75" s="119" t="s">
        <v>753</v>
      </c>
      <c r="E75" s="119" t="s">
        <v>2157</v>
      </c>
      <c r="F75" s="162" t="s">
        <v>753</v>
      </c>
      <c r="G75" s="162" t="s">
        <v>753</v>
      </c>
      <c r="H75" s="162" t="s">
        <v>753</v>
      </c>
      <c r="I75" s="162" t="s">
        <v>753</v>
      </c>
      <c r="J75" s="162" t="s">
        <v>753</v>
      </c>
      <c r="K75" s="162" t="s">
        <v>753</v>
      </c>
      <c r="L75" s="162" t="s">
        <v>753</v>
      </c>
      <c r="M75" s="121" t="s">
        <v>2400</v>
      </c>
      <c r="N75" s="118" t="s">
        <v>2399</v>
      </c>
      <c r="O75" s="118" t="s">
        <v>2398</v>
      </c>
      <c r="P75" s="124" t="s">
        <v>2397</v>
      </c>
      <c r="Q75" s="124"/>
      <c r="R75" s="124"/>
      <c r="S75" s="124"/>
      <c r="T75" s="124"/>
      <c r="U75" s="124"/>
      <c r="V75" s="124"/>
      <c r="W75" s="124"/>
      <c r="X75" s="124"/>
      <c r="Y75" s="124"/>
      <c r="Z75" s="124"/>
      <c r="AA75" s="124"/>
      <c r="AB75" s="124"/>
      <c r="AC75" s="124"/>
    </row>
    <row r="76" spans="1:29" ht="14.25" customHeight="1" outlineLevel="1">
      <c r="A76" s="162" t="s">
        <v>2396</v>
      </c>
      <c r="B76" s="124" t="s">
        <v>2395</v>
      </c>
      <c r="C76" s="118"/>
      <c r="D76" s="119" t="s">
        <v>753</v>
      </c>
      <c r="E76" s="119" t="s">
        <v>2157</v>
      </c>
      <c r="F76" s="162" t="s">
        <v>753</v>
      </c>
      <c r="G76" s="162" t="s">
        <v>753</v>
      </c>
      <c r="H76" s="162" t="s">
        <v>753</v>
      </c>
      <c r="I76" s="162" t="s">
        <v>753</v>
      </c>
      <c r="J76" s="162" t="s">
        <v>753</v>
      </c>
      <c r="K76" s="162" t="s">
        <v>753</v>
      </c>
      <c r="L76" s="162" t="s">
        <v>753</v>
      </c>
      <c r="M76" s="121" t="s">
        <v>2394</v>
      </c>
      <c r="N76" s="118" t="s">
        <v>2393</v>
      </c>
      <c r="O76" s="118" t="s">
        <v>2392</v>
      </c>
      <c r="P76" s="124" t="s">
        <v>2391</v>
      </c>
      <c r="Q76" s="124"/>
      <c r="R76" s="124"/>
      <c r="S76" s="124"/>
      <c r="T76" s="124"/>
      <c r="U76" s="124"/>
      <c r="V76" s="124"/>
      <c r="W76" s="124"/>
      <c r="X76" s="124"/>
      <c r="Y76" s="124"/>
      <c r="Z76" s="124"/>
      <c r="AA76" s="124"/>
      <c r="AB76" s="124"/>
      <c r="AC76" s="124"/>
    </row>
    <row r="77" spans="1:29" ht="14.25" customHeight="1" outlineLevel="1">
      <c r="A77" s="162" t="s">
        <v>2390</v>
      </c>
      <c r="B77" s="124" t="s">
        <v>2389</v>
      </c>
      <c r="C77" s="118"/>
      <c r="D77" s="119" t="s">
        <v>753</v>
      </c>
      <c r="E77" s="119" t="s">
        <v>2157</v>
      </c>
      <c r="F77" s="162" t="s">
        <v>753</v>
      </c>
      <c r="G77" s="162" t="s">
        <v>753</v>
      </c>
      <c r="H77" s="162" t="s">
        <v>753</v>
      </c>
      <c r="I77" s="162" t="s">
        <v>753</v>
      </c>
      <c r="J77" s="162" t="s">
        <v>753</v>
      </c>
      <c r="K77" s="162" t="s">
        <v>753</v>
      </c>
      <c r="L77" s="162" t="s">
        <v>753</v>
      </c>
      <c r="M77" s="121" t="s">
        <v>2388</v>
      </c>
      <c r="N77" s="118" t="s">
        <v>2387</v>
      </c>
      <c r="O77" s="118" t="s">
        <v>2386</v>
      </c>
      <c r="P77" s="124" t="s">
        <v>2385</v>
      </c>
      <c r="Q77" s="124"/>
      <c r="R77" s="124"/>
      <c r="S77" s="124"/>
      <c r="T77" s="124"/>
      <c r="U77" s="124"/>
      <c r="V77" s="124"/>
      <c r="W77" s="124"/>
      <c r="X77" s="124"/>
      <c r="Y77" s="124"/>
      <c r="Z77" s="124"/>
      <c r="AA77" s="124"/>
      <c r="AB77" s="124"/>
      <c r="AC77" s="124"/>
    </row>
    <row r="78" spans="1:29" ht="14.25" customHeight="1" outlineLevel="1">
      <c r="A78" s="162" t="s">
        <v>2384</v>
      </c>
      <c r="B78" s="124" t="s">
        <v>2383</v>
      </c>
      <c r="C78" s="118"/>
      <c r="D78" s="119" t="s">
        <v>753</v>
      </c>
      <c r="E78" s="119" t="s">
        <v>2157</v>
      </c>
      <c r="F78" s="162" t="s">
        <v>753</v>
      </c>
      <c r="G78" s="162" t="s">
        <v>753</v>
      </c>
      <c r="H78" s="162" t="s">
        <v>753</v>
      </c>
      <c r="I78" s="162" t="s">
        <v>753</v>
      </c>
      <c r="J78" s="162" t="s">
        <v>753</v>
      </c>
      <c r="K78" s="162" t="s">
        <v>753</v>
      </c>
      <c r="L78" s="162" t="s">
        <v>753</v>
      </c>
      <c r="M78" s="121" t="s">
        <v>2382</v>
      </c>
      <c r="N78" s="118" t="s">
        <v>2381</v>
      </c>
      <c r="O78" s="118" t="s">
        <v>2380</v>
      </c>
      <c r="P78" s="124" t="s">
        <v>2379</v>
      </c>
      <c r="Q78" s="124"/>
      <c r="R78" s="124"/>
      <c r="S78" s="124"/>
      <c r="T78" s="124"/>
      <c r="U78" s="124"/>
      <c r="V78" s="124"/>
      <c r="W78" s="124"/>
      <c r="X78" s="124"/>
      <c r="Y78" s="124"/>
      <c r="Z78" s="124"/>
      <c r="AA78" s="124"/>
      <c r="AB78" s="124"/>
      <c r="AC78" s="124"/>
    </row>
    <row r="79" spans="1:29" ht="14.25" customHeight="1" outlineLevel="1">
      <c r="A79" s="162" t="s">
        <v>2378</v>
      </c>
      <c r="B79" s="124" t="s">
        <v>412</v>
      </c>
      <c r="C79" s="118"/>
      <c r="D79" s="119" t="s">
        <v>753</v>
      </c>
      <c r="E79" s="119" t="s">
        <v>2157</v>
      </c>
      <c r="F79" s="162" t="s">
        <v>753</v>
      </c>
      <c r="G79" s="162" t="s">
        <v>753</v>
      </c>
      <c r="H79" s="162" t="s">
        <v>753</v>
      </c>
      <c r="I79" s="162" t="s">
        <v>753</v>
      </c>
      <c r="J79" s="162" t="s">
        <v>753</v>
      </c>
      <c r="K79" s="162" t="s">
        <v>753</v>
      </c>
      <c r="L79" s="162" t="s">
        <v>753</v>
      </c>
      <c r="M79" s="121" t="s">
        <v>2377</v>
      </c>
      <c r="N79" s="118" t="s">
        <v>2376</v>
      </c>
      <c r="O79" s="118"/>
      <c r="P79" s="124"/>
      <c r="Q79" s="124"/>
      <c r="R79" s="124"/>
      <c r="S79" s="124"/>
      <c r="T79" s="124"/>
      <c r="U79" s="124"/>
      <c r="V79" s="124"/>
      <c r="W79" s="124"/>
      <c r="X79" s="124"/>
      <c r="Y79" s="124"/>
      <c r="Z79" s="124"/>
      <c r="AA79" s="124"/>
      <c r="AB79" s="124"/>
      <c r="AC79" s="124"/>
    </row>
    <row r="80" spans="1:29" ht="14.25" customHeight="1" outlineLevel="1">
      <c r="A80" s="162" t="s">
        <v>2375</v>
      </c>
      <c r="B80" s="124" t="s">
        <v>2374</v>
      </c>
      <c r="C80" s="118"/>
      <c r="D80" s="119" t="s">
        <v>753</v>
      </c>
      <c r="E80" s="119" t="s">
        <v>2157</v>
      </c>
      <c r="F80" s="162" t="s">
        <v>753</v>
      </c>
      <c r="G80" s="162" t="s">
        <v>753</v>
      </c>
      <c r="H80" s="162" t="s">
        <v>753</v>
      </c>
      <c r="I80" s="162" t="s">
        <v>753</v>
      </c>
      <c r="J80" s="162" t="s">
        <v>753</v>
      </c>
      <c r="K80" s="162" t="s">
        <v>753</v>
      </c>
      <c r="L80" s="162" t="s">
        <v>753</v>
      </c>
      <c r="M80" s="121" t="s">
        <v>2373</v>
      </c>
      <c r="N80" s="118" t="s">
        <v>2372</v>
      </c>
      <c r="O80" s="118" t="s">
        <v>2371</v>
      </c>
      <c r="P80" s="124" t="s">
        <v>2370</v>
      </c>
      <c r="Q80" s="124"/>
      <c r="R80" s="124"/>
      <c r="S80" s="124"/>
      <c r="T80" s="124"/>
      <c r="U80" s="124"/>
      <c r="V80" s="124"/>
      <c r="W80" s="124"/>
      <c r="X80" s="124"/>
      <c r="Y80" s="124"/>
      <c r="Z80" s="124"/>
      <c r="AA80" s="124"/>
      <c r="AB80" s="124"/>
      <c r="AC80" s="124"/>
    </row>
    <row r="81" spans="1:29" ht="14.25" customHeight="1" outlineLevel="1">
      <c r="A81" s="164" t="s">
        <v>2369</v>
      </c>
      <c r="B81" s="165" t="s">
        <v>4936</v>
      </c>
      <c r="C81" s="118"/>
      <c r="D81" s="119" t="s">
        <v>753</v>
      </c>
      <c r="E81" s="119" t="s">
        <v>753</v>
      </c>
      <c r="F81" s="119" t="s">
        <v>753</v>
      </c>
      <c r="G81" s="119" t="s">
        <v>753</v>
      </c>
      <c r="H81" s="119" t="s">
        <v>753</v>
      </c>
      <c r="I81" s="119" t="s">
        <v>753</v>
      </c>
      <c r="J81" s="119" t="s">
        <v>753</v>
      </c>
      <c r="K81" s="119" t="s">
        <v>753</v>
      </c>
      <c r="L81" s="119" t="s">
        <v>753</v>
      </c>
      <c r="M81" s="118" t="s">
        <v>4935</v>
      </c>
      <c r="N81" s="118"/>
      <c r="O81" s="118"/>
      <c r="P81" s="165"/>
      <c r="Q81" s="165"/>
      <c r="R81" s="165"/>
      <c r="S81" s="165"/>
      <c r="T81" s="165"/>
      <c r="U81" s="165"/>
      <c r="V81" s="165"/>
      <c r="W81" s="165"/>
      <c r="X81" s="165"/>
      <c r="Y81" s="165"/>
      <c r="Z81" s="165"/>
      <c r="AA81" s="165"/>
      <c r="AB81" s="165"/>
      <c r="AC81" s="165"/>
    </row>
    <row r="82" spans="1:29" ht="14.25" customHeight="1" outlineLevel="1">
      <c r="A82" s="164" t="s">
        <v>2368</v>
      </c>
      <c r="B82" s="165" t="s">
        <v>364</v>
      </c>
      <c r="C82" s="118"/>
      <c r="D82" s="119" t="s">
        <v>753</v>
      </c>
      <c r="E82" s="119" t="s">
        <v>3462</v>
      </c>
      <c r="F82" s="119" t="s">
        <v>753</v>
      </c>
      <c r="G82" s="119" t="s">
        <v>753</v>
      </c>
      <c r="H82" s="119" t="s">
        <v>753</v>
      </c>
      <c r="I82" s="119" t="s">
        <v>753</v>
      </c>
      <c r="J82" s="119" t="s">
        <v>753</v>
      </c>
      <c r="K82" s="119" t="s">
        <v>753</v>
      </c>
      <c r="L82" s="119" t="s">
        <v>753</v>
      </c>
      <c r="M82" s="118" t="s">
        <v>364</v>
      </c>
      <c r="N82" s="118"/>
      <c r="O82" s="118"/>
      <c r="P82" s="165"/>
      <c r="Q82" s="165"/>
      <c r="R82" s="165"/>
      <c r="S82" s="165"/>
      <c r="T82" s="165"/>
      <c r="U82" s="165"/>
      <c r="V82" s="165"/>
      <c r="W82" s="165"/>
      <c r="X82" s="165"/>
      <c r="Y82" s="165"/>
      <c r="Z82" s="165"/>
      <c r="AA82" s="165"/>
      <c r="AB82" s="165"/>
      <c r="AC82" s="165"/>
    </row>
    <row r="83" spans="1:29" ht="14.25" customHeight="1" outlineLevel="1">
      <c r="A83" s="166" t="s">
        <v>2367</v>
      </c>
      <c r="B83" s="167" t="s">
        <v>2366</v>
      </c>
      <c r="C83" s="167"/>
      <c r="D83" s="166" t="s">
        <v>2363</v>
      </c>
      <c r="E83" s="166" t="s">
        <v>1524</v>
      </c>
      <c r="F83" s="166" t="s">
        <v>753</v>
      </c>
      <c r="G83" s="166" t="s">
        <v>753</v>
      </c>
      <c r="H83" s="166" t="s">
        <v>753</v>
      </c>
      <c r="I83" s="166" t="s">
        <v>753</v>
      </c>
      <c r="J83" s="166" t="s">
        <v>753</v>
      </c>
      <c r="K83" s="166" t="s">
        <v>753</v>
      </c>
      <c r="L83" s="166" t="s">
        <v>753</v>
      </c>
      <c r="M83" s="168"/>
      <c r="N83" s="167"/>
      <c r="O83" s="167"/>
      <c r="P83" s="167"/>
      <c r="Q83" s="167"/>
      <c r="R83" s="167"/>
      <c r="S83" s="167"/>
      <c r="T83" s="167"/>
      <c r="U83" s="167"/>
      <c r="V83" s="167"/>
      <c r="W83" s="167"/>
      <c r="X83" s="167"/>
      <c r="Y83" s="167"/>
      <c r="Z83" s="167"/>
      <c r="AA83" s="167"/>
      <c r="AB83" s="167"/>
      <c r="AC83" s="167"/>
    </row>
    <row r="84" spans="1:29" ht="14.25" customHeight="1" outlineLevel="1">
      <c r="A84" s="166" t="s">
        <v>2365</v>
      </c>
      <c r="B84" s="167" t="s">
        <v>360</v>
      </c>
      <c r="C84" s="167"/>
      <c r="D84" s="166" t="s">
        <v>932</v>
      </c>
      <c r="E84" s="166" t="s">
        <v>1524</v>
      </c>
      <c r="F84" s="166" t="s">
        <v>753</v>
      </c>
      <c r="G84" s="166" t="s">
        <v>753</v>
      </c>
      <c r="H84" s="166" t="s">
        <v>753</v>
      </c>
      <c r="I84" s="166" t="s">
        <v>753</v>
      </c>
      <c r="J84" s="166" t="s">
        <v>753</v>
      </c>
      <c r="K84" s="166" t="s">
        <v>753</v>
      </c>
      <c r="L84" s="166" t="s">
        <v>753</v>
      </c>
      <c r="M84" s="168"/>
      <c r="N84" s="167"/>
      <c r="O84" s="167"/>
      <c r="P84" s="167"/>
      <c r="Q84" s="167"/>
      <c r="R84" s="167"/>
      <c r="S84" s="167"/>
      <c r="T84" s="167"/>
      <c r="U84" s="167"/>
      <c r="V84" s="167"/>
      <c r="W84" s="167"/>
      <c r="X84" s="167"/>
      <c r="Y84" s="167"/>
      <c r="Z84" s="167"/>
      <c r="AA84" s="167"/>
      <c r="AB84" s="167"/>
      <c r="AC84" s="167"/>
    </row>
    <row r="85" spans="1:29" ht="14.25" customHeight="1" outlineLevel="1">
      <c r="A85" s="166" t="s">
        <v>2364</v>
      </c>
      <c r="B85" s="167" t="s">
        <v>472</v>
      </c>
      <c r="C85" s="167"/>
      <c r="D85" s="269" t="s">
        <v>2363</v>
      </c>
      <c r="E85" s="166" t="s">
        <v>1524</v>
      </c>
      <c r="F85" s="166" t="s">
        <v>753</v>
      </c>
      <c r="G85" s="166" t="s">
        <v>753</v>
      </c>
      <c r="H85" s="166" t="s">
        <v>753</v>
      </c>
      <c r="I85" s="166" t="s">
        <v>753</v>
      </c>
      <c r="J85" s="166" t="s">
        <v>753</v>
      </c>
      <c r="K85" s="166" t="s">
        <v>753</v>
      </c>
      <c r="L85" s="166" t="s">
        <v>753</v>
      </c>
      <c r="M85" s="168"/>
      <c r="N85" s="167"/>
      <c r="O85" s="167"/>
      <c r="P85" s="167"/>
      <c r="Q85" s="167"/>
      <c r="R85" s="167"/>
      <c r="S85" s="167"/>
      <c r="T85" s="167"/>
      <c r="U85" s="167"/>
      <c r="V85" s="167"/>
      <c r="W85" s="167"/>
      <c r="X85" s="167"/>
      <c r="Y85" s="167"/>
      <c r="Z85" s="167"/>
      <c r="AA85" s="167"/>
      <c r="AB85" s="167"/>
      <c r="AC85" s="167"/>
    </row>
    <row r="86" spans="1:29" ht="14.25" customHeight="1" outlineLevel="1">
      <c r="A86" s="166" t="s">
        <v>2362</v>
      </c>
      <c r="B86" s="167" t="s">
        <v>449</v>
      </c>
      <c r="C86" s="167"/>
      <c r="D86" s="270"/>
      <c r="E86" s="166" t="s">
        <v>1524</v>
      </c>
      <c r="F86" s="166" t="s">
        <v>753</v>
      </c>
      <c r="G86" s="166" t="s">
        <v>753</v>
      </c>
      <c r="H86" s="166" t="s">
        <v>753</v>
      </c>
      <c r="I86" s="166" t="s">
        <v>753</v>
      </c>
      <c r="J86" s="166" t="s">
        <v>753</v>
      </c>
      <c r="K86" s="166" t="s">
        <v>753</v>
      </c>
      <c r="L86" s="166" t="s">
        <v>753</v>
      </c>
      <c r="M86" s="168"/>
      <c r="N86" s="167"/>
      <c r="O86" s="167"/>
      <c r="P86" s="167"/>
      <c r="Q86" s="167"/>
      <c r="R86" s="167"/>
      <c r="S86" s="167"/>
      <c r="T86" s="167"/>
      <c r="U86" s="167"/>
      <c r="V86" s="167"/>
      <c r="W86" s="167"/>
      <c r="X86" s="167"/>
      <c r="Y86" s="167"/>
      <c r="Z86" s="167"/>
      <c r="AA86" s="167"/>
      <c r="AB86" s="167"/>
      <c r="AC86" s="167"/>
    </row>
    <row r="87" spans="1:29" ht="14.25" customHeight="1" outlineLevel="1">
      <c r="A87" s="166" t="s">
        <v>2361</v>
      </c>
      <c r="B87" s="167" t="s">
        <v>427</v>
      </c>
      <c r="C87" s="167"/>
      <c r="D87" s="270"/>
      <c r="E87" s="166" t="s">
        <v>1524</v>
      </c>
      <c r="F87" s="166" t="s">
        <v>753</v>
      </c>
      <c r="G87" s="166" t="s">
        <v>753</v>
      </c>
      <c r="H87" s="166" t="s">
        <v>753</v>
      </c>
      <c r="I87" s="166" t="s">
        <v>753</v>
      </c>
      <c r="J87" s="166" t="s">
        <v>753</v>
      </c>
      <c r="K87" s="166" t="s">
        <v>753</v>
      </c>
      <c r="L87" s="166" t="s">
        <v>753</v>
      </c>
      <c r="M87" s="168"/>
      <c r="N87" s="167"/>
      <c r="O87" s="167"/>
      <c r="P87" s="167"/>
      <c r="Q87" s="167"/>
      <c r="R87" s="167"/>
      <c r="S87" s="167"/>
      <c r="T87" s="167"/>
      <c r="U87" s="167"/>
      <c r="V87" s="167"/>
      <c r="W87" s="167"/>
      <c r="X87" s="167"/>
      <c r="Y87" s="167"/>
      <c r="Z87" s="167"/>
      <c r="AA87" s="167"/>
      <c r="AB87" s="167"/>
      <c r="AC87" s="167"/>
    </row>
    <row r="88" spans="1:29" ht="14.25" customHeight="1" outlineLevel="1">
      <c r="A88" s="166" t="s">
        <v>2360</v>
      </c>
      <c r="B88" s="167" t="s">
        <v>382</v>
      </c>
      <c r="C88" s="167"/>
      <c r="D88" s="270"/>
      <c r="E88" s="166" t="s">
        <v>1524</v>
      </c>
      <c r="F88" s="166" t="s">
        <v>753</v>
      </c>
      <c r="G88" s="166" t="s">
        <v>753</v>
      </c>
      <c r="H88" s="166" t="s">
        <v>753</v>
      </c>
      <c r="I88" s="166" t="s">
        <v>753</v>
      </c>
      <c r="J88" s="166" t="s">
        <v>753</v>
      </c>
      <c r="K88" s="166" t="s">
        <v>753</v>
      </c>
      <c r="L88" s="166" t="s">
        <v>753</v>
      </c>
      <c r="M88" s="168"/>
      <c r="N88" s="167"/>
      <c r="O88" s="167"/>
      <c r="P88" s="167"/>
      <c r="Q88" s="167"/>
      <c r="R88" s="167"/>
      <c r="S88" s="167"/>
      <c r="T88" s="167"/>
      <c r="U88" s="167"/>
      <c r="V88" s="167"/>
      <c r="W88" s="167"/>
      <c r="X88" s="167"/>
      <c r="Y88" s="167"/>
      <c r="Z88" s="167"/>
      <c r="AA88" s="167"/>
      <c r="AB88" s="167"/>
      <c r="AC88" s="167"/>
    </row>
    <row r="89" spans="1:29" ht="14.25" customHeight="1" outlineLevel="1">
      <c r="A89" s="166" t="s">
        <v>2359</v>
      </c>
      <c r="B89" s="167" t="s">
        <v>426</v>
      </c>
      <c r="C89" s="167"/>
      <c r="D89" s="270"/>
      <c r="E89" s="166" t="s">
        <v>1524</v>
      </c>
      <c r="F89" s="166" t="s">
        <v>753</v>
      </c>
      <c r="G89" s="166" t="s">
        <v>753</v>
      </c>
      <c r="H89" s="166" t="s">
        <v>753</v>
      </c>
      <c r="I89" s="166" t="s">
        <v>753</v>
      </c>
      <c r="J89" s="166" t="s">
        <v>753</v>
      </c>
      <c r="K89" s="166" t="s">
        <v>753</v>
      </c>
      <c r="L89" s="166" t="s">
        <v>753</v>
      </c>
      <c r="M89" s="168"/>
      <c r="N89" s="167"/>
      <c r="O89" s="167"/>
      <c r="P89" s="167"/>
      <c r="Q89" s="167"/>
      <c r="R89" s="167"/>
      <c r="S89" s="167"/>
      <c r="T89" s="167"/>
      <c r="U89" s="167"/>
      <c r="V89" s="167"/>
      <c r="W89" s="167"/>
      <c r="X89" s="167"/>
      <c r="Y89" s="167"/>
      <c r="Z89" s="167"/>
      <c r="AA89" s="167"/>
      <c r="AB89" s="167"/>
      <c r="AC89" s="167"/>
    </row>
    <row r="90" spans="1:29" ht="14.25" customHeight="1" outlineLevel="1">
      <c r="A90" s="166" t="s">
        <v>2358</v>
      </c>
      <c r="B90" s="167" t="s">
        <v>405</v>
      </c>
      <c r="C90" s="167"/>
      <c r="D90" s="271"/>
      <c r="E90" s="166" t="s">
        <v>1524</v>
      </c>
      <c r="F90" s="166" t="s">
        <v>753</v>
      </c>
      <c r="G90" s="166" t="s">
        <v>753</v>
      </c>
      <c r="H90" s="166" t="s">
        <v>753</v>
      </c>
      <c r="I90" s="166" t="s">
        <v>753</v>
      </c>
      <c r="J90" s="166" t="s">
        <v>753</v>
      </c>
      <c r="K90" s="166" t="s">
        <v>753</v>
      </c>
      <c r="L90" s="166" t="s">
        <v>753</v>
      </c>
      <c r="M90" s="168"/>
      <c r="N90" s="167"/>
      <c r="O90" s="167"/>
      <c r="P90" s="167"/>
      <c r="Q90" s="167"/>
      <c r="R90" s="167"/>
      <c r="S90" s="167"/>
      <c r="T90" s="167"/>
      <c r="U90" s="167"/>
      <c r="V90" s="167"/>
      <c r="W90" s="167"/>
      <c r="X90" s="167"/>
      <c r="Y90" s="167"/>
      <c r="Z90" s="167"/>
      <c r="AA90" s="167"/>
      <c r="AB90" s="167"/>
      <c r="AC90" s="167"/>
    </row>
    <row r="91" spans="1:29" ht="14.25" customHeight="1" outlineLevel="1">
      <c r="A91" s="120" t="s">
        <v>2357</v>
      </c>
      <c r="B91" s="126" t="s">
        <v>406</v>
      </c>
      <c r="C91" s="167"/>
      <c r="D91" s="120" t="s">
        <v>2356</v>
      </c>
      <c r="E91" s="166" t="s">
        <v>1524</v>
      </c>
      <c r="F91" s="120" t="s">
        <v>753</v>
      </c>
      <c r="G91" s="120" t="s">
        <v>753</v>
      </c>
      <c r="H91" s="120" t="s">
        <v>753</v>
      </c>
      <c r="I91" s="120" t="s">
        <v>753</v>
      </c>
      <c r="J91" s="120" t="s">
        <v>753</v>
      </c>
      <c r="K91" s="120" t="s">
        <v>753</v>
      </c>
      <c r="L91" s="120" t="s">
        <v>753</v>
      </c>
      <c r="M91" s="126"/>
      <c r="N91" s="126"/>
      <c r="O91" s="126"/>
      <c r="P91" s="126"/>
      <c r="Q91" s="126"/>
      <c r="R91" s="126"/>
      <c r="S91" s="126"/>
      <c r="T91" s="126"/>
      <c r="U91" s="126"/>
      <c r="V91" s="126"/>
      <c r="W91" s="126"/>
      <c r="X91" s="126"/>
      <c r="Y91" s="126"/>
      <c r="Z91" s="126"/>
      <c r="AA91" s="126"/>
      <c r="AB91" s="126"/>
      <c r="AC91" s="126"/>
    </row>
    <row r="92" spans="1:29" ht="14.25" customHeight="1" outlineLevel="1">
      <c r="A92" s="120" t="s">
        <v>2355</v>
      </c>
      <c r="B92" s="126" t="s">
        <v>2354</v>
      </c>
      <c r="C92" s="167"/>
      <c r="D92" s="264" t="s">
        <v>2353</v>
      </c>
      <c r="E92" s="166" t="s">
        <v>1524</v>
      </c>
      <c r="F92" s="120" t="s">
        <v>753</v>
      </c>
      <c r="G92" s="120" t="s">
        <v>753</v>
      </c>
      <c r="H92" s="120" t="s">
        <v>753</v>
      </c>
      <c r="I92" s="120" t="s">
        <v>753</v>
      </c>
      <c r="J92" s="120" t="s">
        <v>753</v>
      </c>
      <c r="K92" s="120" t="s">
        <v>753</v>
      </c>
      <c r="L92" s="120" t="s">
        <v>753</v>
      </c>
      <c r="M92" s="126"/>
      <c r="N92" s="126"/>
      <c r="O92" s="126"/>
      <c r="P92" s="126"/>
      <c r="Q92" s="126"/>
      <c r="R92" s="126"/>
      <c r="S92" s="126"/>
      <c r="T92" s="126"/>
      <c r="U92" s="126"/>
      <c r="V92" s="126"/>
      <c r="W92" s="126"/>
      <c r="X92" s="126"/>
      <c r="Y92" s="126"/>
      <c r="Z92" s="126"/>
      <c r="AA92" s="126"/>
      <c r="AB92" s="126"/>
      <c r="AC92" s="126"/>
    </row>
    <row r="93" spans="1:29" ht="14.25" customHeight="1" outlineLevel="1">
      <c r="A93" s="120" t="s">
        <v>2352</v>
      </c>
      <c r="B93" s="126" t="s">
        <v>473</v>
      </c>
      <c r="C93" s="167"/>
      <c r="D93" s="265"/>
      <c r="E93" s="166" t="s">
        <v>1524</v>
      </c>
      <c r="F93" s="120" t="s">
        <v>753</v>
      </c>
      <c r="G93" s="120" t="s">
        <v>753</v>
      </c>
      <c r="H93" s="120" t="s">
        <v>753</v>
      </c>
      <c r="I93" s="120" t="s">
        <v>753</v>
      </c>
      <c r="J93" s="120" t="s">
        <v>753</v>
      </c>
      <c r="K93" s="120" t="s">
        <v>753</v>
      </c>
      <c r="L93" s="120" t="s">
        <v>753</v>
      </c>
      <c r="M93" s="126"/>
      <c r="N93" s="126"/>
      <c r="O93" s="126"/>
      <c r="P93" s="126"/>
      <c r="Q93" s="126"/>
      <c r="R93" s="126"/>
      <c r="S93" s="126"/>
      <c r="T93" s="126"/>
      <c r="U93" s="126"/>
      <c r="V93" s="126"/>
      <c r="W93" s="126"/>
      <c r="X93" s="126"/>
      <c r="Y93" s="126"/>
      <c r="Z93" s="126"/>
      <c r="AA93" s="126"/>
      <c r="AB93" s="126"/>
      <c r="AC93" s="126"/>
    </row>
    <row r="94" spans="1:29" ht="14.25" customHeight="1" outlineLevel="1">
      <c r="A94" s="120" t="s">
        <v>2351</v>
      </c>
      <c r="B94" s="126" t="s">
        <v>450</v>
      </c>
      <c r="C94" s="167"/>
      <c r="D94" s="265"/>
      <c r="E94" s="166" t="s">
        <v>1524</v>
      </c>
      <c r="F94" s="120" t="s">
        <v>753</v>
      </c>
      <c r="G94" s="120" t="s">
        <v>753</v>
      </c>
      <c r="H94" s="120" t="s">
        <v>753</v>
      </c>
      <c r="I94" s="120" t="s">
        <v>753</v>
      </c>
      <c r="J94" s="120" t="s">
        <v>753</v>
      </c>
      <c r="K94" s="120" t="s">
        <v>753</v>
      </c>
      <c r="L94" s="120" t="s">
        <v>753</v>
      </c>
      <c r="M94" s="126"/>
      <c r="N94" s="126"/>
      <c r="O94" s="126"/>
      <c r="P94" s="126"/>
      <c r="Q94" s="126"/>
      <c r="R94" s="126"/>
      <c r="S94" s="126"/>
      <c r="T94" s="126"/>
      <c r="U94" s="126"/>
      <c r="V94" s="126"/>
      <c r="W94" s="126"/>
      <c r="X94" s="126"/>
      <c r="Y94" s="126"/>
      <c r="Z94" s="126"/>
      <c r="AA94" s="126"/>
      <c r="AB94" s="126"/>
      <c r="AC94" s="126"/>
    </row>
    <row r="95" spans="1:29" ht="14.25" customHeight="1" outlineLevel="1">
      <c r="A95" s="120" t="s">
        <v>2350</v>
      </c>
      <c r="B95" s="126" t="s">
        <v>428</v>
      </c>
      <c r="C95" s="167"/>
      <c r="D95" s="265"/>
      <c r="E95" s="120" t="s">
        <v>2347</v>
      </c>
      <c r="F95" s="120" t="s">
        <v>753</v>
      </c>
      <c r="G95" s="120" t="s">
        <v>753</v>
      </c>
      <c r="H95" s="120" t="s">
        <v>753</v>
      </c>
      <c r="I95" s="120" t="s">
        <v>753</v>
      </c>
      <c r="J95" s="120" t="s">
        <v>753</v>
      </c>
      <c r="K95" s="120" t="s">
        <v>753</v>
      </c>
      <c r="L95" s="120" t="s">
        <v>753</v>
      </c>
      <c r="M95" s="126"/>
      <c r="N95" s="126"/>
      <c r="O95" s="126"/>
      <c r="P95" s="126"/>
      <c r="Q95" s="126"/>
      <c r="R95" s="126"/>
      <c r="S95" s="126"/>
      <c r="T95" s="126"/>
      <c r="U95" s="126"/>
      <c r="V95" s="126"/>
      <c r="W95" s="126"/>
      <c r="X95" s="126"/>
      <c r="Y95" s="126"/>
      <c r="Z95" s="126"/>
      <c r="AA95" s="126"/>
      <c r="AB95" s="126"/>
      <c r="AC95" s="126"/>
    </row>
    <row r="96" spans="1:29" ht="14.25" customHeight="1" outlineLevel="1">
      <c r="A96" s="120" t="s">
        <v>2349</v>
      </c>
      <c r="B96" s="126" t="s">
        <v>384</v>
      </c>
      <c r="C96" s="167"/>
      <c r="D96" s="265"/>
      <c r="E96" s="120" t="s">
        <v>2347</v>
      </c>
      <c r="F96" s="120" t="s">
        <v>753</v>
      </c>
      <c r="G96" s="120" t="s">
        <v>753</v>
      </c>
      <c r="H96" s="120" t="s">
        <v>753</v>
      </c>
      <c r="I96" s="120" t="s">
        <v>753</v>
      </c>
      <c r="J96" s="120" t="s">
        <v>753</v>
      </c>
      <c r="K96" s="120" t="s">
        <v>753</v>
      </c>
      <c r="L96" s="120" t="s">
        <v>753</v>
      </c>
      <c r="M96" s="126"/>
      <c r="N96" s="126"/>
      <c r="O96" s="126"/>
      <c r="P96" s="126"/>
      <c r="Q96" s="126"/>
      <c r="R96" s="126"/>
      <c r="S96" s="126"/>
      <c r="T96" s="126"/>
      <c r="U96" s="126"/>
      <c r="V96" s="126"/>
      <c r="W96" s="126"/>
      <c r="X96" s="126"/>
      <c r="Y96" s="126"/>
      <c r="Z96" s="126"/>
      <c r="AA96" s="126"/>
      <c r="AB96" s="126"/>
      <c r="AC96" s="126"/>
    </row>
    <row r="97" spans="1:30" ht="14.25" customHeight="1" outlineLevel="1">
      <c r="A97" s="120" t="s">
        <v>2348</v>
      </c>
      <c r="B97" s="126" t="s">
        <v>383</v>
      </c>
      <c r="C97" s="167"/>
      <c r="D97" s="266"/>
      <c r="E97" s="120" t="s">
        <v>2347</v>
      </c>
      <c r="F97" s="120" t="s">
        <v>753</v>
      </c>
      <c r="G97" s="120" t="s">
        <v>753</v>
      </c>
      <c r="H97" s="120" t="s">
        <v>753</v>
      </c>
      <c r="I97" s="120" t="s">
        <v>753</v>
      </c>
      <c r="J97" s="120" t="s">
        <v>753</v>
      </c>
      <c r="K97" s="120" t="s">
        <v>753</v>
      </c>
      <c r="L97" s="120" t="s">
        <v>753</v>
      </c>
      <c r="M97" s="126"/>
      <c r="N97" s="126"/>
      <c r="O97" s="126"/>
      <c r="P97" s="126"/>
      <c r="Q97" s="126"/>
      <c r="R97" s="126"/>
      <c r="S97" s="126"/>
      <c r="T97" s="126"/>
      <c r="U97" s="126"/>
      <c r="V97" s="126"/>
      <c r="W97" s="126"/>
      <c r="X97" s="126"/>
      <c r="Y97" s="126"/>
      <c r="Z97" s="126"/>
      <c r="AA97" s="126"/>
      <c r="AB97" s="126"/>
      <c r="AC97" s="126"/>
    </row>
    <row r="98" spans="1:30">
      <c r="A98" s="131" t="s">
        <v>2346</v>
      </c>
      <c r="B98" s="130"/>
      <c r="C98" s="136"/>
      <c r="D98" s="129"/>
      <c r="E98" s="129"/>
      <c r="F98" s="129"/>
      <c r="G98" s="129"/>
      <c r="H98" s="129"/>
      <c r="I98" s="129"/>
      <c r="J98" s="129"/>
      <c r="K98" s="129"/>
      <c r="L98" s="129"/>
      <c r="M98" s="136"/>
      <c r="N98" s="136"/>
      <c r="O98" s="136"/>
      <c r="P98" s="136"/>
      <c r="Q98" s="136"/>
      <c r="R98" s="136"/>
      <c r="S98" s="136"/>
      <c r="T98" s="136"/>
      <c r="U98" s="136"/>
      <c r="V98" s="136"/>
      <c r="W98" s="136"/>
      <c r="X98" s="136"/>
      <c r="Y98" s="136"/>
      <c r="Z98" s="136"/>
      <c r="AA98" s="136"/>
      <c r="AB98" s="136"/>
      <c r="AC98" s="136"/>
    </row>
    <row r="99" spans="1:30" ht="14.25" customHeight="1" outlineLevel="1">
      <c r="A99" s="119" t="s">
        <v>2345</v>
      </c>
      <c r="B99" s="118" t="s">
        <v>626</v>
      </c>
      <c r="C99" s="118"/>
      <c r="D99" s="119" t="s">
        <v>753</v>
      </c>
      <c r="E99" s="119" t="s">
        <v>2158</v>
      </c>
      <c r="F99" s="119" t="s">
        <v>753</v>
      </c>
      <c r="G99" s="119" t="s">
        <v>753</v>
      </c>
      <c r="H99" s="119" t="s">
        <v>753</v>
      </c>
      <c r="I99" s="119" t="s">
        <v>753</v>
      </c>
      <c r="J99" s="119" t="s">
        <v>753</v>
      </c>
      <c r="K99" s="119" t="s">
        <v>753</v>
      </c>
      <c r="L99" s="119" t="s">
        <v>753</v>
      </c>
      <c r="M99" s="118" t="s">
        <v>626</v>
      </c>
      <c r="N99" s="118"/>
      <c r="O99" s="118"/>
      <c r="P99" s="118"/>
      <c r="Q99" s="118"/>
      <c r="R99" s="118"/>
      <c r="S99" s="118"/>
      <c r="T99" s="118"/>
      <c r="U99" s="118"/>
      <c r="V99" s="118"/>
      <c r="W99" s="118"/>
      <c r="X99" s="118"/>
      <c r="Y99" s="118"/>
      <c r="Z99" s="118"/>
      <c r="AA99" s="118"/>
      <c r="AB99" s="118"/>
      <c r="AC99" s="118"/>
    </row>
    <row r="100" spans="1:30" ht="14.25" customHeight="1" outlineLevel="1">
      <c r="A100" s="119" t="s">
        <v>2344</v>
      </c>
      <c r="B100" s="118" t="s">
        <v>642</v>
      </c>
      <c r="C100" s="118"/>
      <c r="D100" s="119" t="s">
        <v>753</v>
      </c>
      <c r="E100" s="119" t="s">
        <v>2158</v>
      </c>
      <c r="F100" s="119" t="s">
        <v>753</v>
      </c>
      <c r="G100" s="119" t="s">
        <v>753</v>
      </c>
      <c r="H100" s="119" t="s">
        <v>753</v>
      </c>
      <c r="I100" s="119" t="s">
        <v>753</v>
      </c>
      <c r="J100" s="119" t="s">
        <v>753</v>
      </c>
      <c r="K100" s="119" t="s">
        <v>753</v>
      </c>
      <c r="L100" s="119" t="s">
        <v>753</v>
      </c>
      <c r="M100" s="118" t="s">
        <v>642</v>
      </c>
      <c r="N100" s="118"/>
      <c r="O100" s="118"/>
      <c r="P100" s="118"/>
      <c r="Q100" s="118"/>
      <c r="R100" s="118"/>
      <c r="S100" s="118"/>
      <c r="T100" s="118"/>
      <c r="U100" s="118"/>
      <c r="V100" s="118"/>
      <c r="W100" s="118"/>
      <c r="X100" s="118"/>
      <c r="Y100" s="118"/>
      <c r="Z100" s="118"/>
      <c r="AA100" s="118"/>
      <c r="AB100" s="118"/>
      <c r="AC100" s="118"/>
    </row>
    <row r="101" spans="1:30" ht="14.25" customHeight="1" outlineLevel="1">
      <c r="A101" s="119" t="s">
        <v>2343</v>
      </c>
      <c r="B101" s="118" t="s">
        <v>643</v>
      </c>
      <c r="C101" s="118"/>
      <c r="D101" s="119" t="s">
        <v>753</v>
      </c>
      <c r="E101" s="119" t="s">
        <v>2158</v>
      </c>
      <c r="F101" s="119" t="s">
        <v>753</v>
      </c>
      <c r="G101" s="119" t="s">
        <v>753</v>
      </c>
      <c r="H101" s="119" t="s">
        <v>753</v>
      </c>
      <c r="I101" s="119" t="s">
        <v>753</v>
      </c>
      <c r="J101" s="119" t="s">
        <v>753</v>
      </c>
      <c r="K101" s="119" t="s">
        <v>753</v>
      </c>
      <c r="L101" s="119" t="s">
        <v>753</v>
      </c>
      <c r="M101" s="118" t="s">
        <v>643</v>
      </c>
      <c r="N101" s="118"/>
      <c r="O101" s="118"/>
      <c r="P101" s="118"/>
      <c r="Q101" s="118"/>
      <c r="R101" s="118"/>
      <c r="S101" s="118"/>
      <c r="T101" s="118"/>
      <c r="U101" s="118"/>
      <c r="V101" s="118"/>
      <c r="W101" s="118"/>
      <c r="X101" s="118"/>
      <c r="Y101" s="118"/>
      <c r="Z101" s="118"/>
      <c r="AA101" s="118"/>
      <c r="AB101" s="118"/>
      <c r="AC101" s="118"/>
    </row>
    <row r="102" spans="1:30" ht="14.25" customHeight="1" outlineLevel="1">
      <c r="A102" s="119" t="s">
        <v>2342</v>
      </c>
      <c r="B102" s="118" t="s">
        <v>627</v>
      </c>
      <c r="C102" s="118"/>
      <c r="D102" s="119" t="s">
        <v>753</v>
      </c>
      <c r="E102" s="119" t="s">
        <v>2158</v>
      </c>
      <c r="F102" s="119" t="s">
        <v>753</v>
      </c>
      <c r="G102" s="119" t="s">
        <v>753</v>
      </c>
      <c r="H102" s="119" t="s">
        <v>753</v>
      </c>
      <c r="I102" s="119" t="s">
        <v>753</v>
      </c>
      <c r="J102" s="119" t="s">
        <v>753</v>
      </c>
      <c r="K102" s="119" t="s">
        <v>753</v>
      </c>
      <c r="L102" s="119" t="s">
        <v>753</v>
      </c>
      <c r="M102" s="118" t="s">
        <v>627</v>
      </c>
      <c r="N102" s="118"/>
      <c r="O102" s="118"/>
      <c r="P102" s="118"/>
      <c r="Q102" s="118"/>
      <c r="R102" s="118"/>
      <c r="S102" s="118"/>
      <c r="T102" s="118"/>
      <c r="U102" s="118"/>
      <c r="V102" s="118"/>
      <c r="W102" s="118"/>
      <c r="X102" s="118"/>
      <c r="Y102" s="118"/>
      <c r="Z102" s="118"/>
      <c r="AA102" s="118"/>
      <c r="AB102" s="118"/>
      <c r="AC102" s="118"/>
    </row>
    <row r="103" spans="1:30" ht="14.25" customHeight="1" outlineLevel="1">
      <c r="A103" s="119" t="s">
        <v>2341</v>
      </c>
      <c r="B103" s="118" t="s">
        <v>672</v>
      </c>
      <c r="C103" s="118"/>
      <c r="D103" s="119" t="s">
        <v>753</v>
      </c>
      <c r="E103" s="119" t="s">
        <v>2155</v>
      </c>
      <c r="F103" s="119" t="s">
        <v>753</v>
      </c>
      <c r="G103" s="119" t="s">
        <v>753</v>
      </c>
      <c r="H103" s="119" t="s">
        <v>753</v>
      </c>
      <c r="I103" s="119" t="s">
        <v>753</v>
      </c>
      <c r="J103" s="119" t="s">
        <v>753</v>
      </c>
      <c r="K103" s="119" t="s">
        <v>753</v>
      </c>
      <c r="L103" s="119" t="s">
        <v>753</v>
      </c>
      <c r="M103" s="118" t="s">
        <v>672</v>
      </c>
      <c r="N103" s="118"/>
      <c r="O103" s="118"/>
      <c r="P103" s="118"/>
      <c r="Q103" s="118"/>
      <c r="R103" s="118"/>
      <c r="S103" s="118"/>
      <c r="T103" s="118"/>
      <c r="U103" s="118"/>
      <c r="V103" s="118"/>
      <c r="W103" s="118"/>
      <c r="X103" s="118"/>
      <c r="Y103" s="118"/>
      <c r="Z103" s="118"/>
      <c r="AA103" s="118"/>
      <c r="AB103" s="118"/>
      <c r="AC103" s="118"/>
    </row>
    <row r="104" spans="1:30" ht="14.25" customHeight="1" outlineLevel="1">
      <c r="A104" s="119" t="s">
        <v>2340</v>
      </c>
      <c r="B104" s="118" t="s">
        <v>673</v>
      </c>
      <c r="C104" s="118"/>
      <c r="D104" s="119" t="s">
        <v>753</v>
      </c>
      <c r="E104" s="119" t="s">
        <v>2155</v>
      </c>
      <c r="F104" s="119" t="s">
        <v>753</v>
      </c>
      <c r="G104" s="119" t="s">
        <v>753</v>
      </c>
      <c r="H104" s="119" t="s">
        <v>753</v>
      </c>
      <c r="I104" s="119" t="s">
        <v>753</v>
      </c>
      <c r="J104" s="119" t="s">
        <v>753</v>
      </c>
      <c r="K104" s="119" t="s">
        <v>753</v>
      </c>
      <c r="L104" s="119" t="s">
        <v>753</v>
      </c>
      <c r="M104" s="118" t="s">
        <v>673</v>
      </c>
      <c r="N104" s="118"/>
      <c r="O104" s="118"/>
      <c r="P104" s="118"/>
      <c r="Q104" s="118"/>
      <c r="R104" s="118"/>
      <c r="S104" s="118"/>
      <c r="T104" s="118"/>
      <c r="U104" s="118"/>
      <c r="V104" s="118"/>
      <c r="W104" s="118"/>
      <c r="X104" s="118"/>
      <c r="Y104" s="118"/>
      <c r="Z104" s="118"/>
      <c r="AA104" s="118"/>
      <c r="AB104" s="118"/>
      <c r="AC104" s="118"/>
    </row>
    <row r="105" spans="1:30" ht="14.25" customHeight="1" outlineLevel="1">
      <c r="A105" s="119" t="s">
        <v>2339</v>
      </c>
      <c r="B105" s="118" t="s">
        <v>705</v>
      </c>
      <c r="C105" s="118"/>
      <c r="D105" s="119" t="s">
        <v>753</v>
      </c>
      <c r="E105" s="119" t="s">
        <v>2155</v>
      </c>
      <c r="F105" s="119" t="s">
        <v>753</v>
      </c>
      <c r="G105" s="119" t="s">
        <v>753</v>
      </c>
      <c r="H105" s="119" t="s">
        <v>753</v>
      </c>
      <c r="I105" s="119" t="s">
        <v>753</v>
      </c>
      <c r="J105" s="119" t="s">
        <v>753</v>
      </c>
      <c r="K105" s="119" t="s">
        <v>753</v>
      </c>
      <c r="L105" s="119" t="s">
        <v>753</v>
      </c>
      <c r="M105" s="118" t="s">
        <v>705</v>
      </c>
      <c r="N105" s="118"/>
      <c r="O105" s="118"/>
      <c r="P105" s="118"/>
      <c r="Q105" s="118"/>
      <c r="R105" s="118"/>
      <c r="S105" s="118"/>
      <c r="T105" s="118"/>
      <c r="U105" s="118"/>
      <c r="V105" s="118"/>
      <c r="W105" s="118"/>
      <c r="X105" s="118"/>
      <c r="Y105" s="118"/>
      <c r="Z105" s="118"/>
      <c r="AA105" s="118"/>
      <c r="AB105" s="118"/>
      <c r="AC105" s="118"/>
    </row>
    <row r="106" spans="1:30" ht="14.25" customHeight="1" outlineLevel="1">
      <c r="A106" s="119" t="s">
        <v>2338</v>
      </c>
      <c r="B106" s="118" t="s">
        <v>706</v>
      </c>
      <c r="C106" s="118"/>
      <c r="D106" s="119" t="s">
        <v>753</v>
      </c>
      <c r="E106" s="119" t="s">
        <v>2155</v>
      </c>
      <c r="F106" s="119" t="s">
        <v>753</v>
      </c>
      <c r="G106" s="119" t="s">
        <v>753</v>
      </c>
      <c r="H106" s="119" t="s">
        <v>753</v>
      </c>
      <c r="I106" s="119" t="s">
        <v>753</v>
      </c>
      <c r="J106" s="119" t="s">
        <v>753</v>
      </c>
      <c r="K106" s="119" t="s">
        <v>753</v>
      </c>
      <c r="L106" s="119" t="s">
        <v>753</v>
      </c>
      <c r="M106" s="118" t="s">
        <v>706</v>
      </c>
      <c r="N106" s="118"/>
      <c r="O106" s="118"/>
      <c r="P106" s="118"/>
      <c r="Q106" s="118"/>
      <c r="R106" s="118"/>
      <c r="S106" s="118"/>
      <c r="T106" s="118"/>
      <c r="U106" s="118"/>
      <c r="V106" s="118"/>
      <c r="W106" s="118"/>
      <c r="X106" s="118"/>
      <c r="Y106" s="118"/>
      <c r="Z106" s="118"/>
      <c r="AA106" s="118"/>
      <c r="AB106" s="118"/>
      <c r="AC106" s="118"/>
    </row>
    <row r="107" spans="1:30" ht="14.25" customHeight="1" outlineLevel="1">
      <c r="A107" s="119" t="s">
        <v>2337</v>
      </c>
      <c r="B107" s="118" t="s">
        <v>3463</v>
      </c>
      <c r="C107" s="118"/>
      <c r="D107" s="119" t="s">
        <v>753</v>
      </c>
      <c r="E107" s="119" t="s">
        <v>2155</v>
      </c>
      <c r="F107" s="119" t="s">
        <v>753</v>
      </c>
      <c r="G107" s="119" t="s">
        <v>753</v>
      </c>
      <c r="H107" s="119" t="s">
        <v>753</v>
      </c>
      <c r="I107" s="119" t="s">
        <v>753</v>
      </c>
      <c r="J107" s="119" t="s">
        <v>753</v>
      </c>
      <c r="K107" s="119" t="s">
        <v>753</v>
      </c>
      <c r="L107" s="119" t="s">
        <v>753</v>
      </c>
      <c r="M107" s="118" t="s">
        <v>707</v>
      </c>
      <c r="N107" s="118"/>
      <c r="O107" s="118"/>
      <c r="P107" s="118"/>
      <c r="Q107" s="118"/>
      <c r="R107" s="118"/>
      <c r="S107" s="118"/>
      <c r="T107" s="118"/>
      <c r="U107" s="118"/>
      <c r="V107" s="118"/>
      <c r="W107" s="118"/>
      <c r="X107" s="118"/>
      <c r="Y107" s="118"/>
      <c r="Z107" s="118"/>
      <c r="AA107" s="118"/>
      <c r="AB107" s="118"/>
      <c r="AC107" s="118"/>
    </row>
    <row r="108" spans="1:30" ht="14.25" customHeight="1" outlineLevel="1">
      <c r="A108" s="166" t="s">
        <v>2336</v>
      </c>
      <c r="B108" s="167" t="s">
        <v>535</v>
      </c>
      <c r="C108" s="167"/>
      <c r="D108" s="166" t="s">
        <v>1065</v>
      </c>
      <c r="E108" s="120" t="s">
        <v>2151</v>
      </c>
      <c r="F108" s="166" t="s">
        <v>753</v>
      </c>
      <c r="G108" s="166" t="s">
        <v>753</v>
      </c>
      <c r="H108" s="166" t="s">
        <v>753</v>
      </c>
      <c r="I108" s="166" t="s">
        <v>753</v>
      </c>
      <c r="J108" s="166" t="s">
        <v>753</v>
      </c>
      <c r="K108" s="166" t="s">
        <v>753</v>
      </c>
      <c r="L108" s="166" t="s">
        <v>753</v>
      </c>
      <c r="M108" s="167" t="s">
        <v>535</v>
      </c>
      <c r="N108" s="167"/>
      <c r="O108" s="167"/>
      <c r="P108" s="167"/>
      <c r="Q108" s="167"/>
      <c r="R108" s="167"/>
      <c r="S108" s="167"/>
      <c r="T108" s="167"/>
      <c r="U108" s="167"/>
      <c r="V108" s="167"/>
      <c r="W108" s="167"/>
      <c r="X108" s="167"/>
      <c r="Y108" s="167"/>
      <c r="Z108" s="167"/>
      <c r="AA108" s="167"/>
      <c r="AB108" s="167"/>
      <c r="AC108" s="167"/>
    </row>
    <row r="109" spans="1:30" ht="14.25" customHeight="1" outlineLevel="1">
      <c r="A109" s="166" t="s">
        <v>2335</v>
      </c>
      <c r="B109" s="167" t="s">
        <v>555</v>
      </c>
      <c r="C109" s="167"/>
      <c r="D109" s="166" t="s">
        <v>932</v>
      </c>
      <c r="E109" s="120" t="s">
        <v>2151</v>
      </c>
      <c r="F109" s="166" t="s">
        <v>753</v>
      </c>
      <c r="G109" s="166" t="s">
        <v>753</v>
      </c>
      <c r="H109" s="166" t="s">
        <v>753</v>
      </c>
      <c r="I109" s="166" t="s">
        <v>753</v>
      </c>
      <c r="J109" s="166" t="s">
        <v>753</v>
      </c>
      <c r="K109" s="166" t="s">
        <v>753</v>
      </c>
      <c r="L109" s="166" t="s">
        <v>753</v>
      </c>
      <c r="M109" s="167" t="s">
        <v>555</v>
      </c>
      <c r="N109" s="167"/>
      <c r="O109" s="167"/>
      <c r="P109" s="167"/>
      <c r="Q109" s="167"/>
      <c r="R109" s="167"/>
      <c r="S109" s="167"/>
      <c r="T109" s="167"/>
      <c r="U109" s="167"/>
      <c r="V109" s="167"/>
      <c r="W109" s="167"/>
      <c r="X109" s="167"/>
      <c r="Y109" s="167"/>
      <c r="Z109" s="167"/>
      <c r="AA109" s="167"/>
      <c r="AB109" s="167"/>
      <c r="AC109" s="167"/>
    </row>
    <row r="110" spans="1:30" ht="14.25" customHeight="1" outlineLevel="1">
      <c r="A110" s="119" t="s">
        <v>2334</v>
      </c>
      <c r="B110" s="118" t="s">
        <v>2333</v>
      </c>
      <c r="C110" s="118"/>
      <c r="D110" s="119" t="s">
        <v>753</v>
      </c>
      <c r="E110" s="119" t="s">
        <v>1124</v>
      </c>
      <c r="F110" s="119" t="s">
        <v>3455</v>
      </c>
      <c r="G110" s="119" t="s">
        <v>1122</v>
      </c>
      <c r="H110" s="119" t="s">
        <v>2091</v>
      </c>
      <c r="I110" s="119" t="s">
        <v>2090</v>
      </c>
      <c r="J110" s="119">
        <v>50</v>
      </c>
      <c r="K110" s="119" t="s">
        <v>371</v>
      </c>
      <c r="L110" s="119" t="s">
        <v>371</v>
      </c>
      <c r="M110" s="118" t="s">
        <v>3458</v>
      </c>
      <c r="N110" s="118" t="s">
        <v>3456</v>
      </c>
      <c r="O110" s="118"/>
      <c r="P110" s="118"/>
      <c r="Q110" s="118"/>
      <c r="R110" s="118"/>
      <c r="S110" s="118"/>
      <c r="T110" s="118"/>
      <c r="U110" s="118"/>
      <c r="V110" s="118"/>
      <c r="W110" s="118"/>
      <c r="X110" s="118"/>
      <c r="Y110" s="118"/>
      <c r="Z110" s="118"/>
      <c r="AA110" s="118"/>
      <c r="AB110" s="118"/>
      <c r="AC110" s="118"/>
    </row>
    <row r="111" spans="1:30" s="134" customFormat="1" ht="14.25" customHeight="1" outlineLevel="1">
      <c r="A111" s="162" t="s">
        <v>2332</v>
      </c>
      <c r="B111" s="124" t="s">
        <v>2330</v>
      </c>
      <c r="C111" s="165"/>
      <c r="D111" s="162" t="s">
        <v>753</v>
      </c>
      <c r="E111" s="164" t="s">
        <v>2331</v>
      </c>
      <c r="F111" s="164" t="s">
        <v>1123</v>
      </c>
      <c r="G111" s="164" t="s">
        <v>1122</v>
      </c>
      <c r="H111" s="162" t="s">
        <v>2091</v>
      </c>
      <c r="I111" s="162" t="s">
        <v>2090</v>
      </c>
      <c r="J111" s="162">
        <v>33</v>
      </c>
      <c r="K111" s="119" t="s">
        <v>371</v>
      </c>
      <c r="L111" s="119" t="s">
        <v>371</v>
      </c>
      <c r="M111" s="124" t="s">
        <v>3459</v>
      </c>
      <c r="N111" s="124" t="s">
        <v>3457</v>
      </c>
      <c r="O111" s="124"/>
      <c r="P111" s="124"/>
      <c r="Q111" s="124"/>
      <c r="R111" s="124"/>
      <c r="S111" s="124"/>
      <c r="T111" s="124"/>
      <c r="U111" s="124"/>
      <c r="V111" s="124"/>
      <c r="W111" s="124"/>
      <c r="X111" s="124"/>
      <c r="Y111" s="124"/>
      <c r="Z111" s="124"/>
      <c r="AA111" s="124"/>
      <c r="AB111" s="124"/>
      <c r="AC111" s="124"/>
      <c r="AD111" s="135"/>
    </row>
    <row r="112" spans="1:30" ht="14.25" customHeight="1" outlineLevel="1">
      <c r="A112" s="120" t="s">
        <v>2329</v>
      </c>
      <c r="B112" s="126" t="s">
        <v>554</v>
      </c>
      <c r="C112" s="167"/>
      <c r="D112" s="120" t="s">
        <v>2328</v>
      </c>
      <c r="E112" s="120" t="s">
        <v>1524</v>
      </c>
      <c r="F112" s="120" t="s">
        <v>753</v>
      </c>
      <c r="G112" s="120" t="s">
        <v>753</v>
      </c>
      <c r="H112" s="120" t="s">
        <v>753</v>
      </c>
      <c r="I112" s="120" t="s">
        <v>753</v>
      </c>
      <c r="J112" s="120" t="s">
        <v>753</v>
      </c>
      <c r="K112" s="120" t="s">
        <v>753</v>
      </c>
      <c r="L112" s="120" t="s">
        <v>753</v>
      </c>
      <c r="M112" s="126" t="s">
        <v>554</v>
      </c>
      <c r="N112" s="126"/>
      <c r="O112" s="126"/>
      <c r="P112" s="126"/>
      <c r="Q112" s="126"/>
      <c r="R112" s="126"/>
      <c r="S112" s="126"/>
      <c r="T112" s="126"/>
      <c r="U112" s="126"/>
      <c r="V112" s="126"/>
      <c r="W112" s="126"/>
      <c r="X112" s="126"/>
      <c r="Y112" s="126"/>
      <c r="Z112" s="126"/>
      <c r="AA112" s="126"/>
      <c r="AB112" s="126"/>
      <c r="AC112" s="126"/>
    </row>
    <row r="113" spans="1:45">
      <c r="A113" s="131" t="s">
        <v>2327</v>
      </c>
      <c r="B113" s="130"/>
      <c r="C113" s="136"/>
      <c r="D113" s="129"/>
      <c r="E113" s="129"/>
      <c r="F113" s="129"/>
      <c r="G113" s="129"/>
      <c r="H113" s="129"/>
      <c r="I113" s="129"/>
      <c r="J113" s="129"/>
      <c r="K113" s="129"/>
      <c r="L113" s="129"/>
      <c r="M113" s="136"/>
      <c r="N113" s="136"/>
      <c r="O113" s="136"/>
      <c r="P113" s="136"/>
      <c r="Q113" s="136"/>
      <c r="R113" s="136"/>
      <c r="S113" s="136"/>
      <c r="T113" s="136"/>
      <c r="U113" s="136"/>
      <c r="V113" s="136"/>
      <c r="W113" s="136"/>
      <c r="X113" s="136"/>
      <c r="Y113" s="136"/>
      <c r="Z113" s="136"/>
      <c r="AA113" s="136"/>
      <c r="AB113" s="136"/>
      <c r="AC113" s="136"/>
    </row>
    <row r="114" spans="1:45" ht="14.25" customHeight="1" outlineLevel="1">
      <c r="A114" s="138" t="s">
        <v>2326</v>
      </c>
      <c r="B114" s="139" t="s">
        <v>2325</v>
      </c>
      <c r="C114" s="118"/>
      <c r="D114" s="119" t="s">
        <v>753</v>
      </c>
      <c r="E114" s="119" t="s">
        <v>1124</v>
      </c>
      <c r="F114" s="119" t="s">
        <v>3455</v>
      </c>
      <c r="G114" s="119" t="s">
        <v>1774</v>
      </c>
      <c r="H114" s="119" t="s">
        <v>2091</v>
      </c>
      <c r="I114" s="119" t="s">
        <v>1120</v>
      </c>
      <c r="J114" s="119">
        <v>40</v>
      </c>
      <c r="K114" s="119" t="s">
        <v>371</v>
      </c>
      <c r="L114" s="119" t="s">
        <v>371</v>
      </c>
      <c r="M114" s="118" t="s">
        <v>2324</v>
      </c>
      <c r="N114" s="118" t="s">
        <v>2323</v>
      </c>
      <c r="O114" s="118" t="s">
        <v>2322</v>
      </c>
      <c r="P114" s="118"/>
      <c r="Q114" s="118"/>
      <c r="R114" s="118" t="s">
        <v>2321</v>
      </c>
      <c r="S114" s="118"/>
      <c r="T114" s="118"/>
      <c r="U114" s="118"/>
      <c r="V114" s="118" t="s">
        <v>2320</v>
      </c>
      <c r="W114" s="118"/>
      <c r="X114" s="118" t="s">
        <v>2319</v>
      </c>
      <c r="Y114" s="118"/>
      <c r="Z114" s="118"/>
      <c r="AA114" s="118"/>
      <c r="AB114" s="118"/>
      <c r="AC114" s="118"/>
      <c r="AD114" s="116" t="str">
        <f t="array" ref="AD114">IF(ISBLANK(AA114),,AA114&amp;("/"))&amp;IF(ISBLANK(Z114),,Z114&amp;("/"))&amp;IF(ISBLANK(Y114),,Y114&amp;("/"))&amp;IF(ISBLANK(X114),,X114&amp;("/"))&amp;IF(ISBLANK(W114),,W114&amp;("/"))&amp;IF(ISBLANK(V114),,V114&amp;("/"))&amp;IF(ISBLANK(U114),,U114&amp;("/"))&amp;IF(ISBLANK(T114),,T114&amp;("/"))&amp;IF(ISBLANK(S114),,S114&amp;("/"))&amp;IF(ISBLANK(R114),,R114&amp;("/"))&amp;IF(ISBLANK(Q114),,Q114&amp;("/"))&amp;IF(ISBLANK(P114),,P114&amp;("/"))&amp;IF(ISBLANK(O114),,O114&amp;("/"))&amp;IF(ISBLANK(N114),,N114&amp;("/"))&amp;IF(G114="-",M114,M114&amp;("_")&amp;MID(G114,1,1))</f>
        <v>I2C2_SCL_M1/UART7_RTSN_M1/SAI4_SCLK_M0/FSPI0_D0/EMMC_D0/GPIO1_A0_u</v>
      </c>
      <c r="AE114" s="115" t="str">
        <f>IF(AD114=B114,"y","n")</f>
        <v>y</v>
      </c>
      <c r="AF114" s="115" t="str">
        <f t="shared" ref="AF114:AF145" si="0">IF(ISNUMBER(FIND(N114,$B114)),"",N114)</f>
        <v/>
      </c>
      <c r="AG114" s="115" t="str">
        <f t="shared" ref="AG114:AG145" si="1">IF(ISNUMBER(FIND(O114,$B114)),"",O114)</f>
        <v/>
      </c>
      <c r="AH114" s="115" t="str">
        <f t="shared" ref="AH114:AH145" si="2">IF(ISNUMBER(FIND(P114,$B114)),"",P114)</f>
        <v/>
      </c>
      <c r="AI114" s="115" t="str">
        <f t="shared" ref="AI114:AI145" si="3">IF(ISNUMBER(FIND(Q114,$B114)),"",Q114)</f>
        <v/>
      </c>
      <c r="AJ114" s="115" t="str">
        <f t="shared" ref="AJ114:AJ145" si="4">IF(ISNUMBER(FIND(R114,$B114)),"",R114)</f>
        <v/>
      </c>
      <c r="AK114" s="115" t="str">
        <f t="shared" ref="AK114:AK145" si="5">IF(ISNUMBER(FIND(S114,$B114)),"",S114)</f>
        <v/>
      </c>
      <c r="AL114" s="115" t="str">
        <f t="shared" ref="AL114:AL145" si="6">IF(ISNUMBER(FIND(T114,$B114)),"",T114)</f>
        <v/>
      </c>
      <c r="AM114" s="115" t="str">
        <f t="shared" ref="AM114:AM145" si="7">IF(ISNUMBER(FIND(U114,$B114)),"",U114)</f>
        <v/>
      </c>
      <c r="AN114" s="115" t="str">
        <f t="shared" ref="AN114:AN145" si="8">IF(ISNUMBER(FIND(V114,$B114)),"",V114)</f>
        <v/>
      </c>
      <c r="AO114" s="115" t="str">
        <f t="shared" ref="AO114:AO145" si="9">IF(ISNUMBER(FIND(W114,$B114)),"",W114)</f>
        <v/>
      </c>
      <c r="AP114" s="115" t="str">
        <f t="shared" ref="AP114:AP145" si="10">IF(ISNUMBER(FIND(X114,$B114)),"",X114)</f>
        <v/>
      </c>
      <c r="AQ114" s="115" t="str">
        <f t="shared" ref="AQ114:AQ145" si="11">IF(ISNUMBER(FIND(Y114,$B114)),"",Y114)</f>
        <v/>
      </c>
      <c r="AR114" s="115" t="str">
        <f t="shared" ref="AR114:AR145" si="12">IF(ISNUMBER(FIND(Z114,$B114)),"",Z114)</f>
        <v/>
      </c>
      <c r="AS114" s="115" t="str">
        <f t="shared" ref="AS114:AS145" si="13">IF(ISNUMBER(FIND(AA114,$B114)),"",AA114)</f>
        <v/>
      </c>
    </row>
    <row r="115" spans="1:45" ht="14.25" customHeight="1" outlineLevel="1">
      <c r="A115" s="138" t="s">
        <v>2318</v>
      </c>
      <c r="B115" s="139" t="s">
        <v>2317</v>
      </c>
      <c r="C115" s="118"/>
      <c r="D115" s="119" t="s">
        <v>753</v>
      </c>
      <c r="E115" s="119" t="s">
        <v>1124</v>
      </c>
      <c r="F115" s="119" t="s">
        <v>1123</v>
      </c>
      <c r="G115" s="119" t="s">
        <v>1774</v>
      </c>
      <c r="H115" s="119" t="s">
        <v>2091</v>
      </c>
      <c r="I115" s="119" t="s">
        <v>1120</v>
      </c>
      <c r="J115" s="119">
        <v>40</v>
      </c>
      <c r="K115" s="119" t="s">
        <v>371</v>
      </c>
      <c r="L115" s="119" t="s">
        <v>371</v>
      </c>
      <c r="M115" s="118" t="s">
        <v>2316</v>
      </c>
      <c r="N115" s="118" t="s">
        <v>2315</v>
      </c>
      <c r="O115" s="118" t="s">
        <v>2314</v>
      </c>
      <c r="P115" s="118"/>
      <c r="Q115" s="118"/>
      <c r="R115" s="118" t="s">
        <v>2313</v>
      </c>
      <c r="S115" s="118"/>
      <c r="T115" s="118"/>
      <c r="U115" s="118"/>
      <c r="V115" s="118" t="s">
        <v>2312</v>
      </c>
      <c r="W115" s="118"/>
      <c r="X115" s="118" t="s">
        <v>2311</v>
      </c>
      <c r="Y115" s="118"/>
      <c r="Z115" s="118"/>
      <c r="AA115" s="118"/>
      <c r="AB115" s="118"/>
      <c r="AC115" s="118"/>
      <c r="AD115" s="116" t="str">
        <f t="array" ref="AD115">IF(ISBLANK(AA115),,AA115&amp;("/"))&amp;IF(ISBLANK(Z115),,Z115&amp;("/"))&amp;IF(ISBLANK(Y115),,Y115&amp;("/"))&amp;IF(ISBLANK(X115),,X115&amp;("/"))&amp;IF(ISBLANK(W115),,W115&amp;("/"))&amp;IF(ISBLANK(V115),,V115&amp;("/"))&amp;IF(ISBLANK(U115),,U115&amp;("/"))&amp;IF(ISBLANK(T115),,T115&amp;("/"))&amp;IF(ISBLANK(S115),,S115&amp;("/"))&amp;IF(ISBLANK(R115),,R115&amp;("/"))&amp;IF(ISBLANK(Q115),,Q115&amp;("/"))&amp;IF(ISBLANK(P115),,P115&amp;("/"))&amp;IF(ISBLANK(O115),,O115&amp;("/"))&amp;IF(ISBLANK(N115),,N115&amp;("/"))&amp;IF(G115="-",M115,M115&amp;("_")&amp;MID(G115,1,1))</f>
        <v>I2C2_SDA_M1/UART7_CTSN_M1/SAI4_LRCK_M0/FSPI0_D1/EMMC_D1/GPIO1_A1_u</v>
      </c>
      <c r="AE115" s="115" t="str">
        <f t="shared" ref="AE115:AE174" si="14">IF(AD115=B115,"y","n")</f>
        <v>y</v>
      </c>
      <c r="AF115" s="115" t="str">
        <f t="shared" si="0"/>
        <v/>
      </c>
      <c r="AG115" s="115" t="str">
        <f t="shared" si="1"/>
        <v/>
      </c>
      <c r="AH115" s="115" t="str">
        <f t="shared" si="2"/>
        <v/>
      </c>
      <c r="AI115" s="115" t="str">
        <f t="shared" si="3"/>
        <v/>
      </c>
      <c r="AJ115" s="115" t="str">
        <f t="shared" si="4"/>
        <v/>
      </c>
      <c r="AK115" s="115" t="str">
        <f t="shared" si="5"/>
        <v/>
      </c>
      <c r="AL115" s="115" t="str">
        <f t="shared" si="6"/>
        <v/>
      </c>
      <c r="AM115" s="115" t="str">
        <f t="shared" si="7"/>
        <v/>
      </c>
      <c r="AN115" s="115" t="str">
        <f t="shared" si="8"/>
        <v/>
      </c>
      <c r="AO115" s="115" t="str">
        <f t="shared" si="9"/>
        <v/>
      </c>
      <c r="AP115" s="115" t="str">
        <f t="shared" si="10"/>
        <v/>
      </c>
      <c r="AQ115" s="115" t="str">
        <f t="shared" si="11"/>
        <v/>
      </c>
      <c r="AR115" s="115" t="str">
        <f t="shared" si="12"/>
        <v/>
      </c>
      <c r="AS115" s="115" t="str">
        <f t="shared" si="13"/>
        <v/>
      </c>
    </row>
    <row r="116" spans="1:45" ht="14.25" customHeight="1" outlineLevel="1">
      <c r="A116" s="138" t="s">
        <v>2310</v>
      </c>
      <c r="B116" s="139" t="s">
        <v>2309</v>
      </c>
      <c r="C116" s="118"/>
      <c r="D116" s="119" t="s">
        <v>753</v>
      </c>
      <c r="E116" s="119" t="s">
        <v>1124</v>
      </c>
      <c r="F116" s="119" t="s">
        <v>1123</v>
      </c>
      <c r="G116" s="119" t="s">
        <v>1774</v>
      </c>
      <c r="H116" s="119" t="s">
        <v>2091</v>
      </c>
      <c r="I116" s="119" t="s">
        <v>1120</v>
      </c>
      <c r="J116" s="119">
        <v>40</v>
      </c>
      <c r="K116" s="119" t="s">
        <v>371</v>
      </c>
      <c r="L116" s="119" t="s">
        <v>371</v>
      </c>
      <c r="M116" s="118" t="s">
        <v>2308</v>
      </c>
      <c r="N116" s="118" t="s">
        <v>2307</v>
      </c>
      <c r="O116" s="118" t="s">
        <v>2306</v>
      </c>
      <c r="P116" s="118"/>
      <c r="Q116" s="118" t="s">
        <v>2305</v>
      </c>
      <c r="R116" s="118" t="s">
        <v>2304</v>
      </c>
      <c r="S116" s="118"/>
      <c r="T116" s="118"/>
      <c r="U116" s="118"/>
      <c r="V116" s="118" t="s">
        <v>2303</v>
      </c>
      <c r="W116" s="118"/>
      <c r="X116" s="118"/>
      <c r="Y116" s="118"/>
      <c r="Z116" s="118"/>
      <c r="AA116" s="118"/>
      <c r="AB116" s="118"/>
      <c r="AC116" s="118"/>
      <c r="AD116" s="116" t="str">
        <f t="array" ref="AD116">IF(ISBLANK(AA116),,AA116&amp;("/"))&amp;IF(ISBLANK(Z116),,Z116&amp;("/"))&amp;IF(ISBLANK(Y116),,Y116&amp;("/"))&amp;IF(ISBLANK(X116),,X116&amp;("/"))&amp;IF(ISBLANK(W116),,W116&amp;("/"))&amp;IF(ISBLANK(V116),,V116&amp;("/"))&amp;IF(ISBLANK(U116),,U116&amp;("/"))&amp;IF(ISBLANK(T116),,T116&amp;("/"))&amp;IF(ISBLANK(S116),,S116&amp;("/"))&amp;IF(ISBLANK(R116),,R116&amp;("/"))&amp;IF(ISBLANK(Q116),,Q116&amp;("/"))&amp;IF(ISBLANK(P116),,P116&amp;("/"))&amp;IF(ISBLANK(O116),,O116&amp;("/"))&amp;IF(ISBLANK(N116),,N116&amp;("/"))&amp;IF(G116="-",M116,M116&amp;("_")&amp;MID(G116,1,1))</f>
        <v>UART7_TX_M1/SAI4_SDO1_M0/SAI4_SDI3_M0/FSPI0_D2/EMMC_D2/GPIO1_A2_u</v>
      </c>
      <c r="AE116" s="115" t="str">
        <f t="shared" si="14"/>
        <v>y</v>
      </c>
      <c r="AF116" s="115" t="str">
        <f t="shared" si="0"/>
        <v/>
      </c>
      <c r="AG116" s="115" t="str">
        <f t="shared" si="1"/>
        <v/>
      </c>
      <c r="AH116" s="115" t="str">
        <f t="shared" si="2"/>
        <v/>
      </c>
      <c r="AI116" s="115" t="str">
        <f t="shared" si="3"/>
        <v/>
      </c>
      <c r="AJ116" s="115" t="str">
        <f t="shared" si="4"/>
        <v/>
      </c>
      <c r="AK116" s="115" t="str">
        <f t="shared" si="5"/>
        <v/>
      </c>
      <c r="AL116" s="115" t="str">
        <f t="shared" si="6"/>
        <v/>
      </c>
      <c r="AM116" s="115" t="str">
        <f t="shared" si="7"/>
        <v/>
      </c>
      <c r="AN116" s="115" t="str">
        <f t="shared" si="8"/>
        <v/>
      </c>
      <c r="AO116" s="115" t="str">
        <f t="shared" si="9"/>
        <v/>
      </c>
      <c r="AP116" s="115" t="str">
        <f t="shared" si="10"/>
        <v/>
      </c>
      <c r="AQ116" s="115" t="str">
        <f t="shared" si="11"/>
        <v/>
      </c>
      <c r="AR116" s="115" t="str">
        <f t="shared" si="12"/>
        <v/>
      </c>
      <c r="AS116" s="115" t="str">
        <f t="shared" si="13"/>
        <v/>
      </c>
    </row>
    <row r="117" spans="1:45" ht="14.25" customHeight="1" outlineLevel="1">
      <c r="A117" s="138" t="s">
        <v>2302</v>
      </c>
      <c r="B117" s="139" t="s">
        <v>2301</v>
      </c>
      <c r="C117" s="118"/>
      <c r="D117" s="119" t="s">
        <v>753</v>
      </c>
      <c r="E117" s="119" t="s">
        <v>1124</v>
      </c>
      <c r="F117" s="119" t="s">
        <v>1123</v>
      </c>
      <c r="G117" s="119" t="s">
        <v>1774</v>
      </c>
      <c r="H117" s="119" t="s">
        <v>2091</v>
      </c>
      <c r="I117" s="119" t="s">
        <v>1120</v>
      </c>
      <c r="J117" s="119">
        <v>40</v>
      </c>
      <c r="K117" s="119" t="s">
        <v>371</v>
      </c>
      <c r="L117" s="119" t="s">
        <v>371</v>
      </c>
      <c r="M117" s="118" t="s">
        <v>2300</v>
      </c>
      <c r="N117" s="118" t="s">
        <v>2299</v>
      </c>
      <c r="O117" s="118" t="s">
        <v>2298</v>
      </c>
      <c r="P117" s="118"/>
      <c r="Q117" s="118" t="s">
        <v>2297</v>
      </c>
      <c r="R117" s="118" t="s">
        <v>2296</v>
      </c>
      <c r="S117" s="118"/>
      <c r="T117" s="118"/>
      <c r="U117" s="118"/>
      <c r="V117" s="118" t="s">
        <v>2295</v>
      </c>
      <c r="W117" s="118"/>
      <c r="X117" s="118"/>
      <c r="Y117" s="118"/>
      <c r="Z117" s="118"/>
      <c r="AA117" s="118"/>
      <c r="AB117" s="118"/>
      <c r="AC117" s="118"/>
      <c r="AD117" s="116" t="str">
        <f t="array" ref="AD117">IF(ISBLANK(AA117),,AA117&amp;("/"))&amp;IF(ISBLANK(Z117),,Z117&amp;("/"))&amp;IF(ISBLANK(Y117),,Y117&amp;("/"))&amp;IF(ISBLANK(X117),,X117&amp;("/"))&amp;IF(ISBLANK(W117),,W117&amp;("/"))&amp;IF(ISBLANK(V117),,V117&amp;("/"))&amp;IF(ISBLANK(U117),,U117&amp;("/"))&amp;IF(ISBLANK(T117),,T117&amp;("/"))&amp;IF(ISBLANK(S117),,S117&amp;("/"))&amp;IF(ISBLANK(R117),,R117&amp;("/"))&amp;IF(ISBLANK(Q117),,Q117&amp;("/"))&amp;IF(ISBLANK(P117),,P117&amp;("/"))&amp;IF(ISBLANK(O117),,O117&amp;("/"))&amp;IF(ISBLANK(N117),,N117&amp;("/"))&amp;IF(G117="-",M117,M117&amp;("_")&amp;MID(G117,1,1))</f>
        <v>UART7_RX_M1/SAI4_SDO2_M0/SAI4_SDI2_M0/FSPI0_D3/EMMC_D3/GPIO1_A3_u</v>
      </c>
      <c r="AE117" s="115" t="str">
        <f t="shared" si="14"/>
        <v>y</v>
      </c>
      <c r="AF117" s="115" t="str">
        <f t="shared" si="0"/>
        <v/>
      </c>
      <c r="AG117" s="115" t="str">
        <f t="shared" si="1"/>
        <v/>
      </c>
      <c r="AH117" s="115" t="str">
        <f t="shared" si="2"/>
        <v/>
      </c>
      <c r="AI117" s="115" t="str">
        <f t="shared" si="3"/>
        <v/>
      </c>
      <c r="AJ117" s="115" t="str">
        <f t="shared" si="4"/>
        <v/>
      </c>
      <c r="AK117" s="115" t="str">
        <f t="shared" si="5"/>
        <v/>
      </c>
      <c r="AL117" s="115" t="str">
        <f t="shared" si="6"/>
        <v/>
      </c>
      <c r="AM117" s="115" t="str">
        <f t="shared" si="7"/>
        <v/>
      </c>
      <c r="AN117" s="115" t="str">
        <f t="shared" si="8"/>
        <v/>
      </c>
      <c r="AO117" s="115" t="str">
        <f t="shared" si="9"/>
        <v/>
      </c>
      <c r="AP117" s="115" t="str">
        <f t="shared" si="10"/>
        <v/>
      </c>
      <c r="AQ117" s="115" t="str">
        <f t="shared" si="11"/>
        <v/>
      </c>
      <c r="AR117" s="115" t="str">
        <f t="shared" si="12"/>
        <v/>
      </c>
      <c r="AS117" s="115" t="str">
        <f t="shared" si="13"/>
        <v/>
      </c>
    </row>
    <row r="118" spans="1:45" ht="28.5" customHeight="1" outlineLevel="1">
      <c r="A118" s="138" t="s">
        <v>2294</v>
      </c>
      <c r="B118" s="139" t="s">
        <v>2293</v>
      </c>
      <c r="C118" s="118"/>
      <c r="D118" s="119" t="s">
        <v>753</v>
      </c>
      <c r="E118" s="119" t="s">
        <v>1124</v>
      </c>
      <c r="F118" s="119" t="s">
        <v>1123</v>
      </c>
      <c r="G118" s="119" t="s">
        <v>1774</v>
      </c>
      <c r="H118" s="119" t="s">
        <v>2091</v>
      </c>
      <c r="I118" s="119" t="s">
        <v>1120</v>
      </c>
      <c r="J118" s="119">
        <v>40</v>
      </c>
      <c r="K118" s="119" t="s">
        <v>371</v>
      </c>
      <c r="L118" s="119" t="s">
        <v>371</v>
      </c>
      <c r="M118" s="118" t="s">
        <v>2292</v>
      </c>
      <c r="N118" s="118" t="s">
        <v>2291</v>
      </c>
      <c r="O118" s="118" t="s">
        <v>2290</v>
      </c>
      <c r="P118" s="118"/>
      <c r="Q118" s="118" t="s">
        <v>2289</v>
      </c>
      <c r="R118" s="118" t="s">
        <v>2288</v>
      </c>
      <c r="S118" s="118"/>
      <c r="T118" s="118"/>
      <c r="U118" s="118"/>
      <c r="V118" s="118" t="s">
        <v>2287</v>
      </c>
      <c r="W118" s="118" t="s">
        <v>2286</v>
      </c>
      <c r="X118" s="118"/>
      <c r="Y118" s="118"/>
      <c r="Z118" s="118"/>
      <c r="AA118" s="118"/>
      <c r="AB118" s="118"/>
      <c r="AC118" s="118"/>
      <c r="AD118" s="116" t="str">
        <f t="array" ref="AD118">IF(ISBLANK(AA118),,AA118&amp;("/"))&amp;IF(ISBLANK(Z118),,Z118&amp;("/"))&amp;IF(ISBLANK(Y118),,Y118&amp;("/"))&amp;IF(ISBLANK(X118),,X118&amp;("/"))&amp;IF(ISBLANK(W118),,W118&amp;("/"))&amp;IF(ISBLANK(V118),,V118&amp;("/"))&amp;IF(ISBLANK(U118),,U118&amp;("/"))&amp;IF(ISBLANK(T118),,T118&amp;("/"))&amp;IF(ISBLANK(S118),,S118&amp;("/"))&amp;IF(ISBLANK(R118),,R118&amp;("/"))&amp;IF(ISBLANK(Q118),,Q118&amp;("/"))&amp;IF(ISBLANK(P118),,P118&amp;("/"))&amp;IF(ISBLANK(O118),,O118&amp;("/"))&amp;IF(ISBLANK(N118),,N118&amp;("/"))&amp;IF(G118="-",M118,M118&amp;("_")&amp;MID(G118,1,1))</f>
        <v>SPI0_CSN0_M2/UART6_RTSN_M2/SAI4_MCLK_M0/SAI3_MCLK_M0/FSPI0_D4/EMMC_D4/GPIO1_A4_u</v>
      </c>
      <c r="AE118" s="115" t="str">
        <f t="shared" si="14"/>
        <v>y</v>
      </c>
      <c r="AF118" s="115" t="str">
        <f t="shared" si="0"/>
        <v/>
      </c>
      <c r="AG118" s="115" t="str">
        <f t="shared" si="1"/>
        <v/>
      </c>
      <c r="AH118" s="115" t="str">
        <f t="shared" si="2"/>
        <v/>
      </c>
      <c r="AI118" s="115" t="str">
        <f t="shared" si="3"/>
        <v/>
      </c>
      <c r="AJ118" s="115" t="str">
        <f t="shared" si="4"/>
        <v/>
      </c>
      <c r="AK118" s="115" t="str">
        <f t="shared" si="5"/>
        <v/>
      </c>
      <c r="AL118" s="115" t="str">
        <f t="shared" si="6"/>
        <v/>
      </c>
      <c r="AM118" s="115" t="str">
        <f t="shared" si="7"/>
        <v/>
      </c>
      <c r="AN118" s="115" t="str">
        <f t="shared" si="8"/>
        <v/>
      </c>
      <c r="AO118" s="115" t="str">
        <f t="shared" si="9"/>
        <v/>
      </c>
      <c r="AP118" s="115" t="str">
        <f t="shared" si="10"/>
        <v/>
      </c>
      <c r="AQ118" s="115" t="str">
        <f t="shared" si="11"/>
        <v/>
      </c>
      <c r="AR118" s="115" t="str">
        <f t="shared" si="12"/>
        <v/>
      </c>
      <c r="AS118" s="115" t="str">
        <f t="shared" si="13"/>
        <v/>
      </c>
    </row>
    <row r="119" spans="1:45" ht="28.5" customHeight="1" outlineLevel="1">
      <c r="A119" s="138" t="s">
        <v>2285</v>
      </c>
      <c r="B119" s="139" t="s">
        <v>2284</v>
      </c>
      <c r="C119" s="118"/>
      <c r="D119" s="119" t="s">
        <v>753</v>
      </c>
      <c r="E119" s="119" t="s">
        <v>1124</v>
      </c>
      <c r="F119" s="119" t="s">
        <v>1123</v>
      </c>
      <c r="G119" s="119" t="s">
        <v>1774</v>
      </c>
      <c r="H119" s="119" t="s">
        <v>2091</v>
      </c>
      <c r="I119" s="119" t="s">
        <v>1120</v>
      </c>
      <c r="J119" s="119">
        <v>40</v>
      </c>
      <c r="K119" s="119" t="s">
        <v>371</v>
      </c>
      <c r="L119" s="119" t="s">
        <v>371</v>
      </c>
      <c r="M119" s="118" t="s">
        <v>2283</v>
      </c>
      <c r="N119" s="118" t="s">
        <v>2282</v>
      </c>
      <c r="O119" s="118" t="s">
        <v>2281</v>
      </c>
      <c r="P119" s="118"/>
      <c r="Q119" s="118" t="s">
        <v>2280</v>
      </c>
      <c r="R119" s="118"/>
      <c r="S119" s="118"/>
      <c r="T119" s="118"/>
      <c r="U119" s="118"/>
      <c r="V119" s="118" t="s">
        <v>2279</v>
      </c>
      <c r="W119" s="118" t="s">
        <v>2278</v>
      </c>
      <c r="X119" s="118" t="s">
        <v>2277</v>
      </c>
      <c r="Y119" s="118"/>
      <c r="Z119" s="118"/>
      <c r="AA119" s="118"/>
      <c r="AB119" s="118"/>
      <c r="AC119" s="118"/>
      <c r="AD119" s="116" t="str">
        <f t="array" ref="AD119">IF(ISBLANK(AA119),,AA119&amp;("/"))&amp;IF(ISBLANK(Z119),,Z119&amp;("/"))&amp;IF(ISBLANK(Y119),,Y119&amp;("/"))&amp;IF(ISBLANK(X119),,X119&amp;("/"))&amp;IF(ISBLANK(W119),,W119&amp;("/"))&amp;IF(ISBLANK(V119),,V119&amp;("/"))&amp;IF(ISBLANK(U119),,U119&amp;("/"))&amp;IF(ISBLANK(T119),,T119&amp;("/"))&amp;IF(ISBLANK(S119),,S119&amp;("/"))&amp;IF(ISBLANK(R119),,R119&amp;("/"))&amp;IF(ISBLANK(Q119),,Q119&amp;("/"))&amp;IF(ISBLANK(P119),,P119&amp;("/"))&amp;IF(ISBLANK(O119),,O119&amp;("/"))&amp;IF(ISBLANK(N119),,N119&amp;("/"))&amp;IF(G119="-",M119,M119&amp;("_")&amp;MID(G119,1,1))</f>
        <v>I2C9_SCL_M0/SPI0_MOSI_M2/UART6_CTSN_M2/SAI3_SCLK_M0/FSPI0_D5/EMMC_D5/GPIO1_A5_u</v>
      </c>
      <c r="AE119" s="115" t="str">
        <f t="shared" si="14"/>
        <v>y</v>
      </c>
      <c r="AF119" s="115" t="str">
        <f t="shared" si="0"/>
        <v/>
      </c>
      <c r="AG119" s="115" t="str">
        <f t="shared" si="1"/>
        <v/>
      </c>
      <c r="AH119" s="115" t="str">
        <f t="shared" si="2"/>
        <v/>
      </c>
      <c r="AI119" s="115" t="str">
        <f t="shared" si="3"/>
        <v/>
      </c>
      <c r="AJ119" s="115" t="str">
        <f t="shared" si="4"/>
        <v/>
      </c>
      <c r="AK119" s="115" t="str">
        <f t="shared" si="5"/>
        <v/>
      </c>
      <c r="AL119" s="115" t="str">
        <f t="shared" si="6"/>
        <v/>
      </c>
      <c r="AM119" s="115" t="str">
        <f t="shared" si="7"/>
        <v/>
      </c>
      <c r="AN119" s="115" t="str">
        <f t="shared" si="8"/>
        <v/>
      </c>
      <c r="AO119" s="115" t="str">
        <f t="shared" si="9"/>
        <v/>
      </c>
      <c r="AP119" s="115" t="str">
        <f t="shared" si="10"/>
        <v/>
      </c>
      <c r="AQ119" s="115" t="str">
        <f t="shared" si="11"/>
        <v/>
      </c>
      <c r="AR119" s="115" t="str">
        <f t="shared" si="12"/>
        <v/>
      </c>
      <c r="AS119" s="115" t="str">
        <f t="shared" si="13"/>
        <v/>
      </c>
    </row>
    <row r="120" spans="1:45" ht="14.25" customHeight="1" outlineLevel="1">
      <c r="A120" s="138" t="s">
        <v>2276</v>
      </c>
      <c r="B120" s="139" t="s">
        <v>2275</v>
      </c>
      <c r="C120" s="118"/>
      <c r="D120" s="119" t="s">
        <v>753</v>
      </c>
      <c r="E120" s="119" t="s">
        <v>1124</v>
      </c>
      <c r="F120" s="119" t="s">
        <v>1123</v>
      </c>
      <c r="G120" s="119" t="s">
        <v>1774</v>
      </c>
      <c r="H120" s="119" t="s">
        <v>2091</v>
      </c>
      <c r="I120" s="119" t="s">
        <v>1120</v>
      </c>
      <c r="J120" s="119">
        <v>40</v>
      </c>
      <c r="K120" s="119" t="s">
        <v>371</v>
      </c>
      <c r="L120" s="119" t="s">
        <v>371</v>
      </c>
      <c r="M120" s="118" t="s">
        <v>2274</v>
      </c>
      <c r="N120" s="118" t="s">
        <v>2273</v>
      </c>
      <c r="O120" s="118" t="s">
        <v>2272</v>
      </c>
      <c r="P120" s="118"/>
      <c r="Q120" s="118" t="s">
        <v>2271</v>
      </c>
      <c r="R120" s="118"/>
      <c r="S120" s="118"/>
      <c r="T120" s="118"/>
      <c r="U120" s="118"/>
      <c r="V120" s="118"/>
      <c r="W120" s="118" t="s">
        <v>2270</v>
      </c>
      <c r="X120" s="118" t="s">
        <v>2269</v>
      </c>
      <c r="Y120" s="118"/>
      <c r="Z120" s="118"/>
      <c r="AA120" s="118"/>
      <c r="AB120" s="118"/>
      <c r="AC120" s="118"/>
      <c r="AD120" s="116" t="str">
        <f t="array" ref="AD120">IF(ISBLANK(AA120),,AA120&amp;("/"))&amp;IF(ISBLANK(Z120),,Z120&amp;("/"))&amp;IF(ISBLANK(Y120),,Y120&amp;("/"))&amp;IF(ISBLANK(X120),,X120&amp;("/"))&amp;IF(ISBLANK(W120),,W120&amp;("/"))&amp;IF(ISBLANK(V120),,V120&amp;("/"))&amp;IF(ISBLANK(U120),,U120&amp;("/"))&amp;IF(ISBLANK(T120),,T120&amp;("/"))&amp;IF(ISBLANK(S120),,S120&amp;("/"))&amp;IF(ISBLANK(R120),,R120&amp;("/"))&amp;IF(ISBLANK(Q120),,Q120&amp;("/"))&amp;IF(ISBLANK(P120),,P120&amp;("/"))&amp;IF(ISBLANK(O120),,O120&amp;("/"))&amp;IF(ISBLANK(N120),,N120&amp;("/"))&amp;IF(G120="-",M120,M120&amp;("_")&amp;MID(G120,1,1))</f>
        <v>I2C9_SDA_M0/SPI0_MISO_M2/SAI3_LRCK_M0/FSPI0_D6/EMMC_D6/GPIO1_A6_u</v>
      </c>
      <c r="AE120" s="115" t="str">
        <f t="shared" si="14"/>
        <v>y</v>
      </c>
      <c r="AF120" s="115" t="str">
        <f t="shared" si="0"/>
        <v/>
      </c>
      <c r="AG120" s="115" t="str">
        <f t="shared" si="1"/>
        <v/>
      </c>
      <c r="AH120" s="115" t="str">
        <f t="shared" si="2"/>
        <v/>
      </c>
      <c r="AI120" s="115" t="str">
        <f t="shared" si="3"/>
        <v/>
      </c>
      <c r="AJ120" s="115" t="str">
        <f t="shared" si="4"/>
        <v/>
      </c>
      <c r="AK120" s="115" t="str">
        <f t="shared" si="5"/>
        <v/>
      </c>
      <c r="AL120" s="115" t="str">
        <f t="shared" si="6"/>
        <v/>
      </c>
      <c r="AM120" s="115" t="str">
        <f t="shared" si="7"/>
        <v/>
      </c>
      <c r="AN120" s="115" t="str">
        <f t="shared" si="8"/>
        <v/>
      </c>
      <c r="AO120" s="115" t="str">
        <f t="shared" si="9"/>
        <v/>
      </c>
      <c r="AP120" s="115" t="str">
        <f t="shared" si="10"/>
        <v/>
      </c>
      <c r="AQ120" s="115" t="str">
        <f t="shared" si="11"/>
        <v/>
      </c>
      <c r="AR120" s="115" t="str">
        <f t="shared" si="12"/>
        <v/>
      </c>
      <c r="AS120" s="115" t="str">
        <f t="shared" si="13"/>
        <v/>
      </c>
    </row>
    <row r="121" spans="1:45" ht="14.25" customHeight="1" outlineLevel="1">
      <c r="A121" s="138" t="s">
        <v>2268</v>
      </c>
      <c r="B121" s="139" t="s">
        <v>2267</v>
      </c>
      <c r="C121" s="118"/>
      <c r="D121" s="119" t="s">
        <v>753</v>
      </c>
      <c r="E121" s="119" t="s">
        <v>1124</v>
      </c>
      <c r="F121" s="119" t="s">
        <v>1123</v>
      </c>
      <c r="G121" s="119" t="s">
        <v>1774</v>
      </c>
      <c r="H121" s="119" t="s">
        <v>2091</v>
      </c>
      <c r="I121" s="119" t="s">
        <v>1120</v>
      </c>
      <c r="J121" s="119">
        <v>40</v>
      </c>
      <c r="K121" s="119" t="s">
        <v>371</v>
      </c>
      <c r="L121" s="119" t="s">
        <v>371</v>
      </c>
      <c r="M121" s="118" t="s">
        <v>2266</v>
      </c>
      <c r="N121" s="118" t="s">
        <v>2265</v>
      </c>
      <c r="O121" s="118" t="s">
        <v>2264</v>
      </c>
      <c r="P121" s="118"/>
      <c r="Q121" s="118" t="s">
        <v>2263</v>
      </c>
      <c r="R121" s="118" t="s">
        <v>2262</v>
      </c>
      <c r="S121" s="118"/>
      <c r="T121" s="118"/>
      <c r="U121" s="118"/>
      <c r="V121" s="118"/>
      <c r="W121" s="118" t="s">
        <v>2261</v>
      </c>
      <c r="X121" s="118"/>
      <c r="Y121" s="118"/>
      <c r="Z121" s="118"/>
      <c r="AA121" s="118"/>
      <c r="AB121" s="118"/>
      <c r="AC121" s="118"/>
      <c r="AD121" s="116" t="str">
        <f t="array" ref="AD121">IF(ISBLANK(AA121),,AA121&amp;("/"))&amp;IF(ISBLANK(Z121),,Z121&amp;("/"))&amp;IF(ISBLANK(Y121),,Y121&amp;("/"))&amp;IF(ISBLANK(X121),,X121&amp;("/"))&amp;IF(ISBLANK(W121),,W121&amp;("/"))&amp;IF(ISBLANK(V121),,V121&amp;("/"))&amp;IF(ISBLANK(U121),,U121&amp;("/"))&amp;IF(ISBLANK(T121),,T121&amp;("/"))&amp;IF(ISBLANK(S121),,S121&amp;("/"))&amp;IF(ISBLANK(R121),,R121&amp;("/"))&amp;IF(ISBLANK(Q121),,Q121&amp;("/"))&amp;IF(ISBLANK(P121),,P121&amp;("/"))&amp;IF(ISBLANK(O121),,O121&amp;("/"))&amp;IF(ISBLANK(N121),,N121&amp;("/"))&amp;IF(G121="-",M121,M121&amp;("_")&amp;MID(G121,1,1))</f>
        <v>SPI0_CLK_M2/SAI4_SDO0_M0/SAI3_SDI_M0/FSPI0_D7/EMMC_D7/GPIO1_A7_u</v>
      </c>
      <c r="AE121" s="115" t="str">
        <f t="shared" si="14"/>
        <v>y</v>
      </c>
      <c r="AF121" s="115" t="str">
        <f t="shared" si="0"/>
        <v/>
      </c>
      <c r="AG121" s="115" t="str">
        <f t="shared" si="1"/>
        <v/>
      </c>
      <c r="AH121" s="115" t="str">
        <f t="shared" si="2"/>
        <v/>
      </c>
      <c r="AI121" s="115" t="str">
        <f t="shared" si="3"/>
        <v/>
      </c>
      <c r="AJ121" s="115" t="str">
        <f t="shared" si="4"/>
        <v/>
      </c>
      <c r="AK121" s="115" t="str">
        <f t="shared" si="5"/>
        <v/>
      </c>
      <c r="AL121" s="115" t="str">
        <f t="shared" si="6"/>
        <v/>
      </c>
      <c r="AM121" s="115" t="str">
        <f t="shared" si="7"/>
        <v/>
      </c>
      <c r="AN121" s="115" t="str">
        <f t="shared" si="8"/>
        <v/>
      </c>
      <c r="AO121" s="115" t="str">
        <f t="shared" si="9"/>
        <v/>
      </c>
      <c r="AP121" s="115" t="str">
        <f t="shared" si="10"/>
        <v/>
      </c>
      <c r="AQ121" s="115" t="str">
        <f t="shared" si="11"/>
        <v/>
      </c>
      <c r="AR121" s="115" t="str">
        <f t="shared" si="12"/>
        <v/>
      </c>
      <c r="AS121" s="115" t="str">
        <f t="shared" si="13"/>
        <v/>
      </c>
    </row>
    <row r="122" spans="1:45" ht="14.25" customHeight="1" outlineLevel="1">
      <c r="A122" s="138" t="s">
        <v>2260</v>
      </c>
      <c r="B122" s="139" t="s">
        <v>2259</v>
      </c>
      <c r="C122" s="118"/>
      <c r="D122" s="119" t="s">
        <v>753</v>
      </c>
      <c r="E122" s="119" t="s">
        <v>1124</v>
      </c>
      <c r="F122" s="119" t="s">
        <v>1123</v>
      </c>
      <c r="G122" s="119" t="s">
        <v>1774</v>
      </c>
      <c r="H122" s="119" t="s">
        <v>2091</v>
      </c>
      <c r="I122" s="119" t="s">
        <v>1120</v>
      </c>
      <c r="J122" s="119">
        <v>40</v>
      </c>
      <c r="K122" s="119" t="s">
        <v>371</v>
      </c>
      <c r="L122" s="119" t="s">
        <v>371</v>
      </c>
      <c r="M122" s="118" t="s">
        <v>2258</v>
      </c>
      <c r="N122" s="118" t="s">
        <v>2257</v>
      </c>
      <c r="O122" s="118" t="s">
        <v>2256</v>
      </c>
      <c r="P122" s="118"/>
      <c r="Q122" s="118" t="s">
        <v>2255</v>
      </c>
      <c r="R122" s="118"/>
      <c r="S122" s="118"/>
      <c r="T122" s="118"/>
      <c r="U122" s="118"/>
      <c r="V122" s="118" t="s">
        <v>2254</v>
      </c>
      <c r="W122" s="118"/>
      <c r="X122" s="118" t="s">
        <v>2253</v>
      </c>
      <c r="Y122" s="118"/>
      <c r="Z122" s="118"/>
      <c r="AA122" s="118"/>
      <c r="AB122" s="118"/>
      <c r="AC122" s="118"/>
      <c r="AD122" s="116" t="str">
        <f t="array" ref="AD122">IF(ISBLANK(AA122),,AA122&amp;("/"))&amp;IF(ISBLANK(Z122),,Z122&amp;("/"))&amp;IF(ISBLANK(Y122),,Y122&amp;("/"))&amp;IF(ISBLANK(X122),,X122&amp;("/"))&amp;IF(ISBLANK(W122),,W122&amp;("/"))&amp;IF(ISBLANK(V122),,V122&amp;("/"))&amp;IF(ISBLANK(U122),,U122&amp;("/"))&amp;IF(ISBLANK(T122),,T122&amp;("/"))&amp;IF(ISBLANK(S122),,S122&amp;("/"))&amp;IF(ISBLANK(R122),,R122&amp;("/"))&amp;IF(ISBLANK(Q122),,Q122&amp;("/"))&amp;IF(ISBLANK(P122),,P122&amp;("/"))&amp;IF(ISBLANK(O122),,O122&amp;("/"))&amp;IF(ISBLANK(N122),,N122&amp;("/"))&amp;IF(G122="-",M122,M122&amp;("_")&amp;MID(G122,1,1))</f>
        <v>I2C7_SCL_M0/UART6_TX_M2/FSPI0_RST/FSPI0_CSN1/EMMC_CMD/GPIO1_B0_u</v>
      </c>
      <c r="AE122" s="115" t="str">
        <f t="shared" si="14"/>
        <v>y</v>
      </c>
      <c r="AF122" s="115" t="str">
        <f t="shared" si="0"/>
        <v/>
      </c>
      <c r="AG122" s="115" t="str">
        <f t="shared" si="1"/>
        <v/>
      </c>
      <c r="AH122" s="115" t="str">
        <f t="shared" si="2"/>
        <v/>
      </c>
      <c r="AI122" s="115" t="str">
        <f t="shared" si="3"/>
        <v/>
      </c>
      <c r="AJ122" s="115" t="str">
        <f t="shared" si="4"/>
        <v/>
      </c>
      <c r="AK122" s="115" t="str">
        <f t="shared" si="5"/>
        <v/>
      </c>
      <c r="AL122" s="115" t="str">
        <f t="shared" si="6"/>
        <v/>
      </c>
      <c r="AM122" s="115" t="str">
        <f t="shared" si="7"/>
        <v/>
      </c>
      <c r="AN122" s="115" t="str">
        <f t="shared" si="8"/>
        <v/>
      </c>
      <c r="AO122" s="115" t="str">
        <f t="shared" si="9"/>
        <v/>
      </c>
      <c r="AP122" s="115" t="str">
        <f t="shared" si="10"/>
        <v/>
      </c>
      <c r="AQ122" s="115" t="str">
        <f t="shared" si="11"/>
        <v/>
      </c>
      <c r="AR122" s="115" t="str">
        <f t="shared" si="12"/>
        <v/>
      </c>
      <c r="AS122" s="115" t="str">
        <f t="shared" si="13"/>
        <v/>
      </c>
    </row>
    <row r="123" spans="1:45" ht="28.5" customHeight="1" outlineLevel="1">
      <c r="A123" s="138" t="s">
        <v>2252</v>
      </c>
      <c r="B123" s="139" t="s">
        <v>2251</v>
      </c>
      <c r="C123" s="118"/>
      <c r="D123" s="119" t="s">
        <v>753</v>
      </c>
      <c r="E123" s="119" t="s">
        <v>1124</v>
      </c>
      <c r="F123" s="119" t="s">
        <v>1123</v>
      </c>
      <c r="G123" s="119" t="s">
        <v>1122</v>
      </c>
      <c r="H123" s="119" t="s">
        <v>2091</v>
      </c>
      <c r="I123" s="119" t="s">
        <v>1120</v>
      </c>
      <c r="J123" s="119">
        <v>40</v>
      </c>
      <c r="K123" s="119" t="s">
        <v>371</v>
      </c>
      <c r="L123" s="119" t="s">
        <v>371</v>
      </c>
      <c r="M123" s="118" t="s">
        <v>2250</v>
      </c>
      <c r="N123" s="118" t="s">
        <v>2249</v>
      </c>
      <c r="O123" s="118" t="s">
        <v>2248</v>
      </c>
      <c r="P123" s="118"/>
      <c r="Q123" s="118" t="s">
        <v>2247</v>
      </c>
      <c r="R123" s="118" t="s">
        <v>2246</v>
      </c>
      <c r="S123" s="118"/>
      <c r="T123" s="118"/>
      <c r="U123" s="118"/>
      <c r="V123" s="118"/>
      <c r="W123" s="118" t="s">
        <v>2245</v>
      </c>
      <c r="X123" s="118"/>
      <c r="Y123" s="118"/>
      <c r="Z123" s="118"/>
      <c r="AA123" s="118"/>
      <c r="AB123" s="118"/>
      <c r="AC123" s="118"/>
      <c r="AD123" s="116" t="str">
        <f t="array" ref="AD123">IF(ISBLANK(AA123),,AA123&amp;("/"))&amp;IF(ISBLANK(Z123),,Z123&amp;("/"))&amp;IF(ISBLANK(Y123),,Y123&amp;("/"))&amp;IF(ISBLANK(X123),,X123&amp;("/"))&amp;IF(ISBLANK(W123),,W123&amp;("/"))&amp;IF(ISBLANK(V123),,V123&amp;("/"))&amp;IF(ISBLANK(U123),,U123&amp;("/"))&amp;IF(ISBLANK(T123),,T123&amp;("/"))&amp;IF(ISBLANK(S123),,S123&amp;("/"))&amp;IF(ISBLANK(R123),,R123&amp;("/"))&amp;IF(ISBLANK(Q123),,Q123&amp;("/"))&amp;IF(ISBLANK(P123),,P123&amp;("/"))&amp;IF(ISBLANK(O123),,O123&amp;("/"))&amp;IF(ISBLANK(N123),,N123&amp;("/"))&amp;IF(G123="-",M123,M123&amp;("_")&amp;MID(G123,1,1))</f>
        <v>PWM2_CH7_M1/SAI4_SDO3_M0/SAI4_SDI1_M0/FSPI0_CLK/EMMC_CLK/GPIO1_B1_d</v>
      </c>
      <c r="AE123" s="115" t="str">
        <f t="shared" si="14"/>
        <v>y</v>
      </c>
      <c r="AF123" s="115" t="str">
        <f t="shared" si="0"/>
        <v/>
      </c>
      <c r="AG123" s="115" t="str">
        <f t="shared" si="1"/>
        <v/>
      </c>
      <c r="AH123" s="115" t="str">
        <f t="shared" si="2"/>
        <v/>
      </c>
      <c r="AI123" s="115" t="str">
        <f t="shared" si="3"/>
        <v/>
      </c>
      <c r="AJ123" s="115" t="str">
        <f t="shared" si="4"/>
        <v/>
      </c>
      <c r="AK123" s="115" t="str">
        <f t="shared" si="5"/>
        <v/>
      </c>
      <c r="AL123" s="115" t="str">
        <f t="shared" si="6"/>
        <v/>
      </c>
      <c r="AM123" s="115" t="str">
        <f t="shared" si="7"/>
        <v/>
      </c>
      <c r="AN123" s="115" t="str">
        <f t="shared" si="8"/>
        <v/>
      </c>
      <c r="AO123" s="115" t="str">
        <f t="shared" si="9"/>
        <v/>
      </c>
      <c r="AP123" s="115" t="str">
        <f t="shared" si="10"/>
        <v/>
      </c>
      <c r="AQ123" s="115" t="str">
        <f t="shared" si="11"/>
        <v/>
      </c>
      <c r="AR123" s="115" t="str">
        <f t="shared" si="12"/>
        <v/>
      </c>
      <c r="AS123" s="115" t="str">
        <f t="shared" si="13"/>
        <v/>
      </c>
    </row>
    <row r="124" spans="1:45" ht="28.5" customHeight="1" outlineLevel="1">
      <c r="A124" s="138" t="s">
        <v>2244</v>
      </c>
      <c r="B124" s="139" t="s">
        <v>2243</v>
      </c>
      <c r="C124" s="118"/>
      <c r="D124" s="119" t="s">
        <v>753</v>
      </c>
      <c r="E124" s="119" t="s">
        <v>1124</v>
      </c>
      <c r="F124" s="119" t="s">
        <v>1123</v>
      </c>
      <c r="G124" s="119" t="s">
        <v>1122</v>
      </c>
      <c r="H124" s="119" t="s">
        <v>2091</v>
      </c>
      <c r="I124" s="119" t="s">
        <v>1120</v>
      </c>
      <c r="J124" s="119">
        <v>40</v>
      </c>
      <c r="K124" s="119" t="s">
        <v>371</v>
      </c>
      <c r="L124" s="119" t="s">
        <v>371</v>
      </c>
      <c r="M124" s="118" t="s">
        <v>2242</v>
      </c>
      <c r="N124" s="118" t="s">
        <v>2241</v>
      </c>
      <c r="O124" s="118" t="s">
        <v>2240</v>
      </c>
      <c r="P124" s="118"/>
      <c r="Q124" s="118" t="s">
        <v>2239</v>
      </c>
      <c r="R124" s="118" t="s">
        <v>2238</v>
      </c>
      <c r="S124" s="118"/>
      <c r="T124" s="118"/>
      <c r="U124" s="118"/>
      <c r="V124" s="118"/>
      <c r="W124" s="118" t="s">
        <v>2237</v>
      </c>
      <c r="X124" s="118"/>
      <c r="Y124" s="118"/>
      <c r="Z124" s="118"/>
      <c r="AA124" s="118"/>
      <c r="AB124" s="118"/>
      <c r="AC124" s="118"/>
      <c r="AD124" s="116" t="str">
        <f t="array" ref="AD124">IF(ISBLANK(AA124),,AA124&amp;("/"))&amp;IF(ISBLANK(Z124),,Z124&amp;("/"))&amp;IF(ISBLANK(Y124),,Y124&amp;("/"))&amp;IF(ISBLANK(X124),,X124&amp;("/"))&amp;IF(ISBLANK(W124),,W124&amp;("/"))&amp;IF(ISBLANK(V124),,V124&amp;("/"))&amp;IF(ISBLANK(U124),,U124&amp;("/"))&amp;IF(ISBLANK(T124),,T124&amp;("/"))&amp;IF(ISBLANK(S124),,S124&amp;("/"))&amp;IF(ISBLANK(R124),,R124&amp;("/"))&amp;IF(ISBLANK(Q124),,Q124&amp;("/"))&amp;IF(ISBLANK(P124),,P124&amp;("/"))&amp;IF(ISBLANK(O124),,O124&amp;("/"))&amp;IF(ISBLANK(N124),,N124&amp;("/"))&amp;IF(G124="-",M124,M124&amp;("_")&amp;MID(G124,1,1))</f>
        <v>SPI0_CSN1_M2/SAI4_SDI0_M0/SAI3_SDO_M0/FSPI0_DQS/EMMC_STRB/GPIO1_B2_d</v>
      </c>
      <c r="AE124" s="115" t="str">
        <f t="shared" si="14"/>
        <v>y</v>
      </c>
      <c r="AF124" s="115" t="str">
        <f t="shared" si="0"/>
        <v/>
      </c>
      <c r="AG124" s="115" t="str">
        <f t="shared" si="1"/>
        <v/>
      </c>
      <c r="AH124" s="115" t="str">
        <f t="shared" si="2"/>
        <v/>
      </c>
      <c r="AI124" s="115" t="str">
        <f t="shared" si="3"/>
        <v/>
      </c>
      <c r="AJ124" s="115" t="str">
        <f t="shared" si="4"/>
        <v/>
      </c>
      <c r="AK124" s="115" t="str">
        <f t="shared" si="5"/>
        <v/>
      </c>
      <c r="AL124" s="115" t="str">
        <f t="shared" si="6"/>
        <v/>
      </c>
      <c r="AM124" s="115" t="str">
        <f t="shared" si="7"/>
        <v/>
      </c>
      <c r="AN124" s="115" t="str">
        <f t="shared" si="8"/>
        <v/>
      </c>
      <c r="AO124" s="115" t="str">
        <f t="shared" si="9"/>
        <v/>
      </c>
      <c r="AP124" s="115" t="str">
        <f t="shared" si="10"/>
        <v/>
      </c>
      <c r="AQ124" s="115" t="str">
        <f t="shared" si="11"/>
        <v/>
      </c>
      <c r="AR124" s="115" t="str">
        <f t="shared" si="12"/>
        <v/>
      </c>
      <c r="AS124" s="115" t="str">
        <f t="shared" si="13"/>
        <v/>
      </c>
    </row>
    <row r="125" spans="1:45" ht="28.5" customHeight="1" outlineLevel="1">
      <c r="A125" s="138" t="s">
        <v>2236</v>
      </c>
      <c r="B125" s="139" t="s">
        <v>2235</v>
      </c>
      <c r="C125" s="118"/>
      <c r="D125" s="119" t="s">
        <v>753</v>
      </c>
      <c r="E125" s="119" t="s">
        <v>1124</v>
      </c>
      <c r="F125" s="119" t="s">
        <v>1123</v>
      </c>
      <c r="G125" s="119" t="s">
        <v>1774</v>
      </c>
      <c r="H125" s="119" t="s">
        <v>2091</v>
      </c>
      <c r="I125" s="119" t="s">
        <v>1120</v>
      </c>
      <c r="J125" s="119">
        <v>40</v>
      </c>
      <c r="K125" s="119" t="s">
        <v>371</v>
      </c>
      <c r="L125" s="119" t="s">
        <v>371</v>
      </c>
      <c r="M125" s="118" t="s">
        <v>2234</v>
      </c>
      <c r="N125" s="118" t="s">
        <v>2233</v>
      </c>
      <c r="O125" s="118" t="s">
        <v>2232</v>
      </c>
      <c r="P125" s="118"/>
      <c r="Q125" s="118"/>
      <c r="R125" s="118" t="s">
        <v>2231</v>
      </c>
      <c r="S125" s="118"/>
      <c r="T125" s="118"/>
      <c r="U125" s="118"/>
      <c r="V125" s="118" t="s">
        <v>2230</v>
      </c>
      <c r="W125" s="118" t="s">
        <v>2229</v>
      </c>
      <c r="X125" s="118" t="s">
        <v>2228</v>
      </c>
      <c r="Y125" s="118"/>
      <c r="Z125" s="118"/>
      <c r="AA125" s="118"/>
      <c r="AB125" s="118"/>
      <c r="AC125" s="118"/>
      <c r="AD125" s="116" t="str">
        <f t="array" ref="AD125">IF(ISBLANK(AA125),,AA125&amp;("/"))&amp;IF(ISBLANK(Z125),,Z125&amp;("/"))&amp;IF(ISBLANK(Y125),,Y125&amp;("/"))&amp;IF(ISBLANK(X125),,X125&amp;("/"))&amp;IF(ISBLANK(W125),,W125&amp;("/"))&amp;IF(ISBLANK(V125),,V125&amp;("/"))&amp;IF(ISBLANK(U125),,U125&amp;("/"))&amp;IF(ISBLANK(T125),,T125&amp;("/"))&amp;IF(ISBLANK(S125),,S125&amp;("/"))&amp;IF(ISBLANK(R125),,R125&amp;("/"))&amp;IF(ISBLANK(Q125),,Q125&amp;("/"))&amp;IF(ISBLANK(P125),,P125&amp;("/"))&amp;IF(ISBLANK(O125),,O125&amp;("/"))&amp;IF(ISBLANK(N125),,N125&amp;("/"))&amp;IF(G125="-",M125,M125&amp;("_")&amp;MID(G125,1,1))</f>
        <v>I2C7_SDA_M0/PWM2_CH1_M0/UART6_RX_M2/MIPI_TE_M3/FSPI0_CSN0/EMMC_RSTN/GPIO1_B3_u</v>
      </c>
      <c r="AE125" s="115" t="str">
        <f t="shared" si="14"/>
        <v>y</v>
      </c>
      <c r="AF125" s="115" t="str">
        <f t="shared" si="0"/>
        <v/>
      </c>
      <c r="AG125" s="115" t="str">
        <f t="shared" si="1"/>
        <v/>
      </c>
      <c r="AH125" s="115" t="str">
        <f t="shared" si="2"/>
        <v/>
      </c>
      <c r="AI125" s="115" t="str">
        <f t="shared" si="3"/>
        <v/>
      </c>
      <c r="AJ125" s="115" t="str">
        <f t="shared" si="4"/>
        <v/>
      </c>
      <c r="AK125" s="115" t="str">
        <f t="shared" si="5"/>
        <v/>
      </c>
      <c r="AL125" s="115" t="str">
        <f t="shared" si="6"/>
        <v/>
      </c>
      <c r="AM125" s="115" t="str">
        <f t="shared" si="7"/>
        <v/>
      </c>
      <c r="AN125" s="115" t="str">
        <f t="shared" si="8"/>
        <v/>
      </c>
      <c r="AO125" s="115" t="str">
        <f t="shared" si="9"/>
        <v/>
      </c>
      <c r="AP125" s="115" t="str">
        <f t="shared" si="10"/>
        <v/>
      </c>
      <c r="AQ125" s="115" t="str">
        <f t="shared" si="11"/>
        <v/>
      </c>
      <c r="AR125" s="115" t="str">
        <f t="shared" si="12"/>
        <v/>
      </c>
      <c r="AS125" s="115" t="str">
        <f t="shared" si="13"/>
        <v/>
      </c>
    </row>
    <row r="126" spans="1:45" ht="18" customHeight="1" outlineLevel="1">
      <c r="A126" s="120" t="s">
        <v>2227</v>
      </c>
      <c r="B126" s="126" t="s">
        <v>273</v>
      </c>
      <c r="C126" s="167"/>
      <c r="D126" s="120" t="s">
        <v>932</v>
      </c>
      <c r="E126" s="120" t="s">
        <v>1524</v>
      </c>
      <c r="F126" s="120" t="s">
        <v>753</v>
      </c>
      <c r="G126" s="120" t="s">
        <v>753</v>
      </c>
      <c r="H126" s="120" t="s">
        <v>753</v>
      </c>
      <c r="I126" s="120" t="s">
        <v>753</v>
      </c>
      <c r="J126" s="120" t="s">
        <v>753</v>
      </c>
      <c r="K126" s="120" t="s">
        <v>753</v>
      </c>
      <c r="L126" s="120" t="s">
        <v>753</v>
      </c>
      <c r="M126" s="126"/>
      <c r="N126" s="126"/>
      <c r="O126" s="126"/>
      <c r="P126" s="126"/>
      <c r="Q126" s="126"/>
      <c r="R126" s="126"/>
      <c r="S126" s="126"/>
      <c r="T126" s="126"/>
      <c r="U126" s="126"/>
      <c r="V126" s="126"/>
      <c r="W126" s="126"/>
      <c r="X126" s="126"/>
      <c r="Y126" s="126"/>
      <c r="Z126" s="126"/>
      <c r="AA126" s="126"/>
      <c r="AB126" s="126"/>
      <c r="AC126" s="126"/>
      <c r="AD126" s="116" t="str">
        <f t="array" ref="AD126">IF(ISBLANK(AA126),,AA126&amp;("/"))&amp;IF(ISBLANK(Z126),,Z126&amp;("/"))&amp;IF(ISBLANK(Y126),,Y126&amp;("/"))&amp;IF(ISBLANK(X126),,X126&amp;("/"))&amp;IF(ISBLANK(W126),,W126&amp;("/"))&amp;IF(ISBLANK(V126),,V126&amp;("/"))&amp;IF(ISBLANK(U126),,U126&amp;("/"))&amp;IF(ISBLANK(T126),,T126&amp;("/"))&amp;IF(ISBLANK(S126),,S126&amp;("/"))&amp;IF(ISBLANK(R126),,R126&amp;("/"))&amp;IF(ISBLANK(Q126),,Q126&amp;("/"))&amp;IF(ISBLANK(P126),,P126&amp;("/"))&amp;IF(ISBLANK(O126),,O126&amp;("/"))&amp;IF(ISBLANK(N126),,N126&amp;("/"))&amp;IF(G126="-",M126,M126&amp;("_")&amp;MID(G126,1,1))</f>
        <v/>
      </c>
      <c r="AF126" s="115" t="str">
        <f t="shared" si="0"/>
        <v/>
      </c>
      <c r="AG126" s="115" t="str">
        <f t="shared" si="1"/>
        <v/>
      </c>
      <c r="AH126" s="115" t="str">
        <f t="shared" si="2"/>
        <v/>
      </c>
      <c r="AI126" s="115" t="str">
        <f t="shared" si="3"/>
        <v/>
      </c>
      <c r="AJ126" s="115" t="str">
        <f t="shared" si="4"/>
        <v/>
      </c>
      <c r="AK126" s="115" t="str">
        <f t="shared" si="5"/>
        <v/>
      </c>
      <c r="AL126" s="115" t="str">
        <f t="shared" si="6"/>
        <v/>
      </c>
      <c r="AM126" s="115" t="str">
        <f t="shared" si="7"/>
        <v/>
      </c>
      <c r="AN126" s="115" t="str">
        <f t="shared" si="8"/>
        <v/>
      </c>
      <c r="AO126" s="115" t="str">
        <f t="shared" si="9"/>
        <v/>
      </c>
      <c r="AP126" s="115" t="str">
        <f t="shared" si="10"/>
        <v/>
      </c>
      <c r="AQ126" s="115" t="str">
        <f t="shared" si="11"/>
        <v/>
      </c>
      <c r="AR126" s="115" t="str">
        <f t="shared" si="12"/>
        <v/>
      </c>
      <c r="AS126" s="115" t="str">
        <f t="shared" si="13"/>
        <v/>
      </c>
    </row>
    <row r="127" spans="1:45">
      <c r="A127" s="131" t="s">
        <v>2226</v>
      </c>
      <c r="B127" s="130"/>
      <c r="C127" s="136"/>
      <c r="D127" s="129"/>
      <c r="E127" s="129"/>
      <c r="F127" s="129"/>
      <c r="G127" s="129"/>
      <c r="H127" s="129"/>
      <c r="I127" s="129"/>
      <c r="J127" s="129"/>
      <c r="K127" s="129"/>
      <c r="L127" s="129"/>
      <c r="M127" s="136"/>
      <c r="N127" s="136"/>
      <c r="O127" s="136"/>
      <c r="P127" s="136"/>
      <c r="Q127" s="136"/>
      <c r="R127" s="136"/>
      <c r="S127" s="136"/>
      <c r="T127" s="136"/>
      <c r="U127" s="136"/>
      <c r="V127" s="136"/>
      <c r="W127" s="136"/>
      <c r="X127" s="136"/>
      <c r="Y127" s="136"/>
      <c r="Z127" s="136"/>
      <c r="AA127" s="136"/>
      <c r="AB127" s="136"/>
      <c r="AC127" s="136"/>
      <c r="AD127" s="116" t="str">
        <f t="array" ref="AD127">IF(ISBLANK(AA127),,AA127&amp;("/"))&amp;IF(ISBLANK(Z127),,Z127&amp;("/"))&amp;IF(ISBLANK(Y127),,Y127&amp;("/"))&amp;IF(ISBLANK(X127),,X127&amp;("/"))&amp;IF(ISBLANK(W127),,W127&amp;("/"))&amp;IF(ISBLANK(V127),,V127&amp;("/"))&amp;IF(ISBLANK(U127),,U127&amp;("/"))&amp;IF(ISBLANK(T127),,T127&amp;("/"))&amp;IF(ISBLANK(S127),,S127&amp;("/"))&amp;IF(ISBLANK(R127),,R127&amp;("/"))&amp;IF(ISBLANK(Q127),,Q127&amp;("/"))&amp;IF(ISBLANK(P127),,P127&amp;("/"))&amp;IF(ISBLANK(O127),,O127&amp;("/"))&amp;IF(ISBLANK(N127),,N127&amp;("/"))&amp;IF(G127="-",M127,M127&amp;("_")&amp;MID(G127,1,1))</f>
        <v>_</v>
      </c>
      <c r="AF127" s="115" t="str">
        <f t="shared" si="0"/>
        <v/>
      </c>
      <c r="AG127" s="115" t="str">
        <f t="shared" si="1"/>
        <v/>
      </c>
      <c r="AH127" s="115" t="str">
        <f t="shared" si="2"/>
        <v/>
      </c>
      <c r="AI127" s="115" t="str">
        <f t="shared" si="3"/>
        <v/>
      </c>
      <c r="AJ127" s="115" t="str">
        <f t="shared" si="4"/>
        <v/>
      </c>
      <c r="AK127" s="115" t="str">
        <f t="shared" si="5"/>
        <v/>
      </c>
      <c r="AL127" s="115" t="str">
        <f t="shared" si="6"/>
        <v/>
      </c>
      <c r="AM127" s="115" t="str">
        <f t="shared" si="7"/>
        <v/>
      </c>
      <c r="AN127" s="115" t="str">
        <f t="shared" si="8"/>
        <v/>
      </c>
      <c r="AO127" s="115" t="str">
        <f t="shared" si="9"/>
        <v/>
      </c>
      <c r="AP127" s="115" t="str">
        <f t="shared" si="10"/>
        <v/>
      </c>
      <c r="AQ127" s="115" t="str">
        <f t="shared" si="11"/>
        <v/>
      </c>
      <c r="AR127" s="115" t="str">
        <f t="shared" si="12"/>
        <v/>
      </c>
      <c r="AS127" s="115" t="str">
        <f t="shared" si="13"/>
        <v/>
      </c>
    </row>
    <row r="128" spans="1:45" ht="28.5" customHeight="1" outlineLevel="1">
      <c r="A128" s="138" t="s">
        <v>2225</v>
      </c>
      <c r="B128" s="139" t="s">
        <v>2224</v>
      </c>
      <c r="C128" s="118"/>
      <c r="D128" s="119" t="s">
        <v>753</v>
      </c>
      <c r="E128" s="119" t="s">
        <v>1124</v>
      </c>
      <c r="F128" s="119" t="s">
        <v>1123</v>
      </c>
      <c r="G128" s="119" t="s">
        <v>1122</v>
      </c>
      <c r="H128" s="119" t="s">
        <v>1121</v>
      </c>
      <c r="I128" s="119" t="s">
        <v>1120</v>
      </c>
      <c r="J128" s="119">
        <v>40</v>
      </c>
      <c r="K128" s="119" t="s">
        <v>371</v>
      </c>
      <c r="L128" s="119" t="s">
        <v>371</v>
      </c>
      <c r="M128" s="118" t="s">
        <v>2223</v>
      </c>
      <c r="N128" s="118" t="s">
        <v>2222</v>
      </c>
      <c r="O128" s="118" t="s">
        <v>2221</v>
      </c>
      <c r="P128" s="118" t="s">
        <v>2220</v>
      </c>
      <c r="Q128" s="118"/>
      <c r="R128" s="118" t="s">
        <v>2219</v>
      </c>
      <c r="S128" s="118"/>
      <c r="T128" s="118"/>
      <c r="U128" s="118"/>
      <c r="V128" s="118" t="s">
        <v>2218</v>
      </c>
      <c r="W128" s="118" t="s">
        <v>2217</v>
      </c>
      <c r="X128" s="118" t="s">
        <v>2216</v>
      </c>
      <c r="Y128" s="118" t="s">
        <v>2215</v>
      </c>
      <c r="Z128" s="118" t="s">
        <v>2214</v>
      </c>
      <c r="AA128" s="118"/>
      <c r="AB128" s="118"/>
      <c r="AC128" s="118"/>
      <c r="AD128" s="116" t="str">
        <f t="array" ref="AD128">IF(ISBLANK(AA128),,AA128&amp;("/"))&amp;IF(ISBLANK(Z128),,Z128&amp;("/"))&amp;IF(ISBLANK(Y128),,Y128&amp;("/"))&amp;IF(ISBLANK(X128),,X128&amp;("/"))&amp;IF(ISBLANK(W128),,W128&amp;("/"))&amp;IF(ISBLANK(V128),,V128&amp;("/"))&amp;IF(ISBLANK(U128),,U128&amp;("/"))&amp;IF(ISBLANK(T128),,T128&amp;("/"))&amp;IF(ISBLANK(S128),,S128&amp;("/"))&amp;IF(ISBLANK(R128),,R128&amp;("/"))&amp;IF(ISBLANK(Q128),,Q128&amp;("/"))&amp;IF(ISBLANK(P128),,P128&amp;("/"))&amp;IF(ISBLANK(O128),,O128&amp;("/"))&amp;IF(ISBLANK(N128),,N128&amp;("/"))&amp;IF(G128="-",M128,M128&amp;("_")&amp;MID(G128,1,1))</f>
        <v>CAN1_RX_M0/PWM2_CH2_M0/I2C8_SCL_M0/SPI0_MOSI_M1/UART0_RX_M1/UART7_RX_M2/DSM_AUD_LP_M0/SDMMC0_D0_M0/FSPI1_D0_M0/GPIO2_A0_d</v>
      </c>
      <c r="AE128" s="115" t="str">
        <f t="shared" si="14"/>
        <v>y</v>
      </c>
      <c r="AF128" s="115" t="str">
        <f t="shared" si="0"/>
        <v/>
      </c>
      <c r="AG128" s="115" t="str">
        <f t="shared" si="1"/>
        <v/>
      </c>
      <c r="AH128" s="115" t="str">
        <f t="shared" si="2"/>
        <v/>
      </c>
      <c r="AI128" s="115" t="str">
        <f t="shared" si="3"/>
        <v/>
      </c>
      <c r="AJ128" s="115" t="str">
        <f t="shared" si="4"/>
        <v/>
      </c>
      <c r="AK128" s="115" t="str">
        <f t="shared" si="5"/>
        <v/>
      </c>
      <c r="AL128" s="115" t="str">
        <f t="shared" si="6"/>
        <v/>
      </c>
      <c r="AM128" s="115" t="str">
        <f t="shared" si="7"/>
        <v/>
      </c>
      <c r="AN128" s="115" t="str">
        <f t="shared" si="8"/>
        <v/>
      </c>
      <c r="AO128" s="115" t="str">
        <f t="shared" si="9"/>
        <v/>
      </c>
      <c r="AP128" s="115" t="str">
        <f t="shared" si="10"/>
        <v/>
      </c>
      <c r="AQ128" s="115" t="str">
        <f t="shared" si="11"/>
        <v/>
      </c>
      <c r="AR128" s="115" t="str">
        <f t="shared" si="12"/>
        <v/>
      </c>
      <c r="AS128" s="115" t="str">
        <f t="shared" si="13"/>
        <v/>
      </c>
    </row>
    <row r="129" spans="1:45" ht="42.75" customHeight="1" outlineLevel="1">
      <c r="A129" s="138" t="s">
        <v>2213</v>
      </c>
      <c r="B129" s="139" t="s">
        <v>2212</v>
      </c>
      <c r="C129" s="118"/>
      <c r="D129" s="119" t="s">
        <v>753</v>
      </c>
      <c r="E129" s="119" t="s">
        <v>1124</v>
      </c>
      <c r="F129" s="119" t="s">
        <v>1123</v>
      </c>
      <c r="G129" s="119" t="s">
        <v>1122</v>
      </c>
      <c r="H129" s="119" t="s">
        <v>1121</v>
      </c>
      <c r="I129" s="119" t="s">
        <v>1120</v>
      </c>
      <c r="J129" s="119">
        <v>40</v>
      </c>
      <c r="K129" s="119" t="s">
        <v>371</v>
      </c>
      <c r="L129" s="119" t="s">
        <v>371</v>
      </c>
      <c r="M129" s="118" t="s">
        <v>2211</v>
      </c>
      <c r="N129" s="118" t="s">
        <v>2210</v>
      </c>
      <c r="O129" s="118" t="s">
        <v>2209</v>
      </c>
      <c r="P129" s="118" t="s">
        <v>2208</v>
      </c>
      <c r="Q129" s="118" t="s">
        <v>2207</v>
      </c>
      <c r="R129" s="118" t="s">
        <v>2206</v>
      </c>
      <c r="S129" s="118"/>
      <c r="T129" s="118"/>
      <c r="U129" s="118"/>
      <c r="V129" s="118" t="s">
        <v>2205</v>
      </c>
      <c r="W129" s="118" t="s">
        <v>2204</v>
      </c>
      <c r="X129" s="118" t="s">
        <v>2203</v>
      </c>
      <c r="Y129" s="118" t="s">
        <v>2202</v>
      </c>
      <c r="Z129" s="118" t="s">
        <v>2201</v>
      </c>
      <c r="AA129" s="118"/>
      <c r="AB129" s="118"/>
      <c r="AC129" s="118"/>
      <c r="AD129" s="116" t="str">
        <f t="array" ref="AD129">IF(ISBLANK(AA129),,AA129&amp;("/"))&amp;IF(ISBLANK(Z129),,Z129&amp;("/"))&amp;IF(ISBLANK(Y129),,Y129&amp;("/"))&amp;IF(ISBLANK(X129),,X129&amp;("/"))&amp;IF(ISBLANK(W129),,W129&amp;("/"))&amp;IF(ISBLANK(V129),,V129&amp;("/"))&amp;IF(ISBLANK(U129),,U129&amp;("/"))&amp;IF(ISBLANK(T129),,T129&amp;("/"))&amp;IF(ISBLANK(S129),,S129&amp;("/"))&amp;IF(ISBLANK(R129),,R129&amp;("/"))&amp;IF(ISBLANK(Q129),,Q129&amp;("/"))&amp;IF(ISBLANK(P129),,P129&amp;("/"))&amp;IF(ISBLANK(O129),,O129&amp;("/"))&amp;IF(ISBLANK(N129),,N129&amp;("/"))&amp;IF(G129="-",M129,M129&amp;("_")&amp;MID(G129,1,1))</f>
        <v>CAN1_TX_M0/PWM2_CH3_M0/I2C8_SDA_M0/SPI0_MISO_M1/UART0_TX_M1/UART7_TX_M2/SAI3_MCLK_M1/DSM_AUD_LN_M0/SDMMC0_D1_M0/FSPI1_D1_M0/GPIO2_A1_d</v>
      </c>
      <c r="AE129" s="115" t="str">
        <f t="shared" si="14"/>
        <v>y</v>
      </c>
      <c r="AF129" s="115" t="str">
        <f t="shared" si="0"/>
        <v/>
      </c>
      <c r="AG129" s="115" t="str">
        <f t="shared" si="1"/>
        <v/>
      </c>
      <c r="AH129" s="115" t="str">
        <f t="shared" si="2"/>
        <v/>
      </c>
      <c r="AI129" s="115" t="str">
        <f t="shared" si="3"/>
        <v/>
      </c>
      <c r="AJ129" s="115" t="str">
        <f t="shared" si="4"/>
        <v/>
      </c>
      <c r="AK129" s="115" t="str">
        <f t="shared" si="5"/>
        <v/>
      </c>
      <c r="AL129" s="115" t="str">
        <f t="shared" si="6"/>
        <v/>
      </c>
      <c r="AM129" s="115" t="str">
        <f t="shared" si="7"/>
        <v/>
      </c>
      <c r="AN129" s="115" t="str">
        <f t="shared" si="8"/>
        <v/>
      </c>
      <c r="AO129" s="115" t="str">
        <f t="shared" si="9"/>
        <v/>
      </c>
      <c r="AP129" s="115" t="str">
        <f t="shared" si="10"/>
        <v/>
      </c>
      <c r="AQ129" s="115" t="str">
        <f t="shared" si="11"/>
        <v/>
      </c>
      <c r="AR129" s="115" t="str">
        <f t="shared" si="12"/>
        <v/>
      </c>
      <c r="AS129" s="115" t="str">
        <f t="shared" si="13"/>
        <v/>
      </c>
    </row>
    <row r="130" spans="1:45" ht="28.5" customHeight="1" outlineLevel="1">
      <c r="A130" s="138" t="s">
        <v>2200</v>
      </c>
      <c r="B130" s="139" t="s">
        <v>2199</v>
      </c>
      <c r="C130" s="118"/>
      <c r="D130" s="119" t="s">
        <v>753</v>
      </c>
      <c r="E130" s="119" t="s">
        <v>1124</v>
      </c>
      <c r="F130" s="119" t="s">
        <v>1123</v>
      </c>
      <c r="G130" s="119" t="s">
        <v>1122</v>
      </c>
      <c r="H130" s="119" t="s">
        <v>1121</v>
      </c>
      <c r="I130" s="119" t="s">
        <v>1120</v>
      </c>
      <c r="J130" s="119">
        <v>40</v>
      </c>
      <c r="K130" s="119" t="s">
        <v>371</v>
      </c>
      <c r="L130" s="119" t="s">
        <v>371</v>
      </c>
      <c r="M130" s="118" t="s">
        <v>2198</v>
      </c>
      <c r="N130" s="118" t="s">
        <v>2197</v>
      </c>
      <c r="O130" s="118" t="s">
        <v>2196</v>
      </c>
      <c r="P130" s="118" t="s">
        <v>2195</v>
      </c>
      <c r="Q130" s="118" t="s">
        <v>2194</v>
      </c>
      <c r="R130" s="118"/>
      <c r="S130" s="118"/>
      <c r="T130" s="118"/>
      <c r="U130" s="118"/>
      <c r="V130" s="118" t="s">
        <v>2193</v>
      </c>
      <c r="W130" s="118" t="s">
        <v>2192</v>
      </c>
      <c r="X130" s="118" t="s">
        <v>2191</v>
      </c>
      <c r="Y130" s="118"/>
      <c r="Z130" s="118" t="s">
        <v>2190</v>
      </c>
      <c r="AA130" s="118"/>
      <c r="AB130" s="118"/>
      <c r="AC130" s="118"/>
      <c r="AD130" s="116" t="str">
        <f t="array" ref="AD130">IF(ISBLANK(AA130),,AA130&amp;("/"))&amp;IF(ISBLANK(Z130),,Z130&amp;("/"))&amp;IF(ISBLANK(Y130),,Y130&amp;("/"))&amp;IF(ISBLANK(X130),,X130&amp;("/"))&amp;IF(ISBLANK(W130),,W130&amp;("/"))&amp;IF(ISBLANK(V130),,V130&amp;("/"))&amp;IF(ISBLANK(U130),,U130&amp;("/"))&amp;IF(ISBLANK(T130),,T130&amp;("/"))&amp;IF(ISBLANK(S130),,S130&amp;("/"))&amp;IF(ISBLANK(R130),,R130&amp;("/"))&amp;IF(ISBLANK(Q130),,Q130&amp;("/"))&amp;IF(ISBLANK(P130),,P130&amp;("/"))&amp;IF(ISBLANK(O130),,O130&amp;("/"))&amp;IF(ISBLANK(N130),,N130&amp;("/"))&amp;IF(G130="-",M130,M130&amp;("_")&amp;MID(G130,1,1))</f>
        <v>CAN0_RX_M0/JTAG_TCK_M0/SPI0_CSN1_M1/UART5_RTSN_M2/SAI3_LRCK_M1/DSM_AUD_RP_M0/SDMMC0_D2_M0/FSPI1_D2_M0/GPIO2_A2_d</v>
      </c>
      <c r="AE130" s="115" t="str">
        <f t="shared" si="14"/>
        <v>y</v>
      </c>
      <c r="AF130" s="115" t="str">
        <f t="shared" si="0"/>
        <v/>
      </c>
      <c r="AG130" s="115" t="str">
        <f t="shared" si="1"/>
        <v/>
      </c>
      <c r="AH130" s="115" t="str">
        <f t="shared" si="2"/>
        <v/>
      </c>
      <c r="AI130" s="115" t="str">
        <f t="shared" si="3"/>
        <v/>
      </c>
      <c r="AJ130" s="115" t="str">
        <f t="shared" si="4"/>
        <v/>
      </c>
      <c r="AK130" s="115" t="str">
        <f t="shared" si="5"/>
        <v/>
      </c>
      <c r="AL130" s="115" t="str">
        <f t="shared" si="6"/>
        <v/>
      </c>
      <c r="AM130" s="115" t="str">
        <f t="shared" si="7"/>
        <v/>
      </c>
      <c r="AN130" s="115" t="str">
        <f t="shared" si="8"/>
        <v/>
      </c>
      <c r="AO130" s="115" t="str">
        <f t="shared" si="9"/>
        <v/>
      </c>
      <c r="AP130" s="115" t="str">
        <f t="shared" si="10"/>
        <v/>
      </c>
      <c r="AQ130" s="115" t="str">
        <f t="shared" si="11"/>
        <v/>
      </c>
      <c r="AR130" s="115" t="str">
        <f t="shared" si="12"/>
        <v/>
      </c>
      <c r="AS130" s="115" t="str">
        <f t="shared" si="13"/>
        <v/>
      </c>
    </row>
    <row r="131" spans="1:45" ht="28.5" customHeight="1" outlineLevel="1">
      <c r="A131" s="138" t="s">
        <v>2189</v>
      </c>
      <c r="B131" s="139" t="s">
        <v>2188</v>
      </c>
      <c r="C131" s="118"/>
      <c r="D131" s="119" t="s">
        <v>753</v>
      </c>
      <c r="E131" s="119" t="s">
        <v>1124</v>
      </c>
      <c r="F131" s="119" t="s">
        <v>1123</v>
      </c>
      <c r="G131" s="119" t="s">
        <v>1122</v>
      </c>
      <c r="H131" s="119" t="s">
        <v>1121</v>
      </c>
      <c r="I131" s="119" t="s">
        <v>1120</v>
      </c>
      <c r="J131" s="119">
        <v>40</v>
      </c>
      <c r="K131" s="119" t="s">
        <v>371</v>
      </c>
      <c r="L131" s="119" t="s">
        <v>371</v>
      </c>
      <c r="M131" s="118" t="s">
        <v>2187</v>
      </c>
      <c r="N131" s="118" t="s">
        <v>2186</v>
      </c>
      <c r="O131" s="118" t="s">
        <v>2185</v>
      </c>
      <c r="P131" s="118" t="s">
        <v>2184</v>
      </c>
      <c r="Q131" s="118" t="s">
        <v>2183</v>
      </c>
      <c r="R131" s="118"/>
      <c r="S131" s="118"/>
      <c r="T131" s="118"/>
      <c r="U131" s="118"/>
      <c r="V131" s="118" t="s">
        <v>2182</v>
      </c>
      <c r="W131" s="118"/>
      <c r="X131" s="118" t="s">
        <v>2181</v>
      </c>
      <c r="Y131" s="118"/>
      <c r="Z131" s="118" t="s">
        <v>2180</v>
      </c>
      <c r="AA131" s="118"/>
      <c r="AB131" s="118"/>
      <c r="AC131" s="118"/>
      <c r="AD131" s="116" t="str">
        <f t="array" ref="AD131">IF(ISBLANK(AA131),,AA131&amp;("/"))&amp;IF(ISBLANK(Z131),,Z131&amp;("/"))&amp;IF(ISBLANK(Y131),,Y131&amp;("/"))&amp;IF(ISBLANK(X131),,X131&amp;("/"))&amp;IF(ISBLANK(W131),,W131&amp;("/"))&amp;IF(ISBLANK(V131),,V131&amp;("/"))&amp;IF(ISBLANK(U131),,U131&amp;("/"))&amp;IF(ISBLANK(T131),,T131&amp;("/"))&amp;IF(ISBLANK(S131),,S131&amp;("/"))&amp;IF(ISBLANK(R131),,R131&amp;("/"))&amp;IF(ISBLANK(Q131),,Q131&amp;("/"))&amp;IF(ISBLANK(P131),,P131&amp;("/"))&amp;IF(ISBLANK(O131),,O131&amp;("/"))&amp;IF(ISBLANK(N131),,N131&amp;("/"))&amp;IF(G131="-",M131,M131&amp;("_")&amp;MID(G131,1,1))</f>
        <v>CAN0_TX_M0/JTAG_TMS_M0/UART5_CTSN_M2/SAI3_SDI_M1/DSM_AUD_RN_M0/SDMMC0_D3_M0/FSPI1_D3_M0/GPIO2_A3_d</v>
      </c>
      <c r="AE131" s="115" t="str">
        <f t="shared" si="14"/>
        <v>y</v>
      </c>
      <c r="AF131" s="115" t="str">
        <f t="shared" si="0"/>
        <v/>
      </c>
      <c r="AG131" s="115" t="str">
        <f t="shared" si="1"/>
        <v/>
      </c>
      <c r="AH131" s="115" t="str">
        <f t="shared" si="2"/>
        <v/>
      </c>
      <c r="AI131" s="115" t="str">
        <f t="shared" si="3"/>
        <v/>
      </c>
      <c r="AJ131" s="115" t="str">
        <f t="shared" si="4"/>
        <v/>
      </c>
      <c r="AK131" s="115" t="str">
        <f t="shared" si="5"/>
        <v/>
      </c>
      <c r="AL131" s="115" t="str">
        <f t="shared" si="6"/>
        <v/>
      </c>
      <c r="AM131" s="115" t="str">
        <f t="shared" si="7"/>
        <v/>
      </c>
      <c r="AN131" s="115" t="str">
        <f t="shared" si="8"/>
        <v/>
      </c>
      <c r="AO131" s="115" t="str">
        <f t="shared" si="9"/>
        <v/>
      </c>
      <c r="AP131" s="115" t="str">
        <f t="shared" si="10"/>
        <v/>
      </c>
      <c r="AQ131" s="115" t="str">
        <f t="shared" si="11"/>
        <v/>
      </c>
      <c r="AR131" s="115" t="str">
        <f t="shared" si="12"/>
        <v/>
      </c>
      <c r="AS131" s="115" t="str">
        <f t="shared" si="13"/>
        <v/>
      </c>
    </row>
    <row r="132" spans="1:45" ht="28.5" customHeight="1" outlineLevel="1">
      <c r="A132" s="138" t="s">
        <v>2179</v>
      </c>
      <c r="B132" s="139" t="s">
        <v>2178</v>
      </c>
      <c r="C132" s="118"/>
      <c r="D132" s="119" t="s">
        <v>753</v>
      </c>
      <c r="E132" s="119" t="s">
        <v>1124</v>
      </c>
      <c r="F132" s="119" t="s">
        <v>1123</v>
      </c>
      <c r="G132" s="119" t="s">
        <v>2092</v>
      </c>
      <c r="H132" s="119" t="s">
        <v>1121</v>
      </c>
      <c r="I132" s="119" t="s">
        <v>1120</v>
      </c>
      <c r="J132" s="119">
        <v>40</v>
      </c>
      <c r="K132" s="119" t="s">
        <v>371</v>
      </c>
      <c r="L132" s="119" t="s">
        <v>371</v>
      </c>
      <c r="M132" s="118" t="s">
        <v>3492</v>
      </c>
      <c r="N132" s="118" t="s">
        <v>3491</v>
      </c>
      <c r="O132" s="118" t="s">
        <v>3490</v>
      </c>
      <c r="P132" s="118"/>
      <c r="Q132" s="118" t="s">
        <v>3489</v>
      </c>
      <c r="R132" s="118"/>
      <c r="S132" s="118"/>
      <c r="T132" s="118"/>
      <c r="U132" s="118"/>
      <c r="V132" s="118" t="s">
        <v>3488</v>
      </c>
      <c r="W132" s="118" t="s">
        <v>3487</v>
      </c>
      <c r="X132" s="118" t="s">
        <v>3486</v>
      </c>
      <c r="Y132" s="118" t="s">
        <v>3484</v>
      </c>
      <c r="Z132" s="118" t="s">
        <v>3485</v>
      </c>
      <c r="AA132" s="118"/>
      <c r="AB132" s="118"/>
      <c r="AC132" s="118"/>
      <c r="AD132" s="116" t="str">
        <f t="array" ref="AD132">IF(ISBLANK(AA132),,AA132&amp;("/"))&amp;IF(ISBLANK(Z132),,Z132&amp;("/"))&amp;IF(ISBLANK(Y132),,Y132&amp;("/"))&amp;IF(ISBLANK(X132),,X132&amp;("/"))&amp;IF(ISBLANK(W132),,W132&amp;("/"))&amp;IF(ISBLANK(V132),,V132&amp;("/"))&amp;IF(ISBLANK(U132),,U132&amp;("/"))&amp;IF(ISBLANK(T132),,T132&amp;("/"))&amp;IF(ISBLANK(S132),,S132&amp;("/"))&amp;IF(ISBLANK(R132),,R132&amp;("/"))&amp;IF(ISBLANK(Q132),,Q132&amp;("/"))&amp;IF(ISBLANK(P132),,P132&amp;("/"))&amp;IF(ISBLANK(O132),,O132&amp;("/"))&amp;IF(ISBLANK(N132),,N132&amp;("/"))&amp;IF(G132="-",M132,M132&amp;("_")&amp;MID(G132,6,6))</f>
        <v>CAN2_RX_M0/PWM2_CH4_M0/I2C5_SDA_M0/SPI0_CSN0_M1/UART5_RX_M2/SAI3_SDO_M1/SDMMC0_CMD_M0/FSPI1_CSN0_M0/GPIO2_A4_z</v>
      </c>
      <c r="AE132" s="115" t="str">
        <f t="shared" si="14"/>
        <v>y</v>
      </c>
      <c r="AF132" s="115" t="str">
        <f t="shared" si="0"/>
        <v/>
      </c>
      <c r="AG132" s="115" t="str">
        <f t="shared" si="1"/>
        <v/>
      </c>
      <c r="AH132" s="115" t="str">
        <f t="shared" si="2"/>
        <v/>
      </c>
      <c r="AI132" s="115" t="str">
        <f t="shared" si="3"/>
        <v/>
      </c>
      <c r="AJ132" s="115" t="str">
        <f t="shared" si="4"/>
        <v/>
      </c>
      <c r="AK132" s="115" t="str">
        <f t="shared" si="5"/>
        <v/>
      </c>
      <c r="AL132" s="115" t="str">
        <f t="shared" si="6"/>
        <v/>
      </c>
      <c r="AM132" s="115" t="str">
        <f t="shared" si="7"/>
        <v/>
      </c>
      <c r="AN132" s="115" t="str">
        <f t="shared" si="8"/>
        <v/>
      </c>
      <c r="AO132" s="115" t="str">
        <f t="shared" si="9"/>
        <v/>
      </c>
      <c r="AP132" s="115" t="str">
        <f t="shared" si="10"/>
        <v/>
      </c>
      <c r="AQ132" s="115" t="str">
        <f t="shared" si="11"/>
        <v/>
      </c>
      <c r="AR132" s="115" t="str">
        <f t="shared" si="12"/>
        <v/>
      </c>
      <c r="AS132" s="115" t="str">
        <f t="shared" si="13"/>
        <v/>
      </c>
    </row>
    <row r="133" spans="1:45" ht="28.5" customHeight="1" outlineLevel="1">
      <c r="A133" s="138" t="s">
        <v>2172</v>
      </c>
      <c r="B133" s="139" t="s">
        <v>2171</v>
      </c>
      <c r="C133" s="118"/>
      <c r="D133" s="119" t="s">
        <v>753</v>
      </c>
      <c r="E133" s="119" t="s">
        <v>1124</v>
      </c>
      <c r="F133" s="119" t="s">
        <v>1104</v>
      </c>
      <c r="G133" s="119" t="s">
        <v>1122</v>
      </c>
      <c r="H133" s="119" t="s">
        <v>1121</v>
      </c>
      <c r="I133" s="119" t="s">
        <v>1120</v>
      </c>
      <c r="J133" s="119">
        <v>40</v>
      </c>
      <c r="K133" s="119" t="s">
        <v>371</v>
      </c>
      <c r="L133" s="119" t="s">
        <v>371</v>
      </c>
      <c r="M133" s="118" t="s">
        <v>2170</v>
      </c>
      <c r="N133" s="118" t="s">
        <v>2169</v>
      </c>
      <c r="O133" s="118" t="s">
        <v>2168</v>
      </c>
      <c r="P133" s="118"/>
      <c r="Q133" s="118" t="s">
        <v>2167</v>
      </c>
      <c r="R133" s="118" t="s">
        <v>2166</v>
      </c>
      <c r="S133" s="118"/>
      <c r="T133" s="118"/>
      <c r="U133" s="118"/>
      <c r="V133" s="118" t="s">
        <v>2165</v>
      </c>
      <c r="W133" s="118" t="s">
        <v>2164</v>
      </c>
      <c r="X133" s="118" t="s">
        <v>2163</v>
      </c>
      <c r="Y133" s="118"/>
      <c r="Z133" s="118" t="s">
        <v>2162</v>
      </c>
      <c r="AA133" s="118"/>
      <c r="AB133" s="118"/>
      <c r="AC133" s="118"/>
      <c r="AD133" s="116" t="str">
        <f t="array" ref="AD133">IF(ISBLANK(AA133),,AA133&amp;("/"))&amp;IF(ISBLANK(Z133),,Z133&amp;("/"))&amp;IF(ISBLANK(Y133),,Y133&amp;("/"))&amp;IF(ISBLANK(X133),,X133&amp;("/"))&amp;IF(ISBLANK(W133),,W133&amp;("/"))&amp;IF(ISBLANK(V133),,V133&amp;("/"))&amp;IF(ISBLANK(U133),,U133&amp;("/"))&amp;IF(ISBLANK(T133),,T133&amp;("/"))&amp;IF(ISBLANK(S133),,S133&amp;("/"))&amp;IF(ISBLANK(R133),,R133&amp;("/"))&amp;IF(ISBLANK(Q133),,Q133&amp;("/"))&amp;IF(ISBLANK(P133),,P133&amp;("/"))&amp;IF(ISBLANK(O133),,O133&amp;("/"))&amp;IF(ISBLANK(N133),,N133&amp;("/"))&amp;IF(G133="-",M133,M133&amp;("_")&amp;MID(G133,1,1))</f>
        <v>CAN2_TX_M0/I2C5_SCL_M0/SPI0_CLK_M1/UART5_TX_M2/TEST_CLK_OUT/SAI3_SCLK_M1/SDMMC0_CLK_M0/FSPI1_CLK_M0/GPIO2_A5_d</v>
      </c>
      <c r="AE133" s="115" t="str">
        <f t="shared" si="14"/>
        <v>y</v>
      </c>
      <c r="AF133" s="115" t="str">
        <f t="shared" si="0"/>
        <v/>
      </c>
      <c r="AG133" s="115" t="str">
        <f t="shared" si="1"/>
        <v/>
      </c>
      <c r="AH133" s="115" t="str">
        <f t="shared" si="2"/>
        <v/>
      </c>
      <c r="AI133" s="115" t="str">
        <f t="shared" si="3"/>
        <v/>
      </c>
      <c r="AJ133" s="115" t="str">
        <f t="shared" si="4"/>
        <v/>
      </c>
      <c r="AK133" s="115" t="str">
        <f t="shared" si="5"/>
        <v/>
      </c>
      <c r="AL133" s="115" t="str">
        <f t="shared" si="6"/>
        <v/>
      </c>
      <c r="AM133" s="115" t="str">
        <f t="shared" si="7"/>
        <v/>
      </c>
      <c r="AN133" s="115" t="str">
        <f t="shared" si="8"/>
        <v/>
      </c>
      <c r="AO133" s="115" t="str">
        <f t="shared" si="9"/>
        <v/>
      </c>
      <c r="AP133" s="115" t="str">
        <f t="shared" si="10"/>
        <v/>
      </c>
      <c r="AQ133" s="115" t="str">
        <f t="shared" si="11"/>
        <v/>
      </c>
      <c r="AR133" s="115" t="str">
        <f t="shared" si="12"/>
        <v/>
      </c>
      <c r="AS133" s="115" t="str">
        <f t="shared" si="13"/>
        <v/>
      </c>
    </row>
    <row r="134" spans="1:45" ht="14.25" customHeight="1" outlineLevel="1">
      <c r="A134" s="120" t="s">
        <v>2161</v>
      </c>
      <c r="B134" s="126" t="s">
        <v>541</v>
      </c>
      <c r="C134" s="167"/>
      <c r="D134" s="120" t="s">
        <v>1111</v>
      </c>
      <c r="E134" s="120" t="s">
        <v>1524</v>
      </c>
      <c r="F134" s="120" t="s">
        <v>753</v>
      </c>
      <c r="G134" s="120" t="s">
        <v>753</v>
      </c>
      <c r="H134" s="120" t="s">
        <v>753</v>
      </c>
      <c r="I134" s="120" t="s">
        <v>753</v>
      </c>
      <c r="J134" s="120" t="s">
        <v>753</v>
      </c>
      <c r="K134" s="120" t="s">
        <v>753</v>
      </c>
      <c r="L134" s="120" t="s">
        <v>753</v>
      </c>
      <c r="M134" s="126"/>
      <c r="N134" s="126"/>
      <c r="O134" s="126"/>
      <c r="P134" s="126"/>
      <c r="Q134" s="126"/>
      <c r="R134" s="126"/>
      <c r="S134" s="126"/>
      <c r="T134" s="126"/>
      <c r="U134" s="126"/>
      <c r="V134" s="126"/>
      <c r="W134" s="126"/>
      <c r="X134" s="126"/>
      <c r="Y134" s="126"/>
      <c r="Z134" s="126"/>
      <c r="AA134" s="126"/>
      <c r="AB134" s="126"/>
      <c r="AC134" s="126"/>
      <c r="AD134" s="116" t="str">
        <f t="array" ref="AD134">IF(ISBLANK(AA134),,AA134&amp;("/"))&amp;IF(ISBLANK(Z134),,Z134&amp;("/"))&amp;IF(ISBLANK(Y134),,Y134&amp;("/"))&amp;IF(ISBLANK(X134),,X134&amp;("/"))&amp;IF(ISBLANK(W134),,W134&amp;("/"))&amp;IF(ISBLANK(V134),,V134&amp;("/"))&amp;IF(ISBLANK(U134),,U134&amp;("/"))&amp;IF(ISBLANK(T134),,T134&amp;("/"))&amp;IF(ISBLANK(S134),,S134&amp;("/"))&amp;IF(ISBLANK(R134),,R134&amp;("/"))&amp;IF(ISBLANK(Q134),,Q134&amp;("/"))&amp;IF(ISBLANK(P134),,P134&amp;("/"))&amp;IF(ISBLANK(O134),,O134&amp;("/"))&amp;IF(ISBLANK(N134),,N134&amp;("/"))&amp;IF(G134="-",M134,M134&amp;("_")&amp;MID(G134,1,1))</f>
        <v/>
      </c>
      <c r="AF134" s="115" t="str">
        <f t="shared" si="0"/>
        <v/>
      </c>
      <c r="AG134" s="115" t="str">
        <f t="shared" si="1"/>
        <v/>
      </c>
      <c r="AH134" s="115" t="str">
        <f t="shared" si="2"/>
        <v/>
      </c>
      <c r="AI134" s="115" t="str">
        <f t="shared" si="3"/>
        <v/>
      </c>
      <c r="AJ134" s="115" t="str">
        <f t="shared" si="4"/>
        <v/>
      </c>
      <c r="AK134" s="115" t="str">
        <f t="shared" si="5"/>
        <v/>
      </c>
      <c r="AL134" s="115" t="str">
        <f t="shared" si="6"/>
        <v/>
      </c>
      <c r="AM134" s="115" t="str">
        <f t="shared" si="7"/>
        <v/>
      </c>
      <c r="AN134" s="115" t="str">
        <f t="shared" si="8"/>
        <v/>
      </c>
      <c r="AO134" s="115" t="str">
        <f t="shared" si="9"/>
        <v/>
      </c>
      <c r="AP134" s="115" t="str">
        <f t="shared" si="10"/>
        <v/>
      </c>
      <c r="AQ134" s="115" t="str">
        <f t="shared" si="11"/>
        <v/>
      </c>
      <c r="AR134" s="115" t="str">
        <f t="shared" si="12"/>
        <v/>
      </c>
      <c r="AS134" s="115" t="str">
        <f t="shared" si="13"/>
        <v/>
      </c>
    </row>
    <row r="135" spans="1:45">
      <c r="A135" s="131" t="s">
        <v>2160</v>
      </c>
      <c r="B135" s="130"/>
      <c r="C135" s="136"/>
      <c r="D135" s="129"/>
      <c r="E135" s="129"/>
      <c r="F135" s="129"/>
      <c r="G135" s="129"/>
      <c r="H135" s="129"/>
      <c r="I135" s="129"/>
      <c r="J135" s="129"/>
      <c r="K135" s="129"/>
      <c r="L135" s="129"/>
      <c r="M135" s="136"/>
      <c r="N135" s="136"/>
      <c r="O135" s="136"/>
      <c r="P135" s="136"/>
      <c r="Q135" s="136"/>
      <c r="R135" s="136"/>
      <c r="S135" s="136"/>
      <c r="T135" s="136"/>
      <c r="U135" s="136"/>
      <c r="V135" s="136"/>
      <c r="W135" s="136"/>
      <c r="X135" s="136"/>
      <c r="Y135" s="136"/>
      <c r="Z135" s="136"/>
      <c r="AA135" s="136"/>
      <c r="AB135" s="136"/>
      <c r="AC135" s="136"/>
      <c r="AD135" s="116" t="str">
        <f t="array" ref="AD135">IF(ISBLANK(AA135),,AA135&amp;("/"))&amp;IF(ISBLANK(Z135),,Z135&amp;("/"))&amp;IF(ISBLANK(Y135),,Y135&amp;("/"))&amp;IF(ISBLANK(X135),,X135&amp;("/"))&amp;IF(ISBLANK(W135),,W135&amp;("/"))&amp;IF(ISBLANK(V135),,V135&amp;("/"))&amp;IF(ISBLANK(U135),,U135&amp;("/"))&amp;IF(ISBLANK(T135),,T135&amp;("/"))&amp;IF(ISBLANK(S135),,S135&amp;("/"))&amp;IF(ISBLANK(R135),,R135&amp;("/"))&amp;IF(ISBLANK(Q135),,Q135&amp;("/"))&amp;IF(ISBLANK(P135),,P135&amp;("/"))&amp;IF(ISBLANK(O135),,O135&amp;("/"))&amp;IF(ISBLANK(N135),,N135&amp;("/"))&amp;IF(G135="-",M135,M135&amp;("_")&amp;MID(G135,1,1))</f>
        <v>_</v>
      </c>
      <c r="AF135" s="115" t="str">
        <f t="shared" si="0"/>
        <v/>
      </c>
      <c r="AG135" s="115" t="str">
        <f t="shared" si="1"/>
        <v/>
      </c>
      <c r="AH135" s="115" t="str">
        <f t="shared" si="2"/>
        <v/>
      </c>
      <c r="AI135" s="115" t="str">
        <f t="shared" si="3"/>
        <v/>
      </c>
      <c r="AJ135" s="115" t="str">
        <f t="shared" si="4"/>
        <v/>
      </c>
      <c r="AK135" s="115" t="str">
        <f t="shared" si="5"/>
        <v/>
      </c>
      <c r="AL135" s="115" t="str">
        <f t="shared" si="6"/>
        <v/>
      </c>
      <c r="AM135" s="115" t="str">
        <f t="shared" si="7"/>
        <v/>
      </c>
      <c r="AN135" s="115" t="str">
        <f t="shared" si="8"/>
        <v/>
      </c>
      <c r="AO135" s="115" t="str">
        <f t="shared" si="9"/>
        <v/>
      </c>
      <c r="AP135" s="115" t="str">
        <f t="shared" si="10"/>
        <v/>
      </c>
      <c r="AQ135" s="115" t="str">
        <f t="shared" si="11"/>
        <v/>
      </c>
      <c r="AR135" s="115" t="str">
        <f t="shared" si="12"/>
        <v/>
      </c>
      <c r="AS135" s="115" t="str">
        <f t="shared" si="13"/>
        <v/>
      </c>
    </row>
    <row r="136" spans="1:45" outlineLevel="1">
      <c r="A136" s="119" t="s">
        <v>2159</v>
      </c>
      <c r="B136" s="118" t="s">
        <v>525</v>
      </c>
      <c r="C136" s="118"/>
      <c r="D136" s="119" t="s">
        <v>753</v>
      </c>
      <c r="E136" s="119" t="s">
        <v>2158</v>
      </c>
      <c r="F136" s="119" t="s">
        <v>2157</v>
      </c>
      <c r="G136" s="119" t="s">
        <v>753</v>
      </c>
      <c r="H136" s="119" t="s">
        <v>753</v>
      </c>
      <c r="I136" s="119" t="s">
        <v>753</v>
      </c>
      <c r="J136" s="119" t="s">
        <v>753</v>
      </c>
      <c r="K136" s="119" t="s">
        <v>753</v>
      </c>
      <c r="L136" s="119" t="s">
        <v>753</v>
      </c>
      <c r="M136" s="118" t="s">
        <v>525</v>
      </c>
      <c r="N136" s="118"/>
      <c r="O136" s="118"/>
      <c r="P136" s="118"/>
      <c r="Q136" s="118"/>
      <c r="R136" s="118"/>
      <c r="S136" s="118"/>
      <c r="T136" s="118"/>
      <c r="U136" s="118"/>
      <c r="V136" s="118"/>
      <c r="W136" s="118"/>
      <c r="X136" s="118"/>
      <c r="Y136" s="118"/>
      <c r="Z136" s="118"/>
      <c r="AA136" s="118"/>
      <c r="AB136" s="118"/>
      <c r="AC136" s="118"/>
      <c r="AD136" s="116" t="str">
        <f t="array" ref="AD136">IF(ISBLANK(AA136),,AA136&amp;("/"))&amp;IF(ISBLANK(Z136),,Z136&amp;("/"))&amp;IF(ISBLANK(Y136),,Y136&amp;("/"))&amp;IF(ISBLANK(X136),,X136&amp;("/"))&amp;IF(ISBLANK(W136),,W136&amp;("/"))&amp;IF(ISBLANK(V136),,V136&amp;("/"))&amp;IF(ISBLANK(U136),,U136&amp;("/"))&amp;IF(ISBLANK(T136),,T136&amp;("/"))&amp;IF(ISBLANK(S136),,S136&amp;("/"))&amp;IF(ISBLANK(R136),,R136&amp;("/"))&amp;IF(ISBLANK(Q136),,Q136&amp;("/"))&amp;IF(ISBLANK(P136),,P136&amp;("/"))&amp;IF(ISBLANK(O136),,O136&amp;("/"))&amp;IF(ISBLANK(N136),,N136&amp;("/"))&amp;IF(G136="-",M136,M136&amp;("_")&amp;MID(G136,1,1))</f>
        <v>OSC_XOUT</v>
      </c>
      <c r="AE136" s="115" t="str">
        <f t="shared" si="14"/>
        <v>y</v>
      </c>
      <c r="AF136" s="115" t="str">
        <f t="shared" si="0"/>
        <v/>
      </c>
      <c r="AG136" s="115" t="str">
        <f t="shared" si="1"/>
        <v/>
      </c>
      <c r="AH136" s="115" t="str">
        <f t="shared" si="2"/>
        <v/>
      </c>
      <c r="AI136" s="115" t="str">
        <f t="shared" si="3"/>
        <v/>
      </c>
      <c r="AJ136" s="115" t="str">
        <f t="shared" si="4"/>
        <v/>
      </c>
      <c r="AK136" s="115" t="str">
        <f t="shared" si="5"/>
        <v/>
      </c>
      <c r="AL136" s="115" t="str">
        <f t="shared" si="6"/>
        <v/>
      </c>
      <c r="AM136" s="115" t="str">
        <f t="shared" si="7"/>
        <v/>
      </c>
      <c r="AN136" s="115" t="str">
        <f t="shared" si="8"/>
        <v/>
      </c>
      <c r="AO136" s="115" t="str">
        <f t="shared" si="9"/>
        <v/>
      </c>
      <c r="AP136" s="115" t="str">
        <f t="shared" si="10"/>
        <v/>
      </c>
      <c r="AQ136" s="115" t="str">
        <f t="shared" si="11"/>
        <v/>
      </c>
      <c r="AR136" s="115" t="str">
        <f t="shared" si="12"/>
        <v/>
      </c>
      <c r="AS136" s="115" t="str">
        <f t="shared" si="13"/>
        <v/>
      </c>
    </row>
    <row r="137" spans="1:45" outlineLevel="1">
      <c r="A137" s="119" t="s">
        <v>2156</v>
      </c>
      <c r="B137" s="118" t="s">
        <v>526</v>
      </c>
      <c r="C137" s="118"/>
      <c r="D137" s="119" t="s">
        <v>753</v>
      </c>
      <c r="E137" s="119" t="s">
        <v>2155</v>
      </c>
      <c r="F137" s="119" t="s">
        <v>1123</v>
      </c>
      <c r="G137" s="119" t="s">
        <v>753</v>
      </c>
      <c r="H137" s="119" t="s">
        <v>753</v>
      </c>
      <c r="I137" s="119" t="s">
        <v>753</v>
      </c>
      <c r="J137" s="119" t="s">
        <v>753</v>
      </c>
      <c r="K137" s="119" t="s">
        <v>753</v>
      </c>
      <c r="L137" s="119" t="s">
        <v>753</v>
      </c>
      <c r="M137" s="118" t="s">
        <v>526</v>
      </c>
      <c r="N137" s="118"/>
      <c r="O137" s="118"/>
      <c r="P137" s="118"/>
      <c r="Q137" s="118"/>
      <c r="R137" s="118"/>
      <c r="S137" s="118"/>
      <c r="T137" s="118"/>
      <c r="U137" s="118"/>
      <c r="V137" s="118"/>
      <c r="W137" s="118"/>
      <c r="X137" s="118"/>
      <c r="Y137" s="118"/>
      <c r="Z137" s="118"/>
      <c r="AA137" s="118"/>
      <c r="AB137" s="118"/>
      <c r="AC137" s="118"/>
      <c r="AD137" s="116" t="str">
        <f t="array" ref="AD137">IF(ISBLANK(AA137),,AA137&amp;("/"))&amp;IF(ISBLANK(Z137),,Z137&amp;("/"))&amp;IF(ISBLANK(Y137),,Y137&amp;("/"))&amp;IF(ISBLANK(X137),,X137&amp;("/"))&amp;IF(ISBLANK(W137),,W137&amp;("/"))&amp;IF(ISBLANK(V137),,V137&amp;("/"))&amp;IF(ISBLANK(U137),,U137&amp;("/"))&amp;IF(ISBLANK(T137),,T137&amp;("/"))&amp;IF(ISBLANK(S137),,S137&amp;("/"))&amp;IF(ISBLANK(R137),,R137&amp;("/"))&amp;IF(ISBLANK(Q137),,Q137&amp;("/"))&amp;IF(ISBLANK(P137),,P137&amp;("/"))&amp;IF(ISBLANK(O137),,O137&amp;("/"))&amp;IF(ISBLANK(N137),,N137&amp;("/"))&amp;IF(G137="-",M137,M137&amp;("_")&amp;MID(G137,1,1))</f>
        <v>OSC_XIN</v>
      </c>
      <c r="AE137" s="115" t="str">
        <f t="shared" si="14"/>
        <v>y</v>
      </c>
      <c r="AF137" s="115" t="str">
        <f t="shared" si="0"/>
        <v/>
      </c>
      <c r="AG137" s="115" t="str">
        <f t="shared" si="1"/>
        <v/>
      </c>
      <c r="AH137" s="115" t="str">
        <f t="shared" si="2"/>
        <v/>
      </c>
      <c r="AI137" s="115" t="str">
        <f t="shared" si="3"/>
        <v/>
      </c>
      <c r="AJ137" s="115" t="str">
        <f t="shared" si="4"/>
        <v/>
      </c>
      <c r="AK137" s="115" t="str">
        <f t="shared" si="5"/>
        <v/>
      </c>
      <c r="AL137" s="115" t="str">
        <f t="shared" si="6"/>
        <v/>
      </c>
      <c r="AM137" s="115" t="str">
        <f t="shared" si="7"/>
        <v/>
      </c>
      <c r="AN137" s="115" t="str">
        <f t="shared" si="8"/>
        <v/>
      </c>
      <c r="AO137" s="115" t="str">
        <f t="shared" si="9"/>
        <v/>
      </c>
      <c r="AP137" s="115" t="str">
        <f t="shared" si="10"/>
        <v/>
      </c>
      <c r="AQ137" s="115" t="str">
        <f t="shared" si="11"/>
        <v/>
      </c>
      <c r="AR137" s="115" t="str">
        <f t="shared" si="12"/>
        <v/>
      </c>
      <c r="AS137" s="115" t="str">
        <f t="shared" si="13"/>
        <v/>
      </c>
    </row>
    <row r="138" spans="1:45" outlineLevel="1">
      <c r="A138" s="120" t="s">
        <v>2154</v>
      </c>
      <c r="B138" s="126" t="s">
        <v>441</v>
      </c>
      <c r="C138" s="167"/>
      <c r="D138" s="120" t="s">
        <v>932</v>
      </c>
      <c r="E138" s="120" t="s">
        <v>2151</v>
      </c>
      <c r="F138" s="120" t="s">
        <v>753</v>
      </c>
      <c r="G138" s="120" t="s">
        <v>753</v>
      </c>
      <c r="H138" s="120" t="s">
        <v>753</v>
      </c>
      <c r="I138" s="120" t="s">
        <v>753</v>
      </c>
      <c r="J138" s="120" t="s">
        <v>753</v>
      </c>
      <c r="K138" s="120" t="s">
        <v>753</v>
      </c>
      <c r="L138" s="120" t="s">
        <v>753</v>
      </c>
      <c r="M138" s="126"/>
      <c r="N138" s="126"/>
      <c r="O138" s="126"/>
      <c r="P138" s="126"/>
      <c r="Q138" s="126"/>
      <c r="R138" s="126"/>
      <c r="S138" s="126"/>
      <c r="T138" s="126"/>
      <c r="U138" s="126"/>
      <c r="V138" s="126"/>
      <c r="W138" s="126"/>
      <c r="X138" s="126"/>
      <c r="Y138" s="126"/>
      <c r="Z138" s="126"/>
      <c r="AA138" s="126"/>
      <c r="AB138" s="126"/>
      <c r="AC138" s="126"/>
      <c r="AD138" s="116" t="str">
        <f t="array" ref="AD138">IF(ISBLANK(AA138),,AA138&amp;("/"))&amp;IF(ISBLANK(Z138),,Z138&amp;("/"))&amp;IF(ISBLANK(Y138),,Y138&amp;("/"))&amp;IF(ISBLANK(X138),,X138&amp;("/"))&amp;IF(ISBLANK(W138),,W138&amp;("/"))&amp;IF(ISBLANK(V138),,V138&amp;("/"))&amp;IF(ISBLANK(U138),,U138&amp;("/"))&amp;IF(ISBLANK(T138),,T138&amp;("/"))&amp;IF(ISBLANK(S138),,S138&amp;("/"))&amp;IF(ISBLANK(R138),,R138&amp;("/"))&amp;IF(ISBLANK(Q138),,Q138&amp;("/"))&amp;IF(ISBLANK(P138),,P138&amp;("/"))&amp;IF(ISBLANK(O138),,O138&amp;("/"))&amp;IF(ISBLANK(N138),,N138&amp;("/"))&amp;IF(G138="-",M138,M138&amp;("_")&amp;MID(G138,1,1))</f>
        <v/>
      </c>
      <c r="AF138" s="115" t="str">
        <f t="shared" si="0"/>
        <v/>
      </c>
      <c r="AG138" s="115" t="str">
        <f t="shared" si="1"/>
        <v/>
      </c>
      <c r="AH138" s="115" t="str">
        <f t="shared" si="2"/>
        <v/>
      </c>
      <c r="AI138" s="115" t="str">
        <f t="shared" si="3"/>
        <v/>
      </c>
      <c r="AJ138" s="115" t="str">
        <f t="shared" si="4"/>
        <v/>
      </c>
      <c r="AK138" s="115" t="str">
        <f t="shared" si="5"/>
        <v/>
      </c>
      <c r="AL138" s="115" t="str">
        <f t="shared" si="6"/>
        <v/>
      </c>
      <c r="AM138" s="115" t="str">
        <f t="shared" si="7"/>
        <v/>
      </c>
      <c r="AN138" s="115" t="str">
        <f t="shared" si="8"/>
        <v/>
      </c>
      <c r="AO138" s="115" t="str">
        <f t="shared" si="9"/>
        <v/>
      </c>
      <c r="AP138" s="115" t="str">
        <f t="shared" si="10"/>
        <v/>
      </c>
      <c r="AQ138" s="115" t="str">
        <f t="shared" si="11"/>
        <v/>
      </c>
      <c r="AR138" s="115" t="str">
        <f t="shared" si="12"/>
        <v/>
      </c>
      <c r="AS138" s="115" t="str">
        <f t="shared" si="13"/>
        <v/>
      </c>
    </row>
    <row r="139" spans="1:45" outlineLevel="1">
      <c r="A139" s="120" t="s">
        <v>2153</v>
      </c>
      <c r="B139" s="126" t="s">
        <v>532</v>
      </c>
      <c r="C139" s="167"/>
      <c r="D139" s="120" t="s">
        <v>926</v>
      </c>
      <c r="E139" s="120" t="s">
        <v>895</v>
      </c>
      <c r="F139" s="120" t="s">
        <v>753</v>
      </c>
      <c r="G139" s="120" t="s">
        <v>753</v>
      </c>
      <c r="H139" s="120" t="s">
        <v>753</v>
      </c>
      <c r="I139" s="120" t="s">
        <v>753</v>
      </c>
      <c r="J139" s="120" t="s">
        <v>753</v>
      </c>
      <c r="K139" s="120" t="s">
        <v>753</v>
      </c>
      <c r="L139" s="120" t="s">
        <v>753</v>
      </c>
      <c r="M139" s="126"/>
      <c r="N139" s="126"/>
      <c r="O139" s="126"/>
      <c r="P139" s="126"/>
      <c r="Q139" s="126"/>
      <c r="R139" s="126"/>
      <c r="S139" s="126"/>
      <c r="T139" s="126"/>
      <c r="U139" s="126"/>
      <c r="V139" s="126"/>
      <c r="W139" s="126"/>
      <c r="X139" s="126"/>
      <c r="Y139" s="126"/>
      <c r="Z139" s="126"/>
      <c r="AA139" s="126"/>
      <c r="AB139" s="126"/>
      <c r="AC139" s="126"/>
      <c r="AD139" s="116" t="str">
        <f t="array" ref="AD139">IF(ISBLANK(AA139),,AA139&amp;("/"))&amp;IF(ISBLANK(Z139),,Z139&amp;("/"))&amp;IF(ISBLANK(Y139),,Y139&amp;("/"))&amp;IF(ISBLANK(X139),,X139&amp;("/"))&amp;IF(ISBLANK(W139),,W139&amp;("/"))&amp;IF(ISBLANK(V139),,V139&amp;("/"))&amp;IF(ISBLANK(U139),,U139&amp;("/"))&amp;IF(ISBLANK(T139),,T139&amp;("/"))&amp;IF(ISBLANK(S139),,S139&amp;("/"))&amp;IF(ISBLANK(R139),,R139&amp;("/"))&amp;IF(ISBLANK(Q139),,Q139&amp;("/"))&amp;IF(ISBLANK(P139),,P139&amp;("/"))&amp;IF(ISBLANK(O139),,O139&amp;("/"))&amp;IF(ISBLANK(N139),,N139&amp;("/"))&amp;IF(G139="-",M139,M139&amp;("_")&amp;MID(G139,1,1))</f>
        <v/>
      </c>
      <c r="AF139" s="115" t="str">
        <f t="shared" si="0"/>
        <v/>
      </c>
      <c r="AG139" s="115" t="str">
        <f t="shared" si="1"/>
        <v/>
      </c>
      <c r="AH139" s="115" t="str">
        <f t="shared" si="2"/>
        <v/>
      </c>
      <c r="AI139" s="115" t="str">
        <f t="shared" si="3"/>
        <v/>
      </c>
      <c r="AJ139" s="115" t="str">
        <f t="shared" si="4"/>
        <v/>
      </c>
      <c r="AK139" s="115" t="str">
        <f t="shared" si="5"/>
        <v/>
      </c>
      <c r="AL139" s="115" t="str">
        <f t="shared" si="6"/>
        <v/>
      </c>
      <c r="AM139" s="115" t="str">
        <f t="shared" si="7"/>
        <v/>
      </c>
      <c r="AN139" s="115" t="str">
        <f t="shared" si="8"/>
        <v/>
      </c>
      <c r="AO139" s="115" t="str">
        <f t="shared" si="9"/>
        <v/>
      </c>
      <c r="AP139" s="115" t="str">
        <f t="shared" si="10"/>
        <v/>
      </c>
      <c r="AQ139" s="115" t="str">
        <f t="shared" si="11"/>
        <v/>
      </c>
      <c r="AR139" s="115" t="str">
        <f t="shared" si="12"/>
        <v/>
      </c>
      <c r="AS139" s="115" t="str">
        <f t="shared" si="13"/>
        <v/>
      </c>
    </row>
    <row r="140" spans="1:45" outlineLevel="1">
      <c r="A140" s="120" t="s">
        <v>2152</v>
      </c>
      <c r="B140" s="126" t="s">
        <v>531</v>
      </c>
      <c r="C140" s="167"/>
      <c r="D140" s="120" t="s">
        <v>932</v>
      </c>
      <c r="E140" s="120" t="s">
        <v>2151</v>
      </c>
      <c r="F140" s="120" t="s">
        <v>753</v>
      </c>
      <c r="G140" s="120" t="s">
        <v>753</v>
      </c>
      <c r="H140" s="120" t="s">
        <v>753</v>
      </c>
      <c r="I140" s="120" t="s">
        <v>753</v>
      </c>
      <c r="J140" s="120" t="s">
        <v>753</v>
      </c>
      <c r="K140" s="120" t="s">
        <v>753</v>
      </c>
      <c r="L140" s="120" t="s">
        <v>753</v>
      </c>
      <c r="M140" s="126"/>
      <c r="N140" s="126"/>
      <c r="O140" s="126"/>
      <c r="P140" s="126"/>
      <c r="Q140" s="126"/>
      <c r="R140" s="126"/>
      <c r="S140" s="126"/>
      <c r="T140" s="126"/>
      <c r="U140" s="126"/>
      <c r="V140" s="126"/>
      <c r="W140" s="126"/>
      <c r="X140" s="126"/>
      <c r="Y140" s="126"/>
      <c r="Z140" s="126"/>
      <c r="AA140" s="126"/>
      <c r="AB140" s="126"/>
      <c r="AC140" s="126"/>
      <c r="AD140" s="116" t="str">
        <f t="array" ref="AD140">IF(ISBLANK(AA140),,AA140&amp;("/"))&amp;IF(ISBLANK(Z140),,Z140&amp;("/"))&amp;IF(ISBLANK(Y140),,Y140&amp;("/"))&amp;IF(ISBLANK(X140),,X140&amp;("/"))&amp;IF(ISBLANK(W140),,W140&amp;("/"))&amp;IF(ISBLANK(V140),,V140&amp;("/"))&amp;IF(ISBLANK(U140),,U140&amp;("/"))&amp;IF(ISBLANK(T140),,T140&amp;("/"))&amp;IF(ISBLANK(S140),,S140&amp;("/"))&amp;IF(ISBLANK(R140),,R140&amp;("/"))&amp;IF(ISBLANK(Q140),,Q140&amp;("/"))&amp;IF(ISBLANK(P140),,P140&amp;("/"))&amp;IF(ISBLANK(O140),,O140&amp;("/"))&amp;IF(ISBLANK(N140),,N140&amp;("/"))&amp;IF(G140="-",M140,M140&amp;("_")&amp;MID(G140,1,1))</f>
        <v/>
      </c>
      <c r="AF140" s="115" t="str">
        <f t="shared" si="0"/>
        <v/>
      </c>
      <c r="AG140" s="115" t="str">
        <f t="shared" si="1"/>
        <v/>
      </c>
      <c r="AH140" s="115" t="str">
        <f t="shared" si="2"/>
        <v/>
      </c>
      <c r="AI140" s="115" t="str">
        <f t="shared" si="3"/>
        <v/>
      </c>
      <c r="AJ140" s="115" t="str">
        <f t="shared" si="4"/>
        <v/>
      </c>
      <c r="AK140" s="115" t="str">
        <f t="shared" si="5"/>
        <v/>
      </c>
      <c r="AL140" s="115" t="str">
        <f t="shared" si="6"/>
        <v/>
      </c>
      <c r="AM140" s="115" t="str">
        <f t="shared" si="7"/>
        <v/>
      </c>
      <c r="AN140" s="115" t="str">
        <f t="shared" si="8"/>
        <v/>
      </c>
      <c r="AO140" s="115" t="str">
        <f t="shared" si="9"/>
        <v/>
      </c>
      <c r="AP140" s="115" t="str">
        <f t="shared" si="10"/>
        <v/>
      </c>
      <c r="AQ140" s="115" t="str">
        <f t="shared" si="11"/>
        <v/>
      </c>
      <c r="AR140" s="115" t="str">
        <f t="shared" si="12"/>
        <v/>
      </c>
      <c r="AS140" s="115" t="str">
        <f t="shared" si="13"/>
        <v/>
      </c>
    </row>
    <row r="141" spans="1:45" outlineLevel="1">
      <c r="A141" s="120" t="s">
        <v>2150</v>
      </c>
      <c r="B141" s="126" t="s">
        <v>552</v>
      </c>
      <c r="C141" s="167"/>
      <c r="D141" s="120" t="s">
        <v>753</v>
      </c>
      <c r="E141" s="120" t="s">
        <v>2149</v>
      </c>
      <c r="F141" s="120" t="s">
        <v>753</v>
      </c>
      <c r="G141" s="120" t="s">
        <v>753</v>
      </c>
      <c r="H141" s="120" t="s">
        <v>753</v>
      </c>
      <c r="I141" s="120" t="s">
        <v>753</v>
      </c>
      <c r="J141" s="120" t="s">
        <v>753</v>
      </c>
      <c r="K141" s="120" t="s">
        <v>753</v>
      </c>
      <c r="L141" s="120" t="s">
        <v>753</v>
      </c>
      <c r="M141" s="126"/>
      <c r="N141" s="126"/>
      <c r="O141" s="126"/>
      <c r="P141" s="126"/>
      <c r="Q141" s="126"/>
      <c r="R141" s="126"/>
      <c r="S141" s="126"/>
      <c r="T141" s="126"/>
      <c r="U141" s="126"/>
      <c r="V141" s="126"/>
      <c r="W141" s="126"/>
      <c r="X141" s="126"/>
      <c r="Y141" s="126"/>
      <c r="Z141" s="126"/>
      <c r="AA141" s="126"/>
      <c r="AB141" s="126"/>
      <c r="AC141" s="126"/>
      <c r="AD141" s="116" t="str">
        <f t="array" ref="AD141">IF(ISBLANK(AA141),,AA141&amp;("/"))&amp;IF(ISBLANK(Z141),,Z141&amp;("/"))&amp;IF(ISBLANK(Y141),,Y141&amp;("/"))&amp;IF(ISBLANK(X141),,X141&amp;("/"))&amp;IF(ISBLANK(W141),,W141&amp;("/"))&amp;IF(ISBLANK(V141),,V141&amp;("/"))&amp;IF(ISBLANK(U141),,U141&amp;("/"))&amp;IF(ISBLANK(T141),,T141&amp;("/"))&amp;IF(ISBLANK(S141),,S141&amp;("/"))&amp;IF(ISBLANK(R141),,R141&amp;("/"))&amp;IF(ISBLANK(Q141),,Q141&amp;("/"))&amp;IF(ISBLANK(P141),,P141&amp;("/"))&amp;IF(ISBLANK(O141),,O141&amp;("/"))&amp;IF(ISBLANK(N141),,N141&amp;("/"))&amp;IF(G141="-",M141,M141&amp;("_")&amp;MID(G141,1,1))</f>
        <v/>
      </c>
      <c r="AF141" s="115" t="str">
        <f t="shared" si="0"/>
        <v/>
      </c>
      <c r="AG141" s="115" t="str">
        <f t="shared" si="1"/>
        <v/>
      </c>
      <c r="AH141" s="115" t="str">
        <f t="shared" si="2"/>
        <v/>
      </c>
      <c r="AI141" s="115" t="str">
        <f t="shared" si="3"/>
        <v/>
      </c>
      <c r="AJ141" s="115" t="str">
        <f t="shared" si="4"/>
        <v/>
      </c>
      <c r="AK141" s="115" t="str">
        <f t="shared" si="5"/>
        <v/>
      </c>
      <c r="AL141" s="115" t="str">
        <f t="shared" si="6"/>
        <v/>
      </c>
      <c r="AM141" s="115" t="str">
        <f t="shared" si="7"/>
        <v/>
      </c>
      <c r="AN141" s="115" t="str">
        <f t="shared" si="8"/>
        <v/>
      </c>
      <c r="AO141" s="115" t="str">
        <f t="shared" si="9"/>
        <v/>
      </c>
      <c r="AP141" s="115" t="str">
        <f t="shared" si="10"/>
        <v/>
      </c>
      <c r="AQ141" s="115" t="str">
        <f t="shared" si="11"/>
        <v/>
      </c>
      <c r="AR141" s="115" t="str">
        <f t="shared" si="12"/>
        <v/>
      </c>
      <c r="AS141" s="115" t="str">
        <f t="shared" si="13"/>
        <v/>
      </c>
    </row>
    <row r="142" spans="1:45" outlineLevel="1">
      <c r="A142" s="119" t="s">
        <v>2148</v>
      </c>
      <c r="B142" s="118" t="s">
        <v>507</v>
      </c>
      <c r="C142" s="118"/>
      <c r="D142" s="119" t="s">
        <v>753</v>
      </c>
      <c r="E142" s="119" t="s">
        <v>1104</v>
      </c>
      <c r="F142" s="119" t="s">
        <v>1123</v>
      </c>
      <c r="G142" s="119" t="s">
        <v>1774</v>
      </c>
      <c r="H142" s="119" t="s">
        <v>2091</v>
      </c>
      <c r="I142" s="119" t="s">
        <v>2147</v>
      </c>
      <c r="J142" s="119" t="s">
        <v>2147</v>
      </c>
      <c r="K142" s="119" t="s">
        <v>371</v>
      </c>
      <c r="L142" s="119" t="s">
        <v>371</v>
      </c>
      <c r="M142" s="118" t="s">
        <v>2146</v>
      </c>
      <c r="N142" s="118"/>
      <c r="O142" s="118"/>
      <c r="P142" s="118"/>
      <c r="Q142" s="118"/>
      <c r="R142" s="118"/>
      <c r="S142" s="118"/>
      <c r="T142" s="118"/>
      <c r="U142" s="118"/>
      <c r="V142" s="118"/>
      <c r="W142" s="118"/>
      <c r="X142" s="118"/>
      <c r="Y142" s="118"/>
      <c r="Z142" s="118"/>
      <c r="AA142" s="118"/>
      <c r="AB142" s="118"/>
      <c r="AC142" s="118"/>
      <c r="AD142" s="116" t="str">
        <f t="array" ref="AD142">IF(ISBLANK(AA142),,AA142&amp;("/"))&amp;IF(ISBLANK(Z142),,Z142&amp;("/"))&amp;IF(ISBLANK(Y142),,Y142&amp;("/"))&amp;IF(ISBLANK(X142),,X142&amp;("/"))&amp;IF(ISBLANK(W142),,W142&amp;("/"))&amp;IF(ISBLANK(V142),,V142&amp;("/"))&amp;IF(ISBLANK(U142),,U142&amp;("/"))&amp;IF(ISBLANK(T142),,T142&amp;("/"))&amp;IF(ISBLANK(S142),,S142&amp;("/"))&amp;IF(ISBLANK(R142),,R142&amp;("/"))&amp;IF(ISBLANK(Q142),,Q142&amp;("/"))&amp;IF(ISBLANK(P142),,P142&amp;("/"))&amp;IF(ISBLANK(O142),,O142&amp;("/"))&amp;IF(ISBLANK(N142),,N142&amp;("/"))&amp;IF(G142="-",M142,M142&amp;("_")&amp;MID(G142,1,1))</f>
        <v>NPOR_u</v>
      </c>
      <c r="AE142" s="115" t="str">
        <f t="shared" si="14"/>
        <v>y</v>
      </c>
      <c r="AF142" s="115" t="str">
        <f t="shared" si="0"/>
        <v/>
      </c>
      <c r="AG142" s="115" t="str">
        <f t="shared" si="1"/>
        <v/>
      </c>
      <c r="AH142" s="115" t="str">
        <f t="shared" si="2"/>
        <v/>
      </c>
      <c r="AI142" s="115" t="str">
        <f t="shared" si="3"/>
        <v/>
      </c>
      <c r="AJ142" s="115" t="str">
        <f t="shared" si="4"/>
        <v/>
      </c>
      <c r="AK142" s="115" t="str">
        <f t="shared" si="5"/>
        <v/>
      </c>
      <c r="AL142" s="115" t="str">
        <f t="shared" si="6"/>
        <v/>
      </c>
      <c r="AM142" s="115" t="str">
        <f t="shared" si="7"/>
        <v/>
      </c>
      <c r="AN142" s="115" t="str">
        <f t="shared" si="8"/>
        <v/>
      </c>
      <c r="AO142" s="115" t="str">
        <f t="shared" si="9"/>
        <v/>
      </c>
      <c r="AP142" s="115" t="str">
        <f t="shared" si="10"/>
        <v/>
      </c>
      <c r="AQ142" s="115" t="str">
        <f t="shared" si="11"/>
        <v/>
      </c>
      <c r="AR142" s="115" t="str">
        <f t="shared" si="12"/>
        <v/>
      </c>
      <c r="AS142" s="115" t="str">
        <f t="shared" si="13"/>
        <v/>
      </c>
    </row>
    <row r="143" spans="1:45" outlineLevel="1">
      <c r="A143" s="120" t="s">
        <v>2145</v>
      </c>
      <c r="B143" s="167" t="s">
        <v>443</v>
      </c>
      <c r="C143" s="167"/>
      <c r="D143" s="120" t="s">
        <v>753</v>
      </c>
      <c r="E143" s="120" t="s">
        <v>2144</v>
      </c>
      <c r="F143" s="120" t="s">
        <v>753</v>
      </c>
      <c r="G143" s="120" t="s">
        <v>753</v>
      </c>
      <c r="H143" s="120" t="s">
        <v>753</v>
      </c>
      <c r="I143" s="120" t="s">
        <v>753</v>
      </c>
      <c r="J143" s="120" t="s">
        <v>753</v>
      </c>
      <c r="K143" s="120" t="s">
        <v>753</v>
      </c>
      <c r="L143" s="120" t="s">
        <v>753</v>
      </c>
      <c r="M143" s="126" t="s">
        <v>443</v>
      </c>
      <c r="N143" s="126"/>
      <c r="O143" s="126"/>
      <c r="P143" s="126"/>
      <c r="Q143" s="126"/>
      <c r="R143" s="126"/>
      <c r="S143" s="126"/>
      <c r="T143" s="126"/>
      <c r="U143" s="126"/>
      <c r="V143" s="126"/>
      <c r="W143" s="126"/>
      <c r="X143" s="126"/>
      <c r="Y143" s="126"/>
      <c r="Z143" s="126"/>
      <c r="AA143" s="126"/>
      <c r="AB143" s="126"/>
      <c r="AC143" s="126"/>
      <c r="AD143" s="116" t="str">
        <f t="array" ref="AD143">IF(ISBLANK(AA143),,AA143&amp;("/"))&amp;IF(ISBLANK(Z143),,Z143&amp;("/"))&amp;IF(ISBLANK(Y143),,Y143&amp;("/"))&amp;IF(ISBLANK(X143),,X143&amp;("/"))&amp;IF(ISBLANK(W143),,W143&amp;("/"))&amp;IF(ISBLANK(V143),,V143&amp;("/"))&amp;IF(ISBLANK(U143),,U143&amp;("/"))&amp;IF(ISBLANK(T143),,T143&amp;("/"))&amp;IF(ISBLANK(S143),,S143&amp;("/"))&amp;IF(ISBLANK(R143),,R143&amp;("/"))&amp;IF(ISBLANK(Q143),,Q143&amp;("/"))&amp;IF(ISBLANK(P143),,P143&amp;("/"))&amp;IF(ISBLANK(O143),,O143&amp;("/"))&amp;IF(ISBLANK(N143),,N143&amp;("/"))&amp;IF(G143="-",M143,M143&amp;("_")&amp;MID(G143,1,1))</f>
        <v>TVSS_d</v>
      </c>
      <c r="AE143" s="115" t="str">
        <f t="shared" si="14"/>
        <v>y</v>
      </c>
      <c r="AF143" s="115" t="str">
        <f t="shared" si="0"/>
        <v/>
      </c>
      <c r="AG143" s="115" t="str">
        <f t="shared" si="1"/>
        <v/>
      </c>
      <c r="AH143" s="115" t="str">
        <f t="shared" si="2"/>
        <v/>
      </c>
      <c r="AI143" s="115" t="str">
        <f t="shared" si="3"/>
        <v/>
      </c>
      <c r="AJ143" s="115" t="str">
        <f t="shared" si="4"/>
        <v/>
      </c>
      <c r="AK143" s="115" t="str">
        <f t="shared" si="5"/>
        <v/>
      </c>
      <c r="AL143" s="115" t="str">
        <f t="shared" si="6"/>
        <v/>
      </c>
      <c r="AM143" s="115" t="str">
        <f t="shared" si="7"/>
        <v/>
      </c>
      <c r="AN143" s="115" t="str">
        <f t="shared" si="8"/>
        <v/>
      </c>
      <c r="AO143" s="115" t="str">
        <f t="shared" si="9"/>
        <v/>
      </c>
      <c r="AP143" s="115" t="str">
        <f t="shared" si="10"/>
        <v/>
      </c>
      <c r="AQ143" s="115" t="str">
        <f t="shared" si="11"/>
        <v/>
      </c>
      <c r="AR143" s="115" t="str">
        <f t="shared" si="12"/>
        <v/>
      </c>
      <c r="AS143" s="115" t="str">
        <f t="shared" si="13"/>
        <v/>
      </c>
    </row>
    <row r="144" spans="1:45" outlineLevel="1">
      <c r="A144" s="138" t="s">
        <v>2143</v>
      </c>
      <c r="B144" s="139" t="s">
        <v>2142</v>
      </c>
      <c r="C144" s="118"/>
      <c r="D144" s="119" t="s">
        <v>753</v>
      </c>
      <c r="E144" s="119" t="s">
        <v>1124</v>
      </c>
      <c r="F144" s="119" t="s">
        <v>1123</v>
      </c>
      <c r="G144" s="119" t="s">
        <v>1122</v>
      </c>
      <c r="H144" s="119" t="s">
        <v>2091</v>
      </c>
      <c r="I144" s="119" t="s">
        <v>2090</v>
      </c>
      <c r="J144" s="119">
        <v>50</v>
      </c>
      <c r="K144" s="119" t="s">
        <v>371</v>
      </c>
      <c r="L144" s="119" t="s">
        <v>371</v>
      </c>
      <c r="M144" s="118" t="s">
        <v>3472</v>
      </c>
      <c r="N144" s="118" t="s">
        <v>3471</v>
      </c>
      <c r="O144" s="118"/>
      <c r="P144" s="118"/>
      <c r="Q144" s="118"/>
      <c r="R144" s="118"/>
      <c r="S144" s="118"/>
      <c r="T144" s="118"/>
      <c r="U144" s="118"/>
      <c r="V144" s="118"/>
      <c r="W144" s="118" t="s">
        <v>3470</v>
      </c>
      <c r="X144" s="118"/>
      <c r="Y144" s="118"/>
      <c r="Z144" s="118"/>
      <c r="AA144" s="118"/>
      <c r="AB144" s="118"/>
      <c r="AC144" s="118"/>
      <c r="AD144" s="116" t="str">
        <f t="array" ref="AD144">IF(ISBLANK(AA144),,AA144&amp;("/"))&amp;IF(ISBLANK(Z144),,Z144&amp;("/"))&amp;IF(ISBLANK(Y144),,Y144&amp;("/"))&amp;IF(ISBLANK(X144),,X144&amp;("/"))&amp;IF(ISBLANK(W144),,W144&amp;("/"))&amp;IF(ISBLANK(V144),,V144&amp;("/"))&amp;IF(ISBLANK(U144),,U144&amp;("/"))&amp;IF(ISBLANK(T144),,T144&amp;("/"))&amp;IF(ISBLANK(S144),,S144&amp;("/"))&amp;IF(ISBLANK(R144),,R144&amp;("/"))&amp;IF(ISBLANK(Q144),,Q144&amp;("/"))&amp;IF(ISBLANK(P144),,P144&amp;("/"))&amp;IF(ISBLANK(O144),,O144&amp;("/"))&amp;IF(ISBLANK(N144),,N144&amp;("/"))&amp;IF(G144="-",M144,M144&amp;("_")&amp;MID(G144,1,1))</f>
        <v>AUPLL_CLK_IN/REF_CLK0_OUT/GPIO0_A0_d</v>
      </c>
      <c r="AE144" s="115" t="str">
        <f t="shared" si="14"/>
        <v>y</v>
      </c>
      <c r="AF144" s="115" t="str">
        <f t="shared" si="0"/>
        <v/>
      </c>
      <c r="AG144" s="115" t="str">
        <f t="shared" si="1"/>
        <v/>
      </c>
      <c r="AH144" s="115" t="str">
        <f t="shared" si="2"/>
        <v/>
      </c>
      <c r="AI144" s="115" t="str">
        <f t="shared" si="3"/>
        <v/>
      </c>
      <c r="AJ144" s="115" t="str">
        <f t="shared" si="4"/>
        <v/>
      </c>
      <c r="AK144" s="115" t="str">
        <f t="shared" si="5"/>
        <v/>
      </c>
      <c r="AL144" s="115" t="str">
        <f t="shared" si="6"/>
        <v/>
      </c>
      <c r="AM144" s="115" t="str">
        <f t="shared" si="7"/>
        <v/>
      </c>
      <c r="AN144" s="115" t="str">
        <f t="shared" si="8"/>
        <v/>
      </c>
      <c r="AO144" s="115" t="str">
        <f t="shared" si="9"/>
        <v/>
      </c>
      <c r="AP144" s="115" t="str">
        <f t="shared" si="10"/>
        <v/>
      </c>
      <c r="AQ144" s="115" t="str">
        <f t="shared" si="11"/>
        <v/>
      </c>
      <c r="AR144" s="115" t="str">
        <f t="shared" si="12"/>
        <v/>
      </c>
      <c r="AS144" s="115" t="str">
        <f t="shared" si="13"/>
        <v/>
      </c>
    </row>
    <row r="145" spans="1:45" ht="17.25" customHeight="1" outlineLevel="1">
      <c r="A145" s="138" t="s">
        <v>2140</v>
      </c>
      <c r="B145" s="139" t="s">
        <v>2139</v>
      </c>
      <c r="C145" s="118"/>
      <c r="D145" s="119" t="s">
        <v>753</v>
      </c>
      <c r="E145" s="119" t="s">
        <v>1124</v>
      </c>
      <c r="F145" s="119" t="s">
        <v>1123</v>
      </c>
      <c r="G145" s="119" t="s">
        <v>2092</v>
      </c>
      <c r="H145" s="119" t="s">
        <v>2091</v>
      </c>
      <c r="I145" s="119" t="s">
        <v>2090</v>
      </c>
      <c r="J145" s="119">
        <v>50</v>
      </c>
      <c r="K145" s="119" t="s">
        <v>371</v>
      </c>
      <c r="L145" s="119" t="s">
        <v>371</v>
      </c>
      <c r="M145" s="118" t="s">
        <v>2138</v>
      </c>
      <c r="N145" s="118" t="s">
        <v>2137</v>
      </c>
      <c r="O145" s="118"/>
      <c r="P145" s="118"/>
      <c r="Q145" s="118"/>
      <c r="R145" s="118"/>
      <c r="S145" s="118"/>
      <c r="T145" s="118"/>
      <c r="U145" s="118"/>
      <c r="V145" s="118"/>
      <c r="W145" s="118"/>
      <c r="X145" s="118"/>
      <c r="Y145" s="118"/>
      <c r="Z145" s="118"/>
      <c r="AA145" s="118"/>
      <c r="AB145" s="118"/>
      <c r="AC145" s="118"/>
      <c r="AD145" s="116" t="str">
        <f t="array" ref="AD145">IF(ISBLANK(AA145),,AA145&amp;("/"))&amp;IF(ISBLANK(Z145),,Z145&amp;("/"))&amp;IF(ISBLANK(Y145),,Y145&amp;("/"))&amp;IF(ISBLANK(X145),,X145&amp;("/"))&amp;IF(ISBLANK(W145),,W145&amp;("/"))&amp;IF(ISBLANK(V145),,V145&amp;("/"))&amp;IF(ISBLANK(U145),,U145&amp;("/"))&amp;IF(ISBLANK(T145),,T145&amp;("/"))&amp;IF(ISBLANK(S145),,S145&amp;("/"))&amp;IF(ISBLANK(R145),,R145&amp;("/"))&amp;IF(ISBLANK(Q145),,Q145&amp;("/"))&amp;IF(ISBLANK(P145),,P145&amp;("/"))&amp;IF(ISBLANK(O145),,O145&amp;("/"))&amp;IF(ISBLANK(N145),,N145&amp;("/"))&amp;IF(G145="-",M145,M145&amp;("_")&amp;MID(G145,6,6))</f>
        <v>RST_OUT_M0/GPIO0_A1_z</v>
      </c>
      <c r="AE145" s="115" t="str">
        <f t="shared" si="14"/>
        <v>y</v>
      </c>
      <c r="AF145" s="115" t="str">
        <f t="shared" si="0"/>
        <v/>
      </c>
      <c r="AG145" s="115" t="str">
        <f t="shared" si="1"/>
        <v/>
      </c>
      <c r="AH145" s="115" t="str">
        <f t="shared" si="2"/>
        <v/>
      </c>
      <c r="AI145" s="115" t="str">
        <f t="shared" si="3"/>
        <v/>
      </c>
      <c r="AJ145" s="115" t="str">
        <f t="shared" si="4"/>
        <v/>
      </c>
      <c r="AK145" s="115" t="str">
        <f t="shared" si="5"/>
        <v/>
      </c>
      <c r="AL145" s="115" t="str">
        <f t="shared" si="6"/>
        <v/>
      </c>
      <c r="AM145" s="115" t="str">
        <f t="shared" si="7"/>
        <v/>
      </c>
      <c r="AN145" s="115" t="str">
        <f t="shared" si="8"/>
        <v/>
      </c>
      <c r="AO145" s="115" t="str">
        <f t="shared" si="9"/>
        <v/>
      </c>
      <c r="AP145" s="115" t="str">
        <f t="shared" si="10"/>
        <v/>
      </c>
      <c r="AQ145" s="115" t="str">
        <f t="shared" si="11"/>
        <v/>
      </c>
      <c r="AR145" s="115" t="str">
        <f t="shared" si="12"/>
        <v/>
      </c>
      <c r="AS145" s="115" t="str">
        <f t="shared" si="13"/>
        <v/>
      </c>
    </row>
    <row r="146" spans="1:45" outlineLevel="1">
      <c r="A146" s="138" t="s">
        <v>2136</v>
      </c>
      <c r="B146" s="139" t="s">
        <v>2135</v>
      </c>
      <c r="C146" s="118"/>
      <c r="D146" s="119" t="s">
        <v>753</v>
      </c>
      <c r="E146" s="119" t="s">
        <v>1124</v>
      </c>
      <c r="F146" s="119" t="s">
        <v>1123</v>
      </c>
      <c r="G146" s="119" t="s">
        <v>1122</v>
      </c>
      <c r="H146" s="119" t="s">
        <v>2091</v>
      </c>
      <c r="I146" s="119" t="s">
        <v>2090</v>
      </c>
      <c r="J146" s="119">
        <v>50</v>
      </c>
      <c r="K146" s="119" t="s">
        <v>371</v>
      </c>
      <c r="L146" s="119" t="s">
        <v>371</v>
      </c>
      <c r="M146" s="118" t="s">
        <v>2134</v>
      </c>
      <c r="N146" s="118" t="s">
        <v>2133</v>
      </c>
      <c r="O146" s="118"/>
      <c r="P146" s="118"/>
      <c r="Q146" s="118"/>
      <c r="R146" s="118"/>
      <c r="S146" s="118"/>
      <c r="T146" s="118"/>
      <c r="U146" s="118"/>
      <c r="V146" s="118"/>
      <c r="W146" s="118" t="s">
        <v>2132</v>
      </c>
      <c r="X146" s="118" t="s">
        <v>2131</v>
      </c>
      <c r="Y146" s="118"/>
      <c r="Z146" s="118"/>
      <c r="AA146" s="118"/>
      <c r="AB146" s="118"/>
      <c r="AC146" s="118"/>
      <c r="AD146" s="116" t="str">
        <f t="array" ref="AD146">IF(ISBLANK(AA146),,AA146&amp;("/"))&amp;IF(ISBLANK(Z146),,Z146&amp;("/"))&amp;IF(ISBLANK(Y146),,Y146&amp;("/"))&amp;IF(ISBLANK(X146),,X146&amp;("/"))&amp;IF(ISBLANK(W146),,W146&amp;("/"))&amp;IF(ISBLANK(V146),,V146&amp;("/"))&amp;IF(ISBLANK(U146),,U146&amp;("/"))&amp;IF(ISBLANK(T146),,T146&amp;("/"))&amp;IF(ISBLANK(S146),,S146&amp;("/"))&amp;IF(ISBLANK(R146),,R146&amp;("/"))&amp;IF(ISBLANK(Q146),,Q146&amp;("/"))&amp;IF(ISBLANK(P146),,P146&amp;("/"))&amp;IF(ISBLANK(O146),,O146&amp;("/"))&amp;IF(ISBLANK(N146),,N146&amp;("/"))&amp;IF(G146="-",M146,M146&amp;("_")&amp;MID(G146,1,1))</f>
        <v>I2C6_SCL_M0/CLK0_32K_OUT/CLK_32K_IN/GPIO0_A2_d</v>
      </c>
      <c r="AE146" s="115" t="str">
        <f t="shared" si="14"/>
        <v>y</v>
      </c>
      <c r="AF146" s="115" t="str">
        <f t="shared" ref="AF146:AF177" si="15">IF(ISNUMBER(FIND(N146,$B146)),"",N146)</f>
        <v/>
      </c>
      <c r="AG146" s="115" t="str">
        <f t="shared" ref="AG146:AG177" si="16">IF(ISNUMBER(FIND(O146,$B146)),"",O146)</f>
        <v/>
      </c>
      <c r="AH146" s="115" t="str">
        <f t="shared" ref="AH146:AH177" si="17">IF(ISNUMBER(FIND(P146,$B146)),"",P146)</f>
        <v/>
      </c>
      <c r="AI146" s="115" t="str">
        <f t="shared" ref="AI146:AI177" si="18">IF(ISNUMBER(FIND(Q146,$B146)),"",Q146)</f>
        <v/>
      </c>
      <c r="AJ146" s="115" t="str">
        <f t="shared" ref="AJ146:AJ177" si="19">IF(ISNUMBER(FIND(R146,$B146)),"",R146)</f>
        <v/>
      </c>
      <c r="AK146" s="115" t="str">
        <f t="shared" ref="AK146:AK177" si="20">IF(ISNUMBER(FIND(S146,$B146)),"",S146)</f>
        <v/>
      </c>
      <c r="AL146" s="115" t="str">
        <f t="shared" ref="AL146:AL177" si="21">IF(ISNUMBER(FIND(T146,$B146)),"",T146)</f>
        <v/>
      </c>
      <c r="AM146" s="115" t="str">
        <f t="shared" ref="AM146:AM177" si="22">IF(ISNUMBER(FIND(U146,$B146)),"",U146)</f>
        <v/>
      </c>
      <c r="AN146" s="115" t="str">
        <f t="shared" ref="AN146:AN177" si="23">IF(ISNUMBER(FIND(V146,$B146)),"",V146)</f>
        <v/>
      </c>
      <c r="AO146" s="115" t="str">
        <f t="shared" ref="AO146:AO177" si="24">IF(ISNUMBER(FIND(W146,$B146)),"",W146)</f>
        <v/>
      </c>
      <c r="AP146" s="115" t="str">
        <f t="shared" ref="AP146:AP177" si="25">IF(ISNUMBER(FIND(X146,$B146)),"",X146)</f>
        <v/>
      </c>
      <c r="AQ146" s="115" t="str">
        <f t="shared" ref="AQ146:AQ177" si="26">IF(ISNUMBER(FIND(Y146,$B146)),"",Y146)</f>
        <v/>
      </c>
      <c r="AR146" s="115" t="str">
        <f t="shared" ref="AR146:AR177" si="27">IF(ISNUMBER(FIND(Z146,$B146)),"",Z146)</f>
        <v/>
      </c>
      <c r="AS146" s="115" t="str">
        <f t="shared" ref="AS146:AS177" si="28">IF(ISNUMBER(FIND(AA146,$B146)),"",AA146)</f>
        <v/>
      </c>
    </row>
    <row r="147" spans="1:45" outlineLevel="1">
      <c r="A147" s="138" t="s">
        <v>2130</v>
      </c>
      <c r="B147" s="139" t="s">
        <v>2129</v>
      </c>
      <c r="C147" s="118"/>
      <c r="D147" s="119" t="s">
        <v>753</v>
      </c>
      <c r="E147" s="119" t="s">
        <v>1124</v>
      </c>
      <c r="F147" s="119" t="s">
        <v>1123</v>
      </c>
      <c r="G147" s="119" t="s">
        <v>1122</v>
      </c>
      <c r="H147" s="119" t="s">
        <v>2091</v>
      </c>
      <c r="I147" s="119" t="s">
        <v>2090</v>
      </c>
      <c r="J147" s="119">
        <v>50</v>
      </c>
      <c r="K147" s="119" t="s">
        <v>371</v>
      </c>
      <c r="L147" s="119" t="s">
        <v>371</v>
      </c>
      <c r="M147" s="118" t="s">
        <v>2128</v>
      </c>
      <c r="N147" s="118" t="s">
        <v>2127</v>
      </c>
      <c r="O147" s="118"/>
      <c r="P147" s="118"/>
      <c r="Q147" s="118"/>
      <c r="R147" s="118"/>
      <c r="S147" s="118"/>
      <c r="T147" s="118"/>
      <c r="U147" s="118"/>
      <c r="V147" s="118"/>
      <c r="W147" s="118" t="s">
        <v>2126</v>
      </c>
      <c r="X147" s="118"/>
      <c r="Y147" s="118"/>
      <c r="Z147" s="118"/>
      <c r="AA147" s="118"/>
      <c r="AB147" s="118"/>
      <c r="AC147" s="118"/>
      <c r="AD147" s="116" t="str">
        <f t="array" ref="AD147">IF(ISBLANK(AA147),,AA147&amp;("/"))&amp;IF(ISBLANK(Z147),,Z147&amp;("/"))&amp;IF(ISBLANK(Y147),,Y147&amp;("/"))&amp;IF(ISBLANK(X147),,X147&amp;("/"))&amp;IF(ISBLANK(W147),,W147&amp;("/"))&amp;IF(ISBLANK(V147),,V147&amp;("/"))&amp;IF(ISBLANK(U147),,U147&amp;("/"))&amp;IF(ISBLANK(T147),,T147&amp;("/"))&amp;IF(ISBLANK(S147),,S147&amp;("/"))&amp;IF(ISBLANK(R147),,R147&amp;("/"))&amp;IF(ISBLANK(Q147),,Q147&amp;("/"))&amp;IF(ISBLANK(P147),,P147&amp;("/"))&amp;IF(ISBLANK(O147),,O147&amp;("/"))&amp;IF(ISBLANK(N147),,N147&amp;("/"))&amp;IF(G147="-",M147,M147&amp;("_")&amp;MID(G147,1,1))</f>
        <v>RST_OUT_M1/PWR_CTRL1/GPIO0_A3_d</v>
      </c>
      <c r="AE147" s="115" t="str">
        <f t="shared" si="14"/>
        <v>y</v>
      </c>
      <c r="AF147" s="115" t="str">
        <f t="shared" si="15"/>
        <v/>
      </c>
      <c r="AG147" s="115" t="str">
        <f t="shared" si="16"/>
        <v/>
      </c>
      <c r="AH147" s="115" t="str">
        <f t="shared" si="17"/>
        <v/>
      </c>
      <c r="AI147" s="115" t="str">
        <f t="shared" si="18"/>
        <v/>
      </c>
      <c r="AJ147" s="115" t="str">
        <f t="shared" si="19"/>
        <v/>
      </c>
      <c r="AK147" s="115" t="str">
        <f t="shared" si="20"/>
        <v/>
      </c>
      <c r="AL147" s="115" t="str">
        <f t="shared" si="21"/>
        <v/>
      </c>
      <c r="AM147" s="115" t="str">
        <f t="shared" si="22"/>
        <v/>
      </c>
      <c r="AN147" s="115" t="str">
        <f t="shared" si="23"/>
        <v/>
      </c>
      <c r="AO147" s="115" t="str">
        <f t="shared" si="24"/>
        <v/>
      </c>
      <c r="AP147" s="115" t="str">
        <f t="shared" si="25"/>
        <v/>
      </c>
      <c r="AQ147" s="115" t="str">
        <f t="shared" si="26"/>
        <v/>
      </c>
      <c r="AR147" s="115" t="str">
        <f t="shared" si="27"/>
        <v/>
      </c>
      <c r="AS147" s="115" t="str">
        <f t="shared" si="28"/>
        <v/>
      </c>
    </row>
    <row r="148" spans="1:45" outlineLevel="1">
      <c r="A148" s="138" t="s">
        <v>2125</v>
      </c>
      <c r="B148" s="139" t="s">
        <v>439</v>
      </c>
      <c r="C148" s="118"/>
      <c r="D148" s="119" t="s">
        <v>753</v>
      </c>
      <c r="E148" s="119" t="s">
        <v>1124</v>
      </c>
      <c r="F148" s="119" t="s">
        <v>1123</v>
      </c>
      <c r="G148" s="119" t="s">
        <v>2092</v>
      </c>
      <c r="H148" s="119" t="s">
        <v>2091</v>
      </c>
      <c r="I148" s="119" t="s">
        <v>2090</v>
      </c>
      <c r="J148" s="119">
        <v>50</v>
      </c>
      <c r="K148" s="119" t="s">
        <v>371</v>
      </c>
      <c r="L148" s="119" t="s">
        <v>371</v>
      </c>
      <c r="M148" s="118" t="s">
        <v>2124</v>
      </c>
      <c r="N148" s="118" t="s">
        <v>2123</v>
      </c>
      <c r="O148" s="118"/>
      <c r="P148" s="118"/>
      <c r="Q148" s="118"/>
      <c r="R148" s="118"/>
      <c r="S148" s="118"/>
      <c r="T148" s="118"/>
      <c r="U148" s="118"/>
      <c r="V148" s="118"/>
      <c r="W148" s="118"/>
      <c r="X148" s="118"/>
      <c r="Y148" s="118"/>
      <c r="Z148" s="118"/>
      <c r="AA148" s="118"/>
      <c r="AB148" s="118"/>
      <c r="AC148" s="118"/>
      <c r="AD148" s="116" t="str">
        <f t="array" ref="AD148">IF(ISBLANK(AA148),,AA148&amp;("/"))&amp;IF(ISBLANK(Z148),,Z148&amp;("/"))&amp;IF(ISBLANK(Y148),,Y148&amp;("/"))&amp;IF(ISBLANK(X148),,X148&amp;("/"))&amp;IF(ISBLANK(W148),,W148&amp;("/"))&amp;IF(ISBLANK(V148),,V148&amp;("/"))&amp;IF(ISBLANK(U148),,U148&amp;("/"))&amp;IF(ISBLANK(T148),,T148&amp;("/"))&amp;IF(ISBLANK(S148),,S148&amp;("/"))&amp;IF(ISBLANK(R148),,R148&amp;("/"))&amp;IF(ISBLANK(Q148),,Q148&amp;("/"))&amp;IF(ISBLANK(P148),,P148&amp;("/"))&amp;IF(ISBLANK(O148),,O148&amp;("/"))&amp;IF(ISBLANK(N148),,N148&amp;("/"))&amp;IF(G148="-",M148,M148&amp;("_")&amp;MID(G148,6,6))</f>
        <v>PWR_CTRL2/GPIO0_A4_z</v>
      </c>
      <c r="AE148" s="115" t="str">
        <f t="shared" si="14"/>
        <v>y</v>
      </c>
      <c r="AF148" s="115" t="str">
        <f t="shared" si="15"/>
        <v/>
      </c>
      <c r="AG148" s="115" t="str">
        <f t="shared" si="16"/>
        <v/>
      </c>
      <c r="AH148" s="115" t="str">
        <f t="shared" si="17"/>
        <v/>
      </c>
      <c r="AI148" s="115" t="str">
        <f t="shared" si="18"/>
        <v/>
      </c>
      <c r="AJ148" s="115" t="str">
        <f t="shared" si="19"/>
        <v/>
      </c>
      <c r="AK148" s="115" t="str">
        <f t="shared" si="20"/>
        <v/>
      </c>
      <c r="AL148" s="115" t="str">
        <f t="shared" si="21"/>
        <v/>
      </c>
      <c r="AM148" s="115" t="str">
        <f t="shared" si="22"/>
        <v/>
      </c>
      <c r="AN148" s="115" t="str">
        <f t="shared" si="23"/>
        <v/>
      </c>
      <c r="AO148" s="115" t="str">
        <f t="shared" si="24"/>
        <v/>
      </c>
      <c r="AP148" s="115" t="str">
        <f t="shared" si="25"/>
        <v/>
      </c>
      <c r="AQ148" s="115" t="str">
        <f t="shared" si="26"/>
        <v/>
      </c>
      <c r="AR148" s="115" t="str">
        <f t="shared" si="27"/>
        <v/>
      </c>
      <c r="AS148" s="115" t="str">
        <f t="shared" si="28"/>
        <v/>
      </c>
    </row>
    <row r="149" spans="1:45" outlineLevel="1">
      <c r="A149" s="138" t="s">
        <v>2122</v>
      </c>
      <c r="B149" s="139" t="s">
        <v>2121</v>
      </c>
      <c r="C149" s="118"/>
      <c r="D149" s="119" t="s">
        <v>753</v>
      </c>
      <c r="E149" s="119" t="s">
        <v>1124</v>
      </c>
      <c r="F149" s="119" t="s">
        <v>1123</v>
      </c>
      <c r="G149" s="119" t="s">
        <v>2092</v>
      </c>
      <c r="H149" s="119" t="s">
        <v>2091</v>
      </c>
      <c r="I149" s="119" t="s">
        <v>2090</v>
      </c>
      <c r="J149" s="119">
        <v>50</v>
      </c>
      <c r="K149" s="119" t="s">
        <v>371</v>
      </c>
      <c r="L149" s="119" t="s">
        <v>371</v>
      </c>
      <c r="M149" s="118" t="s">
        <v>2120</v>
      </c>
      <c r="N149" s="118" t="s">
        <v>2119</v>
      </c>
      <c r="O149" s="118"/>
      <c r="P149" s="118"/>
      <c r="Q149" s="118"/>
      <c r="R149" s="118"/>
      <c r="S149" s="118"/>
      <c r="T149" s="118"/>
      <c r="U149" s="118"/>
      <c r="V149" s="118"/>
      <c r="W149" s="118"/>
      <c r="X149" s="118" t="s">
        <v>2118</v>
      </c>
      <c r="Y149" s="118"/>
      <c r="Z149" s="118"/>
      <c r="AA149" s="118"/>
      <c r="AB149" s="118"/>
      <c r="AC149" s="118"/>
      <c r="AD149" s="116" t="str">
        <f t="array" ref="AD149">IF(ISBLANK(AA149),,AA149&amp;("/"))&amp;IF(ISBLANK(Z149),,Z149&amp;("/"))&amp;IF(ISBLANK(Y149),,Y149&amp;("/"))&amp;IF(ISBLANK(X149),,X149&amp;("/"))&amp;IF(ISBLANK(W149),,W149&amp;("/"))&amp;IF(ISBLANK(V149),,V149&amp;("/"))&amp;IF(ISBLANK(U149),,U149&amp;("/"))&amp;IF(ISBLANK(T149),,T149&amp;("/"))&amp;IF(ISBLANK(S149),,S149&amp;("/"))&amp;IF(ISBLANK(R149),,R149&amp;("/"))&amp;IF(ISBLANK(Q149),,Q149&amp;("/"))&amp;IF(ISBLANK(P149),,P149&amp;("/"))&amp;IF(ISBLANK(O149),,O149&amp;("/"))&amp;IF(ISBLANK(N149),,N149&amp;("/"))&amp;IF(G149="-",M149,M149&amp;("_")&amp;MID(G149,6,6))</f>
        <v>I2C6_SDA_M0/PWR_CTRL3/GPIO0_A5_z</v>
      </c>
      <c r="AE149" s="115" t="str">
        <f t="shared" si="14"/>
        <v>y</v>
      </c>
      <c r="AF149" s="115" t="str">
        <f t="shared" si="15"/>
        <v/>
      </c>
      <c r="AG149" s="115" t="str">
        <f t="shared" si="16"/>
        <v/>
      </c>
      <c r="AH149" s="115" t="str">
        <f t="shared" si="17"/>
        <v/>
      </c>
      <c r="AI149" s="115" t="str">
        <f t="shared" si="18"/>
        <v/>
      </c>
      <c r="AJ149" s="115" t="str">
        <f t="shared" si="19"/>
        <v/>
      </c>
      <c r="AK149" s="115" t="str">
        <f t="shared" si="20"/>
        <v/>
      </c>
      <c r="AL149" s="115" t="str">
        <f t="shared" si="21"/>
        <v/>
      </c>
      <c r="AM149" s="115" t="str">
        <f t="shared" si="22"/>
        <v/>
      </c>
      <c r="AN149" s="115" t="str">
        <f t="shared" si="23"/>
        <v/>
      </c>
      <c r="AO149" s="115" t="str">
        <f t="shared" si="24"/>
        <v/>
      </c>
      <c r="AP149" s="115" t="str">
        <f t="shared" si="25"/>
        <v/>
      </c>
      <c r="AQ149" s="115" t="str">
        <f t="shared" si="26"/>
        <v/>
      </c>
      <c r="AR149" s="115" t="str">
        <f t="shared" si="27"/>
        <v/>
      </c>
      <c r="AS149" s="115" t="str">
        <f t="shared" si="28"/>
        <v/>
      </c>
    </row>
    <row r="150" spans="1:45" outlineLevel="1">
      <c r="A150" s="138" t="s">
        <v>2117</v>
      </c>
      <c r="B150" s="139" t="s">
        <v>481</v>
      </c>
      <c r="C150" s="118"/>
      <c r="D150" s="119" t="s">
        <v>753</v>
      </c>
      <c r="E150" s="119" t="s">
        <v>1124</v>
      </c>
      <c r="F150" s="119" t="s">
        <v>1123</v>
      </c>
      <c r="G150" s="119" t="s">
        <v>1774</v>
      </c>
      <c r="H150" s="119" t="s">
        <v>2091</v>
      </c>
      <c r="I150" s="119" t="s">
        <v>2090</v>
      </c>
      <c r="J150" s="119">
        <v>50</v>
      </c>
      <c r="K150" s="119" t="s">
        <v>371</v>
      </c>
      <c r="L150" s="119" t="s">
        <v>371</v>
      </c>
      <c r="M150" s="118" t="s">
        <v>2116</v>
      </c>
      <c r="N150" s="118" t="s">
        <v>2115</v>
      </c>
      <c r="O150" s="118"/>
      <c r="P150" s="118"/>
      <c r="Q150" s="118"/>
      <c r="R150" s="118"/>
      <c r="S150" s="118"/>
      <c r="T150" s="118"/>
      <c r="U150" s="118"/>
      <c r="V150" s="118"/>
      <c r="W150" s="118"/>
      <c r="X150" s="118"/>
      <c r="Y150" s="118"/>
      <c r="Z150" s="118"/>
      <c r="AA150" s="118"/>
      <c r="AB150" s="118"/>
      <c r="AC150" s="118"/>
      <c r="AD150" s="116" t="str">
        <f t="array" ref="AD150">IF(ISBLANK(AA150),,AA150&amp;("/"))&amp;IF(ISBLANK(Z150),,Z150&amp;("/"))&amp;IF(ISBLANK(Y150),,Y150&amp;("/"))&amp;IF(ISBLANK(X150),,X150&amp;("/"))&amp;IF(ISBLANK(W150),,W150&amp;("/"))&amp;IF(ISBLANK(V150),,V150&amp;("/"))&amp;IF(ISBLANK(U150),,U150&amp;("/"))&amp;IF(ISBLANK(T150),,T150&amp;("/"))&amp;IF(ISBLANK(S150),,S150&amp;("/"))&amp;IF(ISBLANK(R150),,R150&amp;("/"))&amp;IF(ISBLANK(Q150),,Q150&amp;("/"))&amp;IF(ISBLANK(P150),,P150&amp;("/"))&amp;IF(ISBLANK(O150),,O150&amp;("/"))&amp;IF(ISBLANK(N150),,N150&amp;("/"))&amp;IF(G150="-",M150,M150&amp;("_")&amp;MID(G150,1,1))</f>
        <v>PMIC_INT/GPIO0_A6_u</v>
      </c>
      <c r="AE150" s="115" t="str">
        <f t="shared" si="14"/>
        <v>y</v>
      </c>
      <c r="AF150" s="115" t="str">
        <f t="shared" si="15"/>
        <v/>
      </c>
      <c r="AG150" s="115" t="str">
        <f t="shared" si="16"/>
        <v/>
      </c>
      <c r="AH150" s="115" t="str">
        <f t="shared" si="17"/>
        <v/>
      </c>
      <c r="AI150" s="115" t="str">
        <f t="shared" si="18"/>
        <v/>
      </c>
      <c r="AJ150" s="115" t="str">
        <f t="shared" si="19"/>
        <v/>
      </c>
      <c r="AK150" s="115" t="str">
        <f t="shared" si="20"/>
        <v/>
      </c>
      <c r="AL150" s="115" t="str">
        <f t="shared" si="21"/>
        <v/>
      </c>
      <c r="AM150" s="115" t="str">
        <f t="shared" si="22"/>
        <v/>
      </c>
      <c r="AN150" s="115" t="str">
        <f t="shared" si="23"/>
        <v/>
      </c>
      <c r="AO150" s="115" t="str">
        <f t="shared" si="24"/>
        <v/>
      </c>
      <c r="AP150" s="115" t="str">
        <f t="shared" si="25"/>
        <v/>
      </c>
      <c r="AQ150" s="115" t="str">
        <f t="shared" si="26"/>
        <v/>
      </c>
      <c r="AR150" s="115" t="str">
        <f t="shared" si="27"/>
        <v/>
      </c>
      <c r="AS150" s="115" t="str">
        <f t="shared" si="28"/>
        <v/>
      </c>
    </row>
    <row r="151" spans="1:45" outlineLevel="1">
      <c r="A151" s="138" t="s">
        <v>2114</v>
      </c>
      <c r="B151" s="139" t="s">
        <v>2113</v>
      </c>
      <c r="C151" s="118"/>
      <c r="D151" s="119" t="s">
        <v>753</v>
      </c>
      <c r="E151" s="119" t="s">
        <v>1124</v>
      </c>
      <c r="F151" s="119" t="s">
        <v>1123</v>
      </c>
      <c r="G151" s="119" t="s">
        <v>1774</v>
      </c>
      <c r="H151" s="119" t="s">
        <v>2091</v>
      </c>
      <c r="I151" s="119" t="s">
        <v>2090</v>
      </c>
      <c r="J151" s="119">
        <v>50</v>
      </c>
      <c r="K151" s="119" t="s">
        <v>371</v>
      </c>
      <c r="L151" s="119" t="s">
        <v>371</v>
      </c>
      <c r="M151" s="118" t="s">
        <v>2112</v>
      </c>
      <c r="N151" s="118" t="s">
        <v>2111</v>
      </c>
      <c r="O151" s="118"/>
      <c r="P151" s="118"/>
      <c r="Q151" s="118"/>
      <c r="R151" s="118"/>
      <c r="S151" s="118"/>
      <c r="T151" s="118"/>
      <c r="U151" s="118"/>
      <c r="V151" s="118"/>
      <c r="W151" s="118" t="s">
        <v>2110</v>
      </c>
      <c r="X151" s="118"/>
      <c r="Y151" s="118"/>
      <c r="Z151" s="118"/>
      <c r="AA151" s="118"/>
      <c r="AB151" s="118"/>
      <c r="AC151" s="118"/>
      <c r="AD151" s="116" t="str">
        <f t="array" ref="AD151">IF(ISBLANK(AA151),,AA151&amp;("/"))&amp;IF(ISBLANK(Z151),,Z151&amp;("/"))&amp;IF(ISBLANK(Y151),,Y151&amp;("/"))&amp;IF(ISBLANK(X151),,X151&amp;("/"))&amp;IF(ISBLANK(W151),,W151&amp;("/"))&amp;IF(ISBLANK(V151),,V151&amp;("/"))&amp;IF(ISBLANK(U151),,U151&amp;("/"))&amp;IF(ISBLANK(T151),,T151&amp;("/"))&amp;IF(ISBLANK(S151),,S151&amp;("/"))&amp;IF(ISBLANK(R151),,R151&amp;("/"))&amp;IF(ISBLANK(Q151),,Q151&amp;("/"))&amp;IF(ISBLANK(P151),,P151&amp;("/"))&amp;IF(ISBLANK(O151),,O151&amp;("/"))&amp;IF(ISBLANK(N151),,N151&amp;("/"))&amp;IF(G151="-",M151,M151&amp;("_")&amp;MID(G151,1,1))</f>
        <v>SPI2_CSN1_M0/SDMMC0_DETN_M0/GPIO0_A7_u</v>
      </c>
      <c r="AE151" s="115" t="str">
        <f t="shared" si="14"/>
        <v>y</v>
      </c>
      <c r="AF151" s="115" t="str">
        <f t="shared" si="15"/>
        <v/>
      </c>
      <c r="AG151" s="115" t="str">
        <f t="shared" si="16"/>
        <v/>
      </c>
      <c r="AH151" s="115" t="str">
        <f t="shared" si="17"/>
        <v/>
      </c>
      <c r="AI151" s="115" t="str">
        <f t="shared" si="18"/>
        <v/>
      </c>
      <c r="AJ151" s="115" t="str">
        <f t="shared" si="19"/>
        <v/>
      </c>
      <c r="AK151" s="115" t="str">
        <f t="shared" si="20"/>
        <v/>
      </c>
      <c r="AL151" s="115" t="str">
        <f t="shared" si="21"/>
        <v/>
      </c>
      <c r="AM151" s="115" t="str">
        <f t="shared" si="22"/>
        <v/>
      </c>
      <c r="AN151" s="115" t="str">
        <f t="shared" si="23"/>
        <v/>
      </c>
      <c r="AO151" s="115" t="str">
        <f t="shared" si="24"/>
        <v/>
      </c>
      <c r="AP151" s="115" t="str">
        <f t="shared" si="25"/>
        <v/>
      </c>
      <c r="AQ151" s="115" t="str">
        <f t="shared" si="26"/>
        <v/>
      </c>
      <c r="AR151" s="115" t="str">
        <f t="shared" si="27"/>
        <v/>
      </c>
      <c r="AS151" s="115" t="str">
        <f t="shared" si="28"/>
        <v/>
      </c>
    </row>
    <row r="152" spans="1:45" outlineLevel="1">
      <c r="A152" s="138" t="s">
        <v>2109</v>
      </c>
      <c r="B152" s="139" t="s">
        <v>2108</v>
      </c>
      <c r="C152" s="118"/>
      <c r="D152" s="119" t="s">
        <v>753</v>
      </c>
      <c r="E152" s="119" t="s">
        <v>1124</v>
      </c>
      <c r="F152" s="119" t="s">
        <v>1123</v>
      </c>
      <c r="G152" s="119" t="s">
        <v>2092</v>
      </c>
      <c r="H152" s="119" t="s">
        <v>2091</v>
      </c>
      <c r="I152" s="119" t="s">
        <v>2090</v>
      </c>
      <c r="J152" s="119">
        <v>50</v>
      </c>
      <c r="K152" s="119" t="s">
        <v>371</v>
      </c>
      <c r="L152" s="119" t="s">
        <v>371</v>
      </c>
      <c r="M152" s="118" t="s">
        <v>2107</v>
      </c>
      <c r="N152" s="118"/>
      <c r="O152" s="118"/>
      <c r="P152" s="118"/>
      <c r="Q152" s="118"/>
      <c r="R152" s="118"/>
      <c r="S152" s="118"/>
      <c r="T152" s="118"/>
      <c r="U152" s="118"/>
      <c r="V152" s="118"/>
      <c r="W152" s="118" t="s">
        <v>2106</v>
      </c>
      <c r="X152" s="118" t="s">
        <v>2105</v>
      </c>
      <c r="Y152" s="118"/>
      <c r="Z152" s="118"/>
      <c r="AA152" s="118"/>
      <c r="AB152" s="118"/>
      <c r="AC152" s="118"/>
      <c r="AD152" s="116" t="str">
        <f t="array" ref="AD152">IF(ISBLANK(AA152),,AA152&amp;("/"))&amp;IF(ISBLANK(Z152),,Z152&amp;("/"))&amp;IF(ISBLANK(Y152),,Y152&amp;("/"))&amp;IF(ISBLANK(X152),,X152&amp;("/"))&amp;IF(ISBLANK(W152),,W152&amp;("/"))&amp;IF(ISBLANK(V152),,V152&amp;("/"))&amp;IF(ISBLANK(U152),,U152&amp;("/"))&amp;IF(ISBLANK(T152),,T152&amp;("/"))&amp;IF(ISBLANK(S152),,S152&amp;("/"))&amp;IF(ISBLANK(R152),,R152&amp;("/"))&amp;IF(ISBLANK(Q152),,Q152&amp;("/"))&amp;IF(ISBLANK(P152),,P152&amp;("/"))&amp;IF(ISBLANK(O152),,O152&amp;("/"))&amp;IF(ISBLANK(N152),,N152&amp;("/"))&amp;IF(G152="-",M152,M152&amp;("_")&amp;MID(G152,6,6))</f>
        <v>I2C0_SCL_M0/SPI2_CSN0_M0/GPIO0_B0_z</v>
      </c>
      <c r="AE152" s="115" t="str">
        <f t="shared" si="14"/>
        <v>y</v>
      </c>
      <c r="AF152" s="115" t="str">
        <f t="shared" si="15"/>
        <v/>
      </c>
      <c r="AG152" s="115" t="str">
        <f t="shared" si="16"/>
        <v/>
      </c>
      <c r="AH152" s="115" t="str">
        <f t="shared" si="17"/>
        <v/>
      </c>
      <c r="AI152" s="115" t="str">
        <f t="shared" si="18"/>
        <v/>
      </c>
      <c r="AJ152" s="115" t="str">
        <f t="shared" si="19"/>
        <v/>
      </c>
      <c r="AK152" s="115" t="str">
        <f t="shared" si="20"/>
        <v/>
      </c>
      <c r="AL152" s="115" t="str">
        <f t="shared" si="21"/>
        <v/>
      </c>
      <c r="AM152" s="115" t="str">
        <f t="shared" si="22"/>
        <v/>
      </c>
      <c r="AN152" s="115" t="str">
        <f t="shared" si="23"/>
        <v/>
      </c>
      <c r="AO152" s="115" t="str">
        <f t="shared" si="24"/>
        <v/>
      </c>
      <c r="AP152" s="115" t="str">
        <f t="shared" si="25"/>
        <v/>
      </c>
      <c r="AQ152" s="115" t="str">
        <f t="shared" si="26"/>
        <v/>
      </c>
      <c r="AR152" s="115" t="str">
        <f t="shared" si="27"/>
        <v/>
      </c>
      <c r="AS152" s="115" t="str">
        <f t="shared" si="28"/>
        <v/>
      </c>
    </row>
    <row r="153" spans="1:45" outlineLevel="1">
      <c r="A153" s="138" t="s">
        <v>2104</v>
      </c>
      <c r="B153" s="139" t="s">
        <v>2103</v>
      </c>
      <c r="C153" s="118"/>
      <c r="D153" s="119" t="s">
        <v>753</v>
      </c>
      <c r="E153" s="119" t="s">
        <v>1124</v>
      </c>
      <c r="F153" s="119" t="s">
        <v>1123</v>
      </c>
      <c r="G153" s="119" t="s">
        <v>2092</v>
      </c>
      <c r="H153" s="119" t="s">
        <v>2091</v>
      </c>
      <c r="I153" s="119" t="s">
        <v>2090</v>
      </c>
      <c r="J153" s="119">
        <v>50</v>
      </c>
      <c r="K153" s="119" t="s">
        <v>371</v>
      </c>
      <c r="L153" s="119" t="s">
        <v>371</v>
      </c>
      <c r="M153" s="118" t="s">
        <v>2102</v>
      </c>
      <c r="N153" s="118"/>
      <c r="O153" s="118"/>
      <c r="P153" s="118"/>
      <c r="Q153" s="118"/>
      <c r="R153" s="118"/>
      <c r="S153" s="118"/>
      <c r="T153" s="118"/>
      <c r="U153" s="118"/>
      <c r="V153" s="118"/>
      <c r="W153" s="118" t="s">
        <v>2101</v>
      </c>
      <c r="X153" s="118" t="s">
        <v>2100</v>
      </c>
      <c r="Y153" s="118"/>
      <c r="Z153" s="118"/>
      <c r="AA153" s="118"/>
      <c r="AB153" s="118"/>
      <c r="AC153" s="118"/>
      <c r="AD153" s="116" t="str">
        <f t="array" ref="AD153">IF(ISBLANK(AA153),,AA153&amp;("/"))&amp;IF(ISBLANK(Z153),,Z153&amp;("/"))&amp;IF(ISBLANK(Y153),,Y153&amp;("/"))&amp;IF(ISBLANK(X153),,X153&amp;("/"))&amp;IF(ISBLANK(W153),,W153&amp;("/"))&amp;IF(ISBLANK(V153),,V153&amp;("/"))&amp;IF(ISBLANK(U153),,U153&amp;("/"))&amp;IF(ISBLANK(T153),,T153&amp;("/"))&amp;IF(ISBLANK(S153),,S153&amp;("/"))&amp;IF(ISBLANK(R153),,R153&amp;("/"))&amp;IF(ISBLANK(Q153),,Q153&amp;("/"))&amp;IF(ISBLANK(P153),,P153&amp;("/"))&amp;IF(ISBLANK(O153),,O153&amp;("/"))&amp;IF(ISBLANK(N153),,N153&amp;("/"))&amp;IF(G153="-",M153,M153&amp;("_")&amp;MID(G153,6,6))</f>
        <v>I2C0_SDA_M0/SPI2_MISO_M0/GPIO0_B1_z</v>
      </c>
      <c r="AE153" s="115" t="str">
        <f t="shared" si="14"/>
        <v>y</v>
      </c>
      <c r="AF153" s="115" t="str">
        <f t="shared" si="15"/>
        <v/>
      </c>
      <c r="AG153" s="115" t="str">
        <f t="shared" si="16"/>
        <v/>
      </c>
      <c r="AH153" s="115" t="str">
        <f t="shared" si="17"/>
        <v/>
      </c>
      <c r="AI153" s="115" t="str">
        <f t="shared" si="18"/>
        <v/>
      </c>
      <c r="AJ153" s="115" t="str">
        <f t="shared" si="19"/>
        <v/>
      </c>
      <c r="AK153" s="115" t="str">
        <f t="shared" si="20"/>
        <v/>
      </c>
      <c r="AL153" s="115" t="str">
        <f t="shared" si="21"/>
        <v/>
      </c>
      <c r="AM153" s="115" t="str">
        <f t="shared" si="22"/>
        <v/>
      </c>
      <c r="AN153" s="115" t="str">
        <f t="shared" si="23"/>
        <v/>
      </c>
      <c r="AO153" s="115" t="str">
        <f t="shared" si="24"/>
        <v/>
      </c>
      <c r="AP153" s="115" t="str">
        <f t="shared" si="25"/>
        <v/>
      </c>
      <c r="AQ153" s="115" t="str">
        <f t="shared" si="26"/>
        <v/>
      </c>
      <c r="AR153" s="115" t="str">
        <f t="shared" si="27"/>
        <v/>
      </c>
      <c r="AS153" s="115" t="str">
        <f t="shared" si="28"/>
        <v/>
      </c>
    </row>
    <row r="154" spans="1:45" outlineLevel="1">
      <c r="A154" s="138" t="s">
        <v>2099</v>
      </c>
      <c r="B154" s="139" t="s">
        <v>2098</v>
      </c>
      <c r="C154" s="118"/>
      <c r="D154" s="119" t="s">
        <v>753</v>
      </c>
      <c r="E154" s="119" t="s">
        <v>1124</v>
      </c>
      <c r="F154" s="119" t="s">
        <v>1123</v>
      </c>
      <c r="G154" s="119" t="s">
        <v>2092</v>
      </c>
      <c r="H154" s="119" t="s">
        <v>2091</v>
      </c>
      <c r="I154" s="119" t="s">
        <v>2090</v>
      </c>
      <c r="J154" s="119">
        <v>50</v>
      </c>
      <c r="K154" s="119" t="s">
        <v>371</v>
      </c>
      <c r="L154" s="119" t="s">
        <v>371</v>
      </c>
      <c r="M154" s="118" t="s">
        <v>2097</v>
      </c>
      <c r="N154" s="118"/>
      <c r="O154" s="118"/>
      <c r="P154" s="118"/>
      <c r="Q154" s="118"/>
      <c r="R154" s="118"/>
      <c r="S154" s="118"/>
      <c r="T154" s="118"/>
      <c r="U154" s="118"/>
      <c r="V154" s="118"/>
      <c r="W154" s="118" t="s">
        <v>2096</v>
      </c>
      <c r="X154" s="118" t="s">
        <v>2095</v>
      </c>
      <c r="Y154" s="118"/>
      <c r="Z154" s="118"/>
      <c r="AA154" s="118"/>
      <c r="AB154" s="118"/>
      <c r="AC154" s="118"/>
      <c r="AD154" s="116" t="str">
        <f t="array" ref="AD154">IF(ISBLANK(AA154),,AA154&amp;("/"))&amp;IF(ISBLANK(Z154),,Z154&amp;("/"))&amp;IF(ISBLANK(Y154),,Y154&amp;("/"))&amp;IF(ISBLANK(X154),,X154&amp;("/"))&amp;IF(ISBLANK(W154),,W154&amp;("/"))&amp;IF(ISBLANK(V154),,V154&amp;("/"))&amp;IF(ISBLANK(U154),,U154&amp;("/"))&amp;IF(ISBLANK(T154),,T154&amp;("/"))&amp;IF(ISBLANK(S154),,S154&amp;("/"))&amp;IF(ISBLANK(R154),,R154&amp;("/"))&amp;IF(ISBLANK(Q154),,Q154&amp;("/"))&amp;IF(ISBLANK(P154),,P154&amp;("/"))&amp;IF(ISBLANK(O154),,O154&amp;("/"))&amp;IF(ISBLANK(N154),,N154&amp;("/"))&amp;IF(G154="-",M154,M154&amp;("_")&amp;MID(G154,6,6))</f>
        <v>I2C1_SCL_M0/SPI2_CLK_M0/GPIO0_B2_z</v>
      </c>
      <c r="AE154" s="115" t="str">
        <f t="shared" si="14"/>
        <v>y</v>
      </c>
      <c r="AF154" s="115" t="str">
        <f t="shared" si="15"/>
        <v/>
      </c>
      <c r="AG154" s="115" t="str">
        <f t="shared" si="16"/>
        <v/>
      </c>
      <c r="AH154" s="115" t="str">
        <f t="shared" si="17"/>
        <v/>
      </c>
      <c r="AI154" s="115" t="str">
        <f t="shared" si="18"/>
        <v/>
      </c>
      <c r="AJ154" s="115" t="str">
        <f t="shared" si="19"/>
        <v/>
      </c>
      <c r="AK154" s="115" t="str">
        <f t="shared" si="20"/>
        <v/>
      </c>
      <c r="AL154" s="115" t="str">
        <f t="shared" si="21"/>
        <v/>
      </c>
      <c r="AM154" s="115" t="str">
        <f t="shared" si="22"/>
        <v/>
      </c>
      <c r="AN154" s="115" t="str">
        <f t="shared" si="23"/>
        <v/>
      </c>
      <c r="AO154" s="115" t="str">
        <f t="shared" si="24"/>
        <v/>
      </c>
      <c r="AP154" s="115" t="str">
        <f t="shared" si="25"/>
        <v/>
      </c>
      <c r="AQ154" s="115" t="str">
        <f t="shared" si="26"/>
        <v/>
      </c>
      <c r="AR154" s="115" t="str">
        <f t="shared" si="27"/>
        <v/>
      </c>
      <c r="AS154" s="115" t="str">
        <f t="shared" si="28"/>
        <v/>
      </c>
    </row>
    <row r="155" spans="1:45" outlineLevel="1">
      <c r="A155" s="138" t="s">
        <v>2094</v>
      </c>
      <c r="B155" s="139" t="s">
        <v>2093</v>
      </c>
      <c r="C155" s="118"/>
      <c r="D155" s="119" t="s">
        <v>753</v>
      </c>
      <c r="E155" s="119" t="s">
        <v>1124</v>
      </c>
      <c r="F155" s="119" t="s">
        <v>1123</v>
      </c>
      <c r="G155" s="119" t="s">
        <v>2092</v>
      </c>
      <c r="H155" s="119" t="s">
        <v>2091</v>
      </c>
      <c r="I155" s="119" t="s">
        <v>2090</v>
      </c>
      <c r="J155" s="119">
        <v>50</v>
      </c>
      <c r="K155" s="119" t="s">
        <v>371</v>
      </c>
      <c r="L155" s="119" t="s">
        <v>371</v>
      </c>
      <c r="M155" s="118" t="s">
        <v>2089</v>
      </c>
      <c r="N155" s="118"/>
      <c r="O155" s="118"/>
      <c r="P155" s="118"/>
      <c r="Q155" s="118"/>
      <c r="R155" s="118"/>
      <c r="S155" s="118"/>
      <c r="T155" s="118"/>
      <c r="U155" s="118"/>
      <c r="V155" s="118"/>
      <c r="W155" s="118" t="s">
        <v>2088</v>
      </c>
      <c r="X155" s="118" t="s">
        <v>2087</v>
      </c>
      <c r="Y155" s="118"/>
      <c r="Z155" s="118"/>
      <c r="AA155" s="118"/>
      <c r="AB155" s="118"/>
      <c r="AC155" s="118"/>
      <c r="AD155" s="116" t="str">
        <f t="array" ref="AD155">IF(ISBLANK(AA155),,AA155&amp;("/"))&amp;IF(ISBLANK(Z155),,Z155&amp;("/"))&amp;IF(ISBLANK(Y155),,Y155&amp;("/"))&amp;IF(ISBLANK(X155),,X155&amp;("/"))&amp;IF(ISBLANK(W155),,W155&amp;("/"))&amp;IF(ISBLANK(V155),,V155&amp;("/"))&amp;IF(ISBLANK(U155),,U155&amp;("/"))&amp;IF(ISBLANK(T155),,T155&amp;("/"))&amp;IF(ISBLANK(S155),,S155&amp;("/"))&amp;IF(ISBLANK(R155),,R155&amp;("/"))&amp;IF(ISBLANK(Q155),,Q155&amp;("/"))&amp;IF(ISBLANK(P155),,P155&amp;("/"))&amp;IF(ISBLANK(O155),,O155&amp;("/"))&amp;IF(ISBLANK(N155),,N155&amp;("/"))&amp;IF(G155="-",M155,M155&amp;("_")&amp;MID(G155,6,6))</f>
        <v>I2C1_SDA_M0/SPI2_MOSI_M0/GPIO0_B3_z</v>
      </c>
      <c r="AE155" s="115" t="str">
        <f t="shared" si="14"/>
        <v>y</v>
      </c>
      <c r="AF155" s="115" t="str">
        <f t="shared" si="15"/>
        <v/>
      </c>
      <c r="AG155" s="115" t="str">
        <f t="shared" si="16"/>
        <v/>
      </c>
      <c r="AH155" s="115" t="str">
        <f t="shared" si="17"/>
        <v/>
      </c>
      <c r="AI155" s="115" t="str">
        <f t="shared" si="18"/>
        <v/>
      </c>
      <c r="AJ155" s="115" t="str">
        <f t="shared" si="19"/>
        <v/>
      </c>
      <c r="AK155" s="115" t="str">
        <f t="shared" si="20"/>
        <v/>
      </c>
      <c r="AL155" s="115" t="str">
        <f t="shared" si="21"/>
        <v/>
      </c>
      <c r="AM155" s="115" t="str">
        <f t="shared" si="22"/>
        <v/>
      </c>
      <c r="AN155" s="115" t="str">
        <f t="shared" si="23"/>
        <v/>
      </c>
      <c r="AO155" s="115" t="str">
        <f t="shared" si="24"/>
        <v/>
      </c>
      <c r="AP155" s="115" t="str">
        <f t="shared" si="25"/>
        <v/>
      </c>
      <c r="AQ155" s="115" t="str">
        <f t="shared" si="26"/>
        <v/>
      </c>
      <c r="AR155" s="115" t="str">
        <f t="shared" si="27"/>
        <v/>
      </c>
      <c r="AS155" s="115" t="str">
        <f t="shared" si="28"/>
        <v/>
      </c>
    </row>
    <row r="156" spans="1:45" outlineLevel="1">
      <c r="A156" s="120" t="s">
        <v>2086</v>
      </c>
      <c r="B156" s="167" t="s">
        <v>419</v>
      </c>
      <c r="C156" s="167"/>
      <c r="D156" s="120" t="s">
        <v>932</v>
      </c>
      <c r="E156" s="120" t="s">
        <v>1524</v>
      </c>
      <c r="F156" s="120" t="s">
        <v>753</v>
      </c>
      <c r="G156" s="120" t="s">
        <v>753</v>
      </c>
      <c r="H156" s="120" t="s">
        <v>753</v>
      </c>
      <c r="I156" s="120" t="s">
        <v>753</v>
      </c>
      <c r="J156" s="120" t="s">
        <v>753</v>
      </c>
      <c r="K156" s="120" t="s">
        <v>753</v>
      </c>
      <c r="L156" s="120" t="s">
        <v>753</v>
      </c>
      <c r="M156" s="126"/>
      <c r="N156" s="126"/>
      <c r="O156" s="126"/>
      <c r="P156" s="126"/>
      <c r="Q156" s="126"/>
      <c r="R156" s="126"/>
      <c r="S156" s="126"/>
      <c r="T156" s="126"/>
      <c r="U156" s="126"/>
      <c r="V156" s="126"/>
      <c r="W156" s="126"/>
      <c r="X156" s="126"/>
      <c r="Y156" s="126"/>
      <c r="Z156" s="126"/>
      <c r="AA156" s="126"/>
      <c r="AB156" s="126"/>
      <c r="AC156" s="126"/>
      <c r="AF156" s="115" t="str">
        <f t="shared" si="15"/>
        <v/>
      </c>
      <c r="AG156" s="115" t="str">
        <f t="shared" si="16"/>
        <v/>
      </c>
      <c r="AH156" s="115" t="str">
        <f t="shared" si="17"/>
        <v/>
      </c>
      <c r="AI156" s="115" t="str">
        <f t="shared" si="18"/>
        <v/>
      </c>
      <c r="AJ156" s="115" t="str">
        <f t="shared" si="19"/>
        <v/>
      </c>
      <c r="AK156" s="115" t="str">
        <f t="shared" si="20"/>
        <v/>
      </c>
      <c r="AL156" s="115" t="str">
        <f t="shared" si="21"/>
        <v/>
      </c>
      <c r="AM156" s="115" t="str">
        <f t="shared" si="22"/>
        <v/>
      </c>
      <c r="AN156" s="115" t="str">
        <f t="shared" si="23"/>
        <v/>
      </c>
      <c r="AO156" s="115" t="str">
        <f t="shared" si="24"/>
        <v/>
      </c>
      <c r="AP156" s="115" t="str">
        <f t="shared" si="25"/>
        <v/>
      </c>
      <c r="AQ156" s="115" t="str">
        <f t="shared" si="26"/>
        <v/>
      </c>
      <c r="AR156" s="115" t="str">
        <f t="shared" si="27"/>
        <v/>
      </c>
      <c r="AS156" s="115" t="str">
        <f t="shared" si="28"/>
        <v/>
      </c>
    </row>
    <row r="157" spans="1:45" outlineLevel="1">
      <c r="A157" s="138" t="s">
        <v>2085</v>
      </c>
      <c r="B157" s="139" t="s">
        <v>2084</v>
      </c>
      <c r="C157" s="118"/>
      <c r="D157" s="119" t="s">
        <v>753</v>
      </c>
      <c r="E157" s="119" t="s">
        <v>1124</v>
      </c>
      <c r="F157" s="119" t="s">
        <v>1123</v>
      </c>
      <c r="G157" s="119" t="s">
        <v>1122</v>
      </c>
      <c r="H157" s="119" t="s">
        <v>1121</v>
      </c>
      <c r="I157" s="119" t="s">
        <v>1120</v>
      </c>
      <c r="J157" s="119">
        <v>40</v>
      </c>
      <c r="K157" s="119" t="s">
        <v>371</v>
      </c>
      <c r="L157" s="119" t="s">
        <v>371</v>
      </c>
      <c r="M157" s="118" t="s">
        <v>2083</v>
      </c>
      <c r="N157" s="118" t="s">
        <v>2082</v>
      </c>
      <c r="O157" s="118"/>
      <c r="P157" s="118"/>
      <c r="Q157" s="118"/>
      <c r="R157" s="118"/>
      <c r="S157" s="118"/>
      <c r="T157" s="118"/>
      <c r="U157" s="118"/>
      <c r="V157" s="118" t="s">
        <v>2081</v>
      </c>
      <c r="W157" s="118"/>
      <c r="X157" s="118" t="s">
        <v>2080</v>
      </c>
      <c r="Y157" s="118" t="s">
        <v>2079</v>
      </c>
      <c r="Z157" s="118"/>
      <c r="AA157" s="118"/>
      <c r="AB157" s="118"/>
      <c r="AC157" s="118"/>
      <c r="AD157" s="116" t="str">
        <f t="array" ref="AD157">IF(ISBLANK(AA157),,AA157&amp;("/"))&amp;IF(ISBLANK(Z157),,Z157&amp;("/"))&amp;IF(ISBLANK(Y157),,Y157&amp;("/"))&amp;IF(ISBLANK(X157),,X157&amp;("/"))&amp;IF(ISBLANK(W157),,W157&amp;("/"))&amp;IF(ISBLANK(V157),,V157&amp;("/"))&amp;IF(ISBLANK(U157),,U157&amp;("/"))&amp;IF(ISBLANK(T157),,T157&amp;("/"))&amp;IF(ISBLANK(S157),,S157&amp;("/"))&amp;IF(ISBLANK(R157),,R157&amp;("/"))&amp;IF(ISBLANK(Q157),,Q157&amp;("/"))&amp;IF(ISBLANK(P157),,P157&amp;("/"))&amp;IF(ISBLANK(O157),,O157&amp;("/"))&amp;IF(ISBLANK(N157),,N157&amp;("/"))&amp;IF(G157="-",M157,M157&amp;("_")&amp;MID(G157,1,1))</f>
        <v>PWM1_CH0_M0/I2C1_SCL_M1/UART4_TX_M2/REF_CLK1_OUT/GPIO0_B4_d</v>
      </c>
      <c r="AE157" s="115" t="str">
        <f t="shared" si="14"/>
        <v>y</v>
      </c>
      <c r="AF157" s="115" t="str">
        <f t="shared" si="15"/>
        <v/>
      </c>
      <c r="AG157" s="115" t="str">
        <f t="shared" si="16"/>
        <v/>
      </c>
      <c r="AH157" s="115" t="str">
        <f t="shared" si="17"/>
        <v/>
      </c>
      <c r="AI157" s="115" t="str">
        <f t="shared" si="18"/>
        <v/>
      </c>
      <c r="AJ157" s="115" t="str">
        <f t="shared" si="19"/>
        <v/>
      </c>
      <c r="AK157" s="115" t="str">
        <f t="shared" si="20"/>
        <v/>
      </c>
      <c r="AL157" s="115" t="str">
        <f t="shared" si="21"/>
        <v/>
      </c>
      <c r="AM157" s="115" t="str">
        <f t="shared" si="22"/>
        <v/>
      </c>
      <c r="AN157" s="115" t="str">
        <f t="shared" si="23"/>
        <v/>
      </c>
      <c r="AO157" s="115" t="str">
        <f t="shared" si="24"/>
        <v/>
      </c>
      <c r="AP157" s="115" t="str">
        <f t="shared" si="25"/>
        <v/>
      </c>
      <c r="AQ157" s="115" t="str">
        <f t="shared" si="26"/>
        <v/>
      </c>
      <c r="AR157" s="115" t="str">
        <f t="shared" si="27"/>
        <v/>
      </c>
      <c r="AS157" s="115" t="str">
        <f t="shared" si="28"/>
        <v/>
      </c>
    </row>
    <row r="158" spans="1:45" outlineLevel="1">
      <c r="A158" s="138" t="s">
        <v>2078</v>
      </c>
      <c r="B158" s="139" t="s">
        <v>2077</v>
      </c>
      <c r="C158" s="118"/>
      <c r="D158" s="119" t="s">
        <v>753</v>
      </c>
      <c r="E158" s="119" t="s">
        <v>1124</v>
      </c>
      <c r="F158" s="119" t="s">
        <v>1123</v>
      </c>
      <c r="G158" s="119" t="s">
        <v>1122</v>
      </c>
      <c r="H158" s="119" t="s">
        <v>1121</v>
      </c>
      <c r="I158" s="119" t="s">
        <v>1120</v>
      </c>
      <c r="J158" s="119">
        <v>40</v>
      </c>
      <c r="K158" s="119" t="s">
        <v>371</v>
      </c>
      <c r="L158" s="119" t="s">
        <v>371</v>
      </c>
      <c r="M158" s="118" t="s">
        <v>2076</v>
      </c>
      <c r="N158" s="118" t="s">
        <v>2075</v>
      </c>
      <c r="O158" s="118"/>
      <c r="P158" s="118"/>
      <c r="Q158" s="118"/>
      <c r="R158" s="118"/>
      <c r="S158" s="118"/>
      <c r="T158" s="118"/>
      <c r="U158" s="118"/>
      <c r="V158" s="118" t="s">
        <v>2074</v>
      </c>
      <c r="W158" s="118"/>
      <c r="X158" s="118" t="s">
        <v>2073</v>
      </c>
      <c r="Y158" s="118" t="s">
        <v>2072</v>
      </c>
      <c r="Z158" s="118"/>
      <c r="AA158" s="118"/>
      <c r="AB158" s="118"/>
      <c r="AC158" s="118"/>
      <c r="AD158" s="116" t="str">
        <f t="array" ref="AD158">IF(ISBLANK(AA158),,AA158&amp;("/"))&amp;IF(ISBLANK(Z158),,Z158&amp;("/"))&amp;IF(ISBLANK(Y158),,Y158&amp;("/"))&amp;IF(ISBLANK(X158),,X158&amp;("/"))&amp;IF(ISBLANK(W158),,W158&amp;("/"))&amp;IF(ISBLANK(V158),,V158&amp;("/"))&amp;IF(ISBLANK(U158),,U158&amp;("/"))&amp;IF(ISBLANK(T158),,T158&amp;("/"))&amp;IF(ISBLANK(S158),,S158&amp;("/"))&amp;IF(ISBLANK(R158),,R158&amp;("/"))&amp;IF(ISBLANK(Q158),,Q158&amp;("/"))&amp;IF(ISBLANK(P158),,P158&amp;("/"))&amp;IF(ISBLANK(O158),,O158&amp;("/"))&amp;IF(ISBLANK(N158),,N158&amp;("/"))&amp;IF(G158="-",M158,M158&amp;("_")&amp;MID(G158,1,1))</f>
        <v>PWM1_CH1_M0/I2C1_SDA_M1/UART4_RX_M2/REF_CLK2_OUT/GPIO0_B5_d</v>
      </c>
      <c r="AE158" s="115" t="str">
        <f t="shared" si="14"/>
        <v>y</v>
      </c>
      <c r="AF158" s="115" t="str">
        <f t="shared" si="15"/>
        <v/>
      </c>
      <c r="AG158" s="115" t="str">
        <f t="shared" si="16"/>
        <v/>
      </c>
      <c r="AH158" s="115" t="str">
        <f t="shared" si="17"/>
        <v/>
      </c>
      <c r="AI158" s="115" t="str">
        <f t="shared" si="18"/>
        <v/>
      </c>
      <c r="AJ158" s="115" t="str">
        <f t="shared" si="19"/>
        <v/>
      </c>
      <c r="AK158" s="115" t="str">
        <f t="shared" si="20"/>
        <v/>
      </c>
      <c r="AL158" s="115" t="str">
        <f t="shared" si="21"/>
        <v/>
      </c>
      <c r="AM158" s="115" t="str">
        <f t="shared" si="22"/>
        <v/>
      </c>
      <c r="AN158" s="115" t="str">
        <f t="shared" si="23"/>
        <v/>
      </c>
      <c r="AO158" s="115" t="str">
        <f t="shared" si="24"/>
        <v/>
      </c>
      <c r="AP158" s="115" t="str">
        <f t="shared" si="25"/>
        <v/>
      </c>
      <c r="AQ158" s="115" t="str">
        <f t="shared" si="26"/>
        <v/>
      </c>
      <c r="AR158" s="115" t="str">
        <f t="shared" si="27"/>
        <v/>
      </c>
      <c r="AS158" s="115" t="str">
        <f t="shared" si="28"/>
        <v/>
      </c>
    </row>
    <row r="159" spans="1:45" ht="28.5" outlineLevel="1">
      <c r="A159" s="138" t="s">
        <v>2071</v>
      </c>
      <c r="B159" s="139" t="s">
        <v>4932</v>
      </c>
      <c r="C159" s="118"/>
      <c r="D159" s="119" t="s">
        <v>753</v>
      </c>
      <c r="E159" s="119" t="s">
        <v>1124</v>
      </c>
      <c r="F159" s="119" t="s">
        <v>1123</v>
      </c>
      <c r="G159" s="119" t="s">
        <v>1122</v>
      </c>
      <c r="H159" s="119" t="s">
        <v>1121</v>
      </c>
      <c r="I159" s="119" t="s">
        <v>1120</v>
      </c>
      <c r="J159" s="119">
        <v>40</v>
      </c>
      <c r="K159" s="119" t="s">
        <v>371</v>
      </c>
      <c r="L159" s="119" t="s">
        <v>371</v>
      </c>
      <c r="M159" s="118" t="s">
        <v>2070</v>
      </c>
      <c r="N159" s="118" t="s">
        <v>2069</v>
      </c>
      <c r="O159" s="118"/>
      <c r="P159" s="118"/>
      <c r="Q159" s="118" t="s">
        <v>2068</v>
      </c>
      <c r="R159" s="118" t="s">
        <v>4937</v>
      </c>
      <c r="S159" s="118" t="s">
        <v>2067</v>
      </c>
      <c r="T159" s="118"/>
      <c r="U159" s="118"/>
      <c r="V159" s="118"/>
      <c r="W159" s="118"/>
      <c r="X159" s="118"/>
      <c r="Y159" s="118" t="s">
        <v>2066</v>
      </c>
      <c r="Z159" s="118"/>
      <c r="AA159" s="118"/>
      <c r="AB159" s="118"/>
      <c r="AC159" s="118"/>
      <c r="AD159" s="116" t="str">
        <f t="array" ref="AD159">IF(ISBLANK(AA159),,AA159&amp;("/"))&amp;IF(ISBLANK(Z159),,Z159&amp;("/"))&amp;IF(ISBLANK(Y159),,Y159&amp;("/"))&amp;IF(ISBLANK(X159),,X159&amp;("/"))&amp;IF(ISBLANK(W159),,W159&amp;("/"))&amp;IF(ISBLANK(V159),,V159&amp;("/"))&amp;IF(ISBLANK(U159),,U159&amp;("/"))&amp;IF(ISBLANK(T159),,T159&amp;("/"))&amp;IF(ISBLANK(S159),,S159&amp;("/"))&amp;IF(ISBLANK(R159),,R159&amp;("/"))&amp;IF(ISBLANK(Q159),,Q159&amp;("/"))&amp;IF(ISBLANK(P159),,P159&amp;("/"))&amp;IF(ISBLANK(O159),,O159&amp;("/"))&amp;IF(ISBLANK(N159),,N159&amp;("/"))&amp;IF(G159="-",M159,M159&amp;("_")&amp;MID(G159,1,1))</f>
        <v>PWM1_CH2_M0/SDMMC1_DETN_M1/SDMMC0_PWREN_M0/HDMI_TX_HPDIN_M1/EDP_TX_HPDIN_M1/GPIO0_B6_d</v>
      </c>
      <c r="AE159" s="115" t="str">
        <f t="shared" si="14"/>
        <v>y</v>
      </c>
      <c r="AF159" s="115" t="str">
        <f t="shared" si="15"/>
        <v/>
      </c>
      <c r="AG159" s="115" t="str">
        <f t="shared" si="16"/>
        <v/>
      </c>
      <c r="AH159" s="115" t="str">
        <f t="shared" si="17"/>
        <v/>
      </c>
      <c r="AI159" s="115" t="str">
        <f t="shared" si="18"/>
        <v/>
      </c>
      <c r="AJ159" s="115" t="str">
        <f t="shared" si="19"/>
        <v/>
      </c>
      <c r="AK159" s="115" t="str">
        <f t="shared" si="20"/>
        <v/>
      </c>
      <c r="AL159" s="115" t="str">
        <f t="shared" si="21"/>
        <v/>
      </c>
      <c r="AM159" s="115" t="str">
        <f t="shared" si="22"/>
        <v/>
      </c>
      <c r="AN159" s="115" t="str">
        <f t="shared" si="23"/>
        <v/>
      </c>
      <c r="AO159" s="115" t="str">
        <f t="shared" si="24"/>
        <v/>
      </c>
      <c r="AP159" s="115" t="str">
        <f t="shared" si="25"/>
        <v/>
      </c>
      <c r="AQ159" s="115" t="str">
        <f t="shared" si="26"/>
        <v/>
      </c>
      <c r="AR159" s="115" t="str">
        <f t="shared" si="27"/>
        <v/>
      </c>
      <c r="AS159" s="115" t="str">
        <f t="shared" si="28"/>
        <v/>
      </c>
    </row>
    <row r="160" spans="1:45" outlineLevel="1">
      <c r="A160" s="138" t="s">
        <v>2065</v>
      </c>
      <c r="B160" s="139" t="s">
        <v>2064</v>
      </c>
      <c r="C160" s="118"/>
      <c r="D160" s="119" t="s">
        <v>753</v>
      </c>
      <c r="E160" s="119" t="s">
        <v>1124</v>
      </c>
      <c r="F160" s="119" t="s">
        <v>1123</v>
      </c>
      <c r="G160" s="119" t="s">
        <v>1122</v>
      </c>
      <c r="H160" s="119" t="s">
        <v>1121</v>
      </c>
      <c r="I160" s="119" t="s">
        <v>1120</v>
      </c>
      <c r="J160" s="119">
        <v>40</v>
      </c>
      <c r="K160" s="119" t="s">
        <v>371</v>
      </c>
      <c r="L160" s="119" t="s">
        <v>371</v>
      </c>
      <c r="M160" s="118" t="s">
        <v>2063</v>
      </c>
      <c r="N160" s="118" t="s">
        <v>2062</v>
      </c>
      <c r="O160" s="118"/>
      <c r="P160" s="118"/>
      <c r="Q160" s="118"/>
      <c r="R160" s="118"/>
      <c r="S160" s="118"/>
      <c r="T160" s="118"/>
      <c r="U160" s="118"/>
      <c r="V160" s="118" t="s">
        <v>2061</v>
      </c>
      <c r="W160" s="118"/>
      <c r="X160" s="118" t="s">
        <v>2060</v>
      </c>
      <c r="Y160" s="118" t="s">
        <v>2059</v>
      </c>
      <c r="Z160" s="118"/>
      <c r="AA160" s="118"/>
      <c r="AB160" s="118"/>
      <c r="AC160" s="118"/>
      <c r="AD160" s="116" t="str">
        <f t="array" ref="AD160">IF(ISBLANK(AA160),,AA160&amp;("/"))&amp;IF(ISBLANK(Z160),,Z160&amp;("/"))&amp;IF(ISBLANK(Y160),,Y160&amp;("/"))&amp;IF(ISBLANK(X160),,X160&amp;("/"))&amp;IF(ISBLANK(W160),,W160&amp;("/"))&amp;IF(ISBLANK(V160),,V160&amp;("/"))&amp;IF(ISBLANK(U160),,U160&amp;("/"))&amp;IF(ISBLANK(T160),,T160&amp;("/"))&amp;IF(ISBLANK(S160),,S160&amp;("/"))&amp;IF(ISBLANK(R160),,R160&amp;("/"))&amp;IF(ISBLANK(Q160),,Q160&amp;("/"))&amp;IF(ISBLANK(P160),,P160&amp;("/"))&amp;IF(ISBLANK(O160),,O160&amp;("/"))&amp;IF(ISBLANK(N160),,N160&amp;("/"))&amp;IF(G160="-",M160,M160&amp;("_")&amp;MID(G160,1,1))</f>
        <v>PWM1_CH4_M0/I2C2_SCL_M0/UART1_TX_M0/NPU_AVS/GPIO0_B7_d</v>
      </c>
      <c r="AE160" s="115" t="str">
        <f t="shared" si="14"/>
        <v>y</v>
      </c>
      <c r="AF160" s="115" t="str">
        <f t="shared" si="15"/>
        <v/>
      </c>
      <c r="AG160" s="115" t="str">
        <f t="shared" si="16"/>
        <v/>
      </c>
      <c r="AH160" s="115" t="str">
        <f t="shared" si="17"/>
        <v/>
      </c>
      <c r="AI160" s="115" t="str">
        <f t="shared" si="18"/>
        <v/>
      </c>
      <c r="AJ160" s="115" t="str">
        <f t="shared" si="19"/>
        <v/>
      </c>
      <c r="AK160" s="115" t="str">
        <f t="shared" si="20"/>
        <v/>
      </c>
      <c r="AL160" s="115" t="str">
        <f t="shared" si="21"/>
        <v/>
      </c>
      <c r="AM160" s="115" t="str">
        <f t="shared" si="22"/>
        <v/>
      </c>
      <c r="AN160" s="115" t="str">
        <f t="shared" si="23"/>
        <v/>
      </c>
      <c r="AO160" s="115" t="str">
        <f t="shared" si="24"/>
        <v/>
      </c>
      <c r="AP160" s="115" t="str">
        <f t="shared" si="25"/>
        <v/>
      </c>
      <c r="AQ160" s="115" t="str">
        <f t="shared" si="26"/>
        <v/>
      </c>
      <c r="AR160" s="115" t="str">
        <f t="shared" si="27"/>
        <v/>
      </c>
      <c r="AS160" s="115" t="str">
        <f t="shared" si="28"/>
        <v/>
      </c>
    </row>
    <row r="161" spans="1:45" outlineLevel="1">
      <c r="A161" s="138" t="s">
        <v>2058</v>
      </c>
      <c r="B161" s="139" t="s">
        <v>2057</v>
      </c>
      <c r="C161" s="118"/>
      <c r="D161" s="119" t="s">
        <v>753</v>
      </c>
      <c r="E161" s="119" t="s">
        <v>1124</v>
      </c>
      <c r="F161" s="119" t="s">
        <v>1123</v>
      </c>
      <c r="G161" s="119" t="s">
        <v>1122</v>
      </c>
      <c r="H161" s="119" t="s">
        <v>1121</v>
      </c>
      <c r="I161" s="119" t="s">
        <v>1120</v>
      </c>
      <c r="J161" s="119">
        <v>40</v>
      </c>
      <c r="K161" s="119" t="s">
        <v>371</v>
      </c>
      <c r="L161" s="119" t="s">
        <v>371</v>
      </c>
      <c r="M161" s="118" t="s">
        <v>2056</v>
      </c>
      <c r="N161" s="118" t="s">
        <v>2055</v>
      </c>
      <c r="O161" s="118"/>
      <c r="P161" s="118"/>
      <c r="Q161" s="118"/>
      <c r="R161" s="118"/>
      <c r="S161" s="118"/>
      <c r="T161" s="118"/>
      <c r="U161" s="118"/>
      <c r="V161" s="118" t="s">
        <v>2054</v>
      </c>
      <c r="W161" s="118"/>
      <c r="X161" s="118" t="s">
        <v>2053</v>
      </c>
      <c r="Y161" s="118" t="s">
        <v>2052</v>
      </c>
      <c r="Z161" s="118"/>
      <c r="AA161" s="118"/>
      <c r="AB161" s="118"/>
      <c r="AC161" s="118"/>
      <c r="AD161" s="116" t="str">
        <f t="array" ref="AD161">IF(ISBLANK(AA161),,AA161&amp;("/"))&amp;IF(ISBLANK(Z161),,Z161&amp;("/"))&amp;IF(ISBLANK(Y161),,Y161&amp;("/"))&amp;IF(ISBLANK(X161),,X161&amp;("/"))&amp;IF(ISBLANK(W161),,W161&amp;("/"))&amp;IF(ISBLANK(V161),,V161&amp;("/"))&amp;IF(ISBLANK(U161),,U161&amp;("/"))&amp;IF(ISBLANK(T161),,T161&amp;("/"))&amp;IF(ISBLANK(S161),,S161&amp;("/"))&amp;IF(ISBLANK(R161),,R161&amp;("/"))&amp;IF(ISBLANK(Q161),,Q161&amp;("/"))&amp;IF(ISBLANK(P161),,P161&amp;("/"))&amp;IF(ISBLANK(O161),,O161&amp;("/"))&amp;IF(ISBLANK(N161),,N161&amp;("/"))&amp;IF(G161="-",M161,M161&amp;("_")&amp;MID(G161,1,1))</f>
        <v>PWM1_CH3_M0/I2C2_SDA_M0/UART1_RX_M0/CPULIT_AVS/GPIO0_C0_d</v>
      </c>
      <c r="AE161" s="115" t="str">
        <f t="shared" si="14"/>
        <v>y</v>
      </c>
      <c r="AF161" s="115" t="str">
        <f t="shared" si="15"/>
        <v/>
      </c>
      <c r="AG161" s="115" t="str">
        <f t="shared" si="16"/>
        <v/>
      </c>
      <c r="AH161" s="115" t="str">
        <f t="shared" si="17"/>
        <v/>
      </c>
      <c r="AI161" s="115" t="str">
        <f t="shared" si="18"/>
        <v/>
      </c>
      <c r="AJ161" s="115" t="str">
        <f t="shared" si="19"/>
        <v/>
      </c>
      <c r="AK161" s="115" t="str">
        <f t="shared" si="20"/>
        <v/>
      </c>
      <c r="AL161" s="115" t="str">
        <f t="shared" si="21"/>
        <v/>
      </c>
      <c r="AM161" s="115" t="str">
        <f t="shared" si="22"/>
        <v/>
      </c>
      <c r="AN161" s="115" t="str">
        <f t="shared" si="23"/>
        <v/>
      </c>
      <c r="AO161" s="115" t="str">
        <f t="shared" si="24"/>
        <v/>
      </c>
      <c r="AP161" s="115" t="str">
        <f t="shared" si="25"/>
        <v/>
      </c>
      <c r="AQ161" s="115" t="str">
        <f t="shared" si="26"/>
        <v/>
      </c>
      <c r="AR161" s="115" t="str">
        <f t="shared" si="27"/>
        <v/>
      </c>
      <c r="AS161" s="115" t="str">
        <f t="shared" si="28"/>
        <v/>
      </c>
    </row>
    <row r="162" spans="1:45" outlineLevel="1">
      <c r="A162" s="138" t="s">
        <v>2051</v>
      </c>
      <c r="B162" s="139" t="s">
        <v>4976</v>
      </c>
      <c r="C162" s="118"/>
      <c r="D162" s="119" t="s">
        <v>753</v>
      </c>
      <c r="E162" s="119" t="s">
        <v>1124</v>
      </c>
      <c r="F162" s="119" t="s">
        <v>1123</v>
      </c>
      <c r="G162" s="119" t="s">
        <v>1122</v>
      </c>
      <c r="H162" s="119" t="s">
        <v>1121</v>
      </c>
      <c r="I162" s="119" t="s">
        <v>1120</v>
      </c>
      <c r="J162" s="119">
        <v>40</v>
      </c>
      <c r="K162" s="119" t="s">
        <v>371</v>
      </c>
      <c r="L162" s="119" t="s">
        <v>371</v>
      </c>
      <c r="M162" s="118" t="s">
        <v>2050</v>
      </c>
      <c r="N162" s="118"/>
      <c r="O162" s="118"/>
      <c r="P162" s="118"/>
      <c r="Q162" s="118"/>
      <c r="R162" s="118"/>
      <c r="S162" s="118"/>
      <c r="T162" s="118"/>
      <c r="U162" s="118"/>
      <c r="V162" s="118" t="s">
        <v>2049</v>
      </c>
      <c r="W162" s="118"/>
      <c r="X162" s="118" t="s">
        <v>2048</v>
      </c>
      <c r="Y162" s="118" t="s">
        <v>4964</v>
      </c>
      <c r="Z162" s="118"/>
      <c r="AA162" s="118"/>
      <c r="AB162" s="118"/>
      <c r="AC162" s="118"/>
      <c r="AD162" s="116" t="str">
        <f t="array" ref="AD162">IF(ISBLANK(AA162),,AA162&amp;("/"))&amp;IF(ISBLANK(Z162),,Z162&amp;("/"))&amp;IF(ISBLANK(Y162),,Y162&amp;("/"))&amp;IF(ISBLANK(X162),,X162&amp;("/"))&amp;IF(ISBLANK(W162),,W162&amp;("/"))&amp;IF(ISBLANK(V162),,V162&amp;("/"))&amp;IF(ISBLANK(U162),,U162&amp;("/"))&amp;IF(ISBLANK(T162),,T162&amp;("/"))&amp;IF(ISBLANK(S162),,S162&amp;("/"))&amp;IF(ISBLANK(R162),,R162&amp;("/"))&amp;IF(ISBLANK(Q162),,Q162&amp;("/"))&amp;IF(ISBLANK(P162),,P162&amp;("/"))&amp;IF(ISBLANK(O162),,O162&amp;("/"))&amp;IF(ISBLANK(N162),,N162&amp;("/"))&amp;IF(G162="-",M162,M162&amp;("_")&amp;MID(G162,1,1))</f>
        <v>I3C_SCL_M0/I2C0_SCL_M1/UART8_TX_M1/GPIO0_C1_d</v>
      </c>
      <c r="AE162" s="115" t="str">
        <f t="shared" si="14"/>
        <v>y</v>
      </c>
      <c r="AF162" s="115" t="str">
        <f t="shared" si="15"/>
        <v/>
      </c>
      <c r="AG162" s="115" t="str">
        <f t="shared" si="16"/>
        <v/>
      </c>
      <c r="AH162" s="115" t="str">
        <f t="shared" si="17"/>
        <v/>
      </c>
      <c r="AI162" s="115" t="str">
        <f t="shared" si="18"/>
        <v/>
      </c>
      <c r="AJ162" s="115" t="str">
        <f t="shared" si="19"/>
        <v/>
      </c>
      <c r="AK162" s="115" t="str">
        <f t="shared" si="20"/>
        <v/>
      </c>
      <c r="AL162" s="115" t="str">
        <f t="shared" si="21"/>
        <v/>
      </c>
      <c r="AM162" s="115" t="str">
        <f t="shared" si="22"/>
        <v/>
      </c>
      <c r="AN162" s="115" t="str">
        <f t="shared" si="23"/>
        <v/>
      </c>
      <c r="AO162" s="115" t="str">
        <f t="shared" si="24"/>
        <v/>
      </c>
      <c r="AP162" s="115" t="str">
        <f t="shared" si="25"/>
        <v/>
      </c>
      <c r="AQ162" s="115" t="str">
        <f t="shared" si="26"/>
        <v/>
      </c>
      <c r="AR162" s="115" t="str">
        <f t="shared" si="27"/>
        <v/>
      </c>
      <c r="AS162" s="115" t="str">
        <f t="shared" si="28"/>
        <v/>
      </c>
    </row>
    <row r="163" spans="1:45" outlineLevel="1">
      <c r="A163" s="138" t="s">
        <v>2047</v>
      </c>
      <c r="B163" s="139" t="s">
        <v>4982</v>
      </c>
      <c r="C163" s="118"/>
      <c r="D163" s="119" t="s">
        <v>753</v>
      </c>
      <c r="E163" s="119" t="s">
        <v>1124</v>
      </c>
      <c r="F163" s="119" t="s">
        <v>1123</v>
      </c>
      <c r="G163" s="119" t="s">
        <v>1122</v>
      </c>
      <c r="H163" s="119" t="s">
        <v>1121</v>
      </c>
      <c r="I163" s="119" t="s">
        <v>1120</v>
      </c>
      <c r="J163" s="119">
        <v>40</v>
      </c>
      <c r="K163" s="119" t="s">
        <v>371</v>
      </c>
      <c r="L163" s="119" t="s">
        <v>371</v>
      </c>
      <c r="M163" s="118" t="s">
        <v>2046</v>
      </c>
      <c r="N163" s="118"/>
      <c r="O163" s="118"/>
      <c r="P163" s="118"/>
      <c r="Q163" s="118"/>
      <c r="R163" s="118"/>
      <c r="S163" s="118"/>
      <c r="T163" s="118"/>
      <c r="U163" s="118"/>
      <c r="V163" s="118" t="s">
        <v>2045</v>
      </c>
      <c r="W163" s="118"/>
      <c r="X163" s="118" t="s">
        <v>2044</v>
      </c>
      <c r="Y163" s="118" t="s">
        <v>4981</v>
      </c>
      <c r="Z163" s="118"/>
      <c r="AA163" s="118"/>
      <c r="AB163" s="118"/>
      <c r="AC163" s="118"/>
      <c r="AD163" s="116" t="str">
        <f t="array" ref="AD163">IF(ISBLANK(AA163),,AA163&amp;("/"))&amp;IF(ISBLANK(Z163),,Z163&amp;("/"))&amp;IF(ISBLANK(Y163),,Y163&amp;("/"))&amp;IF(ISBLANK(X163),,X163&amp;("/"))&amp;IF(ISBLANK(W163),,W163&amp;("/"))&amp;IF(ISBLANK(V163),,V163&amp;("/"))&amp;IF(ISBLANK(U163),,U163&amp;("/"))&amp;IF(ISBLANK(T163),,T163&amp;("/"))&amp;IF(ISBLANK(S163),,S163&amp;("/"))&amp;IF(ISBLANK(R163),,R163&amp;("/"))&amp;IF(ISBLANK(Q163),,Q163&amp;("/"))&amp;IF(ISBLANK(P163),,P163&amp;("/"))&amp;IF(ISBLANK(O163),,O163&amp;("/"))&amp;IF(ISBLANK(N163),,N163&amp;("/"))&amp;IF(G163="-",M163,M163&amp;("_")&amp;MID(G163,1,1))</f>
        <v>I3C_SDA_M0/I2C0_SDA_M1/UART8_RX_M1/GPIO0_C2_d</v>
      </c>
      <c r="AE163" s="115" t="str">
        <f t="shared" si="14"/>
        <v>y</v>
      </c>
      <c r="AF163" s="115" t="str">
        <f t="shared" si="15"/>
        <v/>
      </c>
      <c r="AG163" s="115" t="str">
        <f t="shared" si="16"/>
        <v/>
      </c>
      <c r="AH163" s="115" t="str">
        <f t="shared" si="17"/>
        <v/>
      </c>
      <c r="AI163" s="115" t="str">
        <f t="shared" si="18"/>
        <v/>
      </c>
      <c r="AJ163" s="115" t="str">
        <f t="shared" si="19"/>
        <v/>
      </c>
      <c r="AK163" s="115" t="str">
        <f t="shared" si="20"/>
        <v/>
      </c>
      <c r="AL163" s="115" t="str">
        <f t="shared" si="21"/>
        <v/>
      </c>
      <c r="AM163" s="115" t="str">
        <f t="shared" si="22"/>
        <v/>
      </c>
      <c r="AN163" s="115" t="str">
        <f t="shared" si="23"/>
        <v/>
      </c>
      <c r="AO163" s="115" t="str">
        <f t="shared" si="24"/>
        <v/>
      </c>
      <c r="AP163" s="115" t="str">
        <f t="shared" si="25"/>
        <v/>
      </c>
      <c r="AQ163" s="115" t="str">
        <f t="shared" si="26"/>
        <v/>
      </c>
      <c r="AR163" s="115" t="str">
        <f t="shared" si="27"/>
        <v/>
      </c>
      <c r="AS163" s="115" t="str">
        <f t="shared" si="28"/>
        <v/>
      </c>
    </row>
    <row r="164" spans="1:45" outlineLevel="1">
      <c r="A164" s="138" t="s">
        <v>2043</v>
      </c>
      <c r="B164" s="139" t="s">
        <v>2042</v>
      </c>
      <c r="C164" s="118"/>
      <c r="D164" s="119" t="s">
        <v>753</v>
      </c>
      <c r="E164" s="119" t="s">
        <v>1124</v>
      </c>
      <c r="F164" s="119" t="s">
        <v>1123</v>
      </c>
      <c r="G164" s="119" t="s">
        <v>1122</v>
      </c>
      <c r="H164" s="119" t="s">
        <v>1121</v>
      </c>
      <c r="I164" s="119" t="s">
        <v>1120</v>
      </c>
      <c r="J164" s="119">
        <v>40</v>
      </c>
      <c r="K164" s="119" t="s">
        <v>371</v>
      </c>
      <c r="L164" s="119" t="s">
        <v>371</v>
      </c>
      <c r="M164" s="118" t="s">
        <v>2041</v>
      </c>
      <c r="N164" s="118" t="s">
        <v>2040</v>
      </c>
      <c r="O164" s="118"/>
      <c r="P164" s="118"/>
      <c r="Q164" s="118" t="s">
        <v>2039</v>
      </c>
      <c r="R164" s="118"/>
      <c r="S164" s="118" t="s">
        <v>2038</v>
      </c>
      <c r="T164" s="118"/>
      <c r="U164" s="118"/>
      <c r="V164" s="118"/>
      <c r="W164" s="118"/>
      <c r="X164" s="118"/>
      <c r="Y164" s="118" t="s">
        <v>2037</v>
      </c>
      <c r="Z164" s="118"/>
      <c r="AA164" s="118"/>
      <c r="AB164" s="118"/>
      <c r="AC164" s="118"/>
      <c r="AD164" s="116" t="str">
        <f t="array" ref="AD164">IF(ISBLANK(AA164),,AA164&amp;("/"))&amp;IF(ISBLANK(Z164),,Z164&amp;("/"))&amp;IF(ISBLANK(Y164),,Y164&amp;("/"))&amp;IF(ISBLANK(X164),,X164&amp;("/"))&amp;IF(ISBLANK(W164),,W164&amp;("/"))&amp;IF(ISBLANK(V164),,V164&amp;("/"))&amp;IF(ISBLANK(U164),,U164&amp;("/"))&amp;IF(ISBLANK(T164),,T164&amp;("/"))&amp;IF(ISBLANK(S164),,S164&amp;("/"))&amp;IF(ISBLANK(R164),,R164&amp;("/"))&amp;IF(ISBLANK(Q164),,Q164&amp;("/"))&amp;IF(ISBLANK(P164),,P164&amp;("/"))&amp;IF(ISBLANK(O164),,O164&amp;("/"))&amp;IF(ISBLANK(N164),,N164&amp;("/"))&amp;IF(G164="-",M164,M164&amp;("_")&amp;MID(G164,1,1))</f>
        <v>PWM0_CH1_M0/PDM_CLK1_M0/HDMI_TX_CEC_M1/SPI0_CSN1_M0/GPIO0_C3_d</v>
      </c>
      <c r="AE164" s="115" t="str">
        <f t="shared" si="14"/>
        <v>y</v>
      </c>
      <c r="AF164" s="115" t="str">
        <f t="shared" si="15"/>
        <v/>
      </c>
      <c r="AG164" s="115" t="str">
        <f t="shared" si="16"/>
        <v/>
      </c>
      <c r="AH164" s="115" t="str">
        <f t="shared" si="17"/>
        <v/>
      </c>
      <c r="AI164" s="115" t="str">
        <f t="shared" si="18"/>
        <v/>
      </c>
      <c r="AJ164" s="115" t="str">
        <f t="shared" si="19"/>
        <v/>
      </c>
      <c r="AK164" s="115" t="str">
        <f t="shared" si="20"/>
        <v/>
      </c>
      <c r="AL164" s="115" t="str">
        <f t="shared" si="21"/>
        <v/>
      </c>
      <c r="AM164" s="115" t="str">
        <f t="shared" si="22"/>
        <v/>
      </c>
      <c r="AN164" s="115" t="str">
        <f t="shared" si="23"/>
        <v/>
      </c>
      <c r="AO164" s="115" t="str">
        <f t="shared" si="24"/>
        <v/>
      </c>
      <c r="AP164" s="115" t="str">
        <f t="shared" si="25"/>
        <v/>
      </c>
      <c r="AQ164" s="115" t="str">
        <f t="shared" si="26"/>
        <v/>
      </c>
      <c r="AR164" s="115" t="str">
        <f t="shared" si="27"/>
        <v/>
      </c>
      <c r="AS164" s="115" t="str">
        <f t="shared" si="28"/>
        <v/>
      </c>
    </row>
    <row r="165" spans="1:45" outlineLevel="1">
      <c r="A165" s="138" t="s">
        <v>2036</v>
      </c>
      <c r="B165" s="139" t="s">
        <v>2035</v>
      </c>
      <c r="C165" s="118"/>
      <c r="D165" s="119" t="s">
        <v>753</v>
      </c>
      <c r="E165" s="119" t="s">
        <v>1124</v>
      </c>
      <c r="F165" s="119" t="s">
        <v>1123</v>
      </c>
      <c r="G165" s="119" t="s">
        <v>1122</v>
      </c>
      <c r="H165" s="119" t="s">
        <v>1121</v>
      </c>
      <c r="I165" s="119" t="s">
        <v>1120</v>
      </c>
      <c r="J165" s="119">
        <v>40</v>
      </c>
      <c r="K165" s="119" t="s">
        <v>371</v>
      </c>
      <c r="L165" s="119" t="s">
        <v>371</v>
      </c>
      <c r="M165" s="118" t="s">
        <v>2034</v>
      </c>
      <c r="N165" s="118"/>
      <c r="O165" s="118"/>
      <c r="P165" s="118"/>
      <c r="Q165" s="118" t="s">
        <v>2033</v>
      </c>
      <c r="R165" s="118"/>
      <c r="S165" s="118" t="s">
        <v>2032</v>
      </c>
      <c r="T165" s="118"/>
      <c r="U165" s="118"/>
      <c r="V165" s="118" t="s">
        <v>2031</v>
      </c>
      <c r="W165" s="118"/>
      <c r="X165" s="118"/>
      <c r="Y165" s="118" t="s">
        <v>2030</v>
      </c>
      <c r="Z165" s="118"/>
      <c r="AA165" s="118"/>
      <c r="AB165" s="118"/>
      <c r="AC165" s="118"/>
      <c r="AD165" s="116" t="str">
        <f t="array" ref="AD165">IF(ISBLANK(AA165),,AA165&amp;("/"))&amp;IF(ISBLANK(Z165),,Z165&amp;("/"))&amp;IF(ISBLANK(Y165),,Y165&amp;("/"))&amp;IF(ISBLANK(X165),,X165&amp;("/"))&amp;IF(ISBLANK(W165),,W165&amp;("/"))&amp;IF(ISBLANK(V165),,V165&amp;("/"))&amp;IF(ISBLANK(U165),,U165&amp;("/"))&amp;IF(ISBLANK(T165),,T165&amp;("/"))&amp;IF(ISBLANK(S165),,S165&amp;("/"))&amp;IF(ISBLANK(R165),,R165&amp;("/"))&amp;IF(ISBLANK(Q165),,Q165&amp;("/"))&amp;IF(ISBLANK(P165),,P165&amp;("/"))&amp;IF(ISBLANK(O165),,O165&amp;("/"))&amp;IF(ISBLANK(N165),,N165&amp;("/"))&amp;IF(G165="-",M165,M165&amp;("_")&amp;MID(G165,1,1))</f>
        <v>PWM0_CH0_M0/UART10_TX_M2/PDM_CLK0_M0/SAI0_MCLK_M1/GPIO0_C4_d</v>
      </c>
      <c r="AE165" s="115" t="str">
        <f t="shared" si="14"/>
        <v>y</v>
      </c>
      <c r="AF165" s="115" t="str">
        <f t="shared" si="15"/>
        <v/>
      </c>
      <c r="AG165" s="115" t="str">
        <f t="shared" si="16"/>
        <v/>
      </c>
      <c r="AH165" s="115" t="str">
        <f t="shared" si="17"/>
        <v/>
      </c>
      <c r="AI165" s="115" t="str">
        <f t="shared" si="18"/>
        <v/>
      </c>
      <c r="AJ165" s="115" t="str">
        <f t="shared" si="19"/>
        <v/>
      </c>
      <c r="AK165" s="115" t="str">
        <f t="shared" si="20"/>
        <v/>
      </c>
      <c r="AL165" s="115" t="str">
        <f t="shared" si="21"/>
        <v/>
      </c>
      <c r="AM165" s="115" t="str">
        <f t="shared" si="22"/>
        <v/>
      </c>
      <c r="AN165" s="115" t="str">
        <f t="shared" si="23"/>
        <v/>
      </c>
      <c r="AO165" s="115" t="str">
        <f t="shared" si="24"/>
        <v/>
      </c>
      <c r="AP165" s="115" t="str">
        <f t="shared" si="25"/>
        <v/>
      </c>
      <c r="AQ165" s="115" t="str">
        <f t="shared" si="26"/>
        <v/>
      </c>
      <c r="AR165" s="115" t="str">
        <f t="shared" si="27"/>
        <v/>
      </c>
      <c r="AS165" s="115" t="str">
        <f t="shared" si="28"/>
        <v/>
      </c>
    </row>
    <row r="166" spans="1:45" outlineLevel="1">
      <c r="A166" s="138" t="s">
        <v>2029</v>
      </c>
      <c r="B166" s="139" t="s">
        <v>4978</v>
      </c>
      <c r="C166" s="118"/>
      <c r="D166" s="119" t="s">
        <v>753</v>
      </c>
      <c r="E166" s="119" t="s">
        <v>1124</v>
      </c>
      <c r="F166" s="119" t="s">
        <v>1123</v>
      </c>
      <c r="G166" s="119" t="s">
        <v>1122</v>
      </c>
      <c r="H166" s="119" t="s">
        <v>1121</v>
      </c>
      <c r="I166" s="119" t="s">
        <v>1120</v>
      </c>
      <c r="J166" s="119">
        <v>40</v>
      </c>
      <c r="K166" s="119" t="s">
        <v>371</v>
      </c>
      <c r="L166" s="119" t="s">
        <v>371</v>
      </c>
      <c r="M166" s="118" t="s">
        <v>2028</v>
      </c>
      <c r="N166" s="118"/>
      <c r="O166" s="118"/>
      <c r="P166" s="118"/>
      <c r="Q166" s="118" t="s">
        <v>2027</v>
      </c>
      <c r="R166" s="118"/>
      <c r="S166" s="118"/>
      <c r="T166" s="118"/>
      <c r="U166" s="118"/>
      <c r="V166" s="118" t="s">
        <v>2026</v>
      </c>
      <c r="W166" s="118"/>
      <c r="X166" s="118"/>
      <c r="Y166" s="118" t="s">
        <v>4966</v>
      </c>
      <c r="Z166" s="118"/>
      <c r="AA166" s="118"/>
      <c r="AB166" s="118"/>
      <c r="AC166" s="118"/>
      <c r="AD166" s="116" t="str">
        <f t="array" ref="AD166">IF(ISBLANK(AA166),,AA166&amp;("/"))&amp;IF(ISBLANK(Z166),,Z166&amp;("/"))&amp;IF(ISBLANK(Y166),,Y166&amp;("/"))&amp;IF(ISBLANK(X166),,X166&amp;("/"))&amp;IF(ISBLANK(W166),,W166&amp;("/"))&amp;IF(ISBLANK(V166),,V166&amp;("/"))&amp;IF(ISBLANK(U166),,U166&amp;("/"))&amp;IF(ISBLANK(T166),,T166&amp;("/"))&amp;IF(ISBLANK(S166),,S166&amp;("/"))&amp;IF(ISBLANK(R166),,R166&amp;("/"))&amp;IF(ISBLANK(Q166),,Q166&amp;("/"))&amp;IF(ISBLANK(P166),,P166&amp;("/"))&amp;IF(ISBLANK(O166),,O166&amp;("/"))&amp;IF(ISBLANK(N166),,N166&amp;("/"))&amp;IF(G166="-",M166,M166&amp;("_")&amp;MID(G166,1,1))</f>
        <v>I3C_SDA_PU_M0/UART10_RX_M2/SAI0_SDO0_M1/GPIO0_C5_d</v>
      </c>
      <c r="AE166" s="115" t="str">
        <f t="shared" si="14"/>
        <v>y</v>
      </c>
      <c r="AF166" s="115" t="str">
        <f t="shared" si="15"/>
        <v/>
      </c>
      <c r="AG166" s="115" t="str">
        <f t="shared" si="16"/>
        <v/>
      </c>
      <c r="AH166" s="115" t="str">
        <f t="shared" si="17"/>
        <v/>
      </c>
      <c r="AI166" s="115" t="str">
        <f t="shared" si="18"/>
        <v/>
      </c>
      <c r="AJ166" s="115" t="str">
        <f t="shared" si="19"/>
        <v/>
      </c>
      <c r="AK166" s="115" t="str">
        <f t="shared" si="20"/>
        <v/>
      </c>
      <c r="AL166" s="115" t="str">
        <f t="shared" si="21"/>
        <v/>
      </c>
      <c r="AM166" s="115" t="str">
        <f t="shared" si="22"/>
        <v/>
      </c>
      <c r="AN166" s="115" t="str">
        <f t="shared" si="23"/>
        <v/>
      </c>
      <c r="AO166" s="115" t="str">
        <f t="shared" si="24"/>
        <v/>
      </c>
      <c r="AP166" s="115" t="str">
        <f t="shared" si="25"/>
        <v/>
      </c>
      <c r="AQ166" s="115" t="str">
        <f t="shared" si="26"/>
        <v/>
      </c>
      <c r="AR166" s="115" t="str">
        <f t="shared" si="27"/>
        <v/>
      </c>
      <c r="AS166" s="115" t="str">
        <f t="shared" si="28"/>
        <v/>
      </c>
    </row>
    <row r="167" spans="1:45" outlineLevel="1">
      <c r="A167" s="138" t="s">
        <v>2025</v>
      </c>
      <c r="B167" s="139" t="s">
        <v>2024</v>
      </c>
      <c r="C167" s="118"/>
      <c r="D167" s="119" t="s">
        <v>753</v>
      </c>
      <c r="E167" s="119" t="s">
        <v>1124</v>
      </c>
      <c r="F167" s="119" t="s">
        <v>1123</v>
      </c>
      <c r="G167" s="119" t="s">
        <v>1122</v>
      </c>
      <c r="H167" s="119" t="s">
        <v>1121</v>
      </c>
      <c r="I167" s="119" t="s">
        <v>1120</v>
      </c>
      <c r="J167" s="119">
        <v>40</v>
      </c>
      <c r="K167" s="119" t="s">
        <v>371</v>
      </c>
      <c r="L167" s="119" t="s">
        <v>371</v>
      </c>
      <c r="M167" s="118" t="s">
        <v>2023</v>
      </c>
      <c r="N167" s="118" t="s">
        <v>2022</v>
      </c>
      <c r="O167" s="118"/>
      <c r="P167" s="118"/>
      <c r="Q167" s="118" t="s">
        <v>2021</v>
      </c>
      <c r="R167" s="118"/>
      <c r="S167" s="118"/>
      <c r="T167" s="118"/>
      <c r="U167" s="118"/>
      <c r="V167" s="118" t="s">
        <v>2020</v>
      </c>
      <c r="W167" s="118"/>
      <c r="X167" s="118" t="s">
        <v>2019</v>
      </c>
      <c r="Y167" s="118"/>
      <c r="Z167" s="118"/>
      <c r="AA167" s="118"/>
      <c r="AB167" s="118"/>
      <c r="AC167" s="118"/>
      <c r="AD167" s="116" t="str">
        <f t="array" ref="AD167">IF(ISBLANK(AA167),,AA167&amp;("/"))&amp;IF(ISBLANK(Z167),,Z167&amp;("/"))&amp;IF(ISBLANK(Y167),,Y167&amp;("/"))&amp;IF(ISBLANK(X167),,X167&amp;("/"))&amp;IF(ISBLANK(W167),,W167&amp;("/"))&amp;IF(ISBLANK(V167),,V167&amp;("/"))&amp;IF(ISBLANK(U167),,U167&amp;("/"))&amp;IF(ISBLANK(T167),,T167&amp;("/"))&amp;IF(ISBLANK(S167),,S167&amp;("/"))&amp;IF(ISBLANK(R167),,R167&amp;("/"))&amp;IF(ISBLANK(Q167),,Q167&amp;("/"))&amp;IF(ISBLANK(P167),,P167&amp;("/"))&amp;IF(ISBLANK(O167),,O167&amp;("/"))&amp;IF(ISBLANK(N167),,N167&amp;("/"))&amp;IF(G167="-",M167,M167&amp;("_")&amp;MID(G167,1,1))</f>
        <v>I2C3_SCL_M1/UART8_RTSN_M1/SAI0_SCLK_M1/SPI0_CSN0_M0/GPIO0_C6_d</v>
      </c>
      <c r="AE167" s="115" t="str">
        <f t="shared" si="14"/>
        <v>y</v>
      </c>
      <c r="AF167" s="115" t="str">
        <f t="shared" si="15"/>
        <v/>
      </c>
      <c r="AG167" s="115" t="str">
        <f t="shared" si="16"/>
        <v/>
      </c>
      <c r="AH167" s="115" t="str">
        <f t="shared" si="17"/>
        <v/>
      </c>
      <c r="AI167" s="115" t="str">
        <f t="shared" si="18"/>
        <v/>
      </c>
      <c r="AJ167" s="115" t="str">
        <f t="shared" si="19"/>
        <v/>
      </c>
      <c r="AK167" s="115" t="str">
        <f t="shared" si="20"/>
        <v/>
      </c>
      <c r="AL167" s="115" t="str">
        <f t="shared" si="21"/>
        <v/>
      </c>
      <c r="AM167" s="115" t="str">
        <f t="shared" si="22"/>
        <v/>
      </c>
      <c r="AN167" s="115" t="str">
        <f t="shared" si="23"/>
        <v/>
      </c>
      <c r="AO167" s="115" t="str">
        <f t="shared" si="24"/>
        <v/>
      </c>
      <c r="AP167" s="115" t="str">
        <f t="shared" si="25"/>
        <v/>
      </c>
      <c r="AQ167" s="115" t="str">
        <f t="shared" si="26"/>
        <v/>
      </c>
      <c r="AR167" s="115" t="str">
        <f t="shared" si="27"/>
        <v/>
      </c>
      <c r="AS167" s="115" t="str">
        <f t="shared" si="28"/>
        <v/>
      </c>
    </row>
    <row r="168" spans="1:45" outlineLevel="1">
      <c r="A168" s="138" t="s">
        <v>2018</v>
      </c>
      <c r="B168" s="139" t="s">
        <v>2017</v>
      </c>
      <c r="C168" s="118"/>
      <c r="D168" s="119" t="s">
        <v>753</v>
      </c>
      <c r="E168" s="119" t="s">
        <v>1124</v>
      </c>
      <c r="F168" s="119" t="s">
        <v>1123</v>
      </c>
      <c r="G168" s="119" t="s">
        <v>1122</v>
      </c>
      <c r="H168" s="119" t="s">
        <v>1121</v>
      </c>
      <c r="I168" s="119" t="s">
        <v>1120</v>
      </c>
      <c r="J168" s="119">
        <v>40</v>
      </c>
      <c r="K168" s="119" t="s">
        <v>371</v>
      </c>
      <c r="L168" s="119" t="s">
        <v>371</v>
      </c>
      <c r="M168" s="118" t="s">
        <v>2016</v>
      </c>
      <c r="N168" s="118" t="s">
        <v>2015</v>
      </c>
      <c r="O168" s="118"/>
      <c r="P168" s="118"/>
      <c r="Q168" s="118" t="s">
        <v>2014</v>
      </c>
      <c r="R168" s="118"/>
      <c r="S168" s="118"/>
      <c r="T168" s="118"/>
      <c r="U168" s="118"/>
      <c r="V168" s="118" t="s">
        <v>2013</v>
      </c>
      <c r="W168" s="118"/>
      <c r="X168" s="118" t="s">
        <v>2012</v>
      </c>
      <c r="Y168" s="118"/>
      <c r="Z168" s="118"/>
      <c r="AA168" s="118"/>
      <c r="AB168" s="118"/>
      <c r="AC168" s="118"/>
      <c r="AD168" s="116" t="str">
        <f t="array" ref="AD168">IF(ISBLANK(AA168),,AA168&amp;("/"))&amp;IF(ISBLANK(Z168),,Z168&amp;("/"))&amp;IF(ISBLANK(Y168),,Y168&amp;("/"))&amp;IF(ISBLANK(X168),,X168&amp;("/"))&amp;IF(ISBLANK(W168),,W168&amp;("/"))&amp;IF(ISBLANK(V168),,V168&amp;("/"))&amp;IF(ISBLANK(U168),,U168&amp;("/"))&amp;IF(ISBLANK(T168),,T168&amp;("/"))&amp;IF(ISBLANK(S168),,S168&amp;("/"))&amp;IF(ISBLANK(R168),,R168&amp;("/"))&amp;IF(ISBLANK(Q168),,Q168&amp;("/"))&amp;IF(ISBLANK(P168),,P168&amp;("/"))&amp;IF(ISBLANK(O168),,O168&amp;("/"))&amp;IF(ISBLANK(N168),,N168&amp;("/"))&amp;IF(G168="-",M168,M168&amp;("_")&amp;MID(G168,1,1))</f>
        <v>I2C3_SDA_M1/UART8_CTSN_M1/SAI0_LRCK_M1/SPI0_CLK_M0/GPIO0_C7_d</v>
      </c>
      <c r="AE168" s="115" t="str">
        <f t="shared" si="14"/>
        <v>y</v>
      </c>
      <c r="AF168" s="115" t="str">
        <f t="shared" si="15"/>
        <v/>
      </c>
      <c r="AG168" s="115" t="str">
        <f t="shared" si="16"/>
        <v/>
      </c>
      <c r="AH168" s="115" t="str">
        <f t="shared" si="17"/>
        <v/>
      </c>
      <c r="AI168" s="115" t="str">
        <f t="shared" si="18"/>
        <v/>
      </c>
      <c r="AJ168" s="115" t="str">
        <f t="shared" si="19"/>
        <v/>
      </c>
      <c r="AK168" s="115" t="str">
        <f t="shared" si="20"/>
        <v/>
      </c>
      <c r="AL168" s="115" t="str">
        <f t="shared" si="21"/>
        <v/>
      </c>
      <c r="AM168" s="115" t="str">
        <f t="shared" si="22"/>
        <v/>
      </c>
      <c r="AN168" s="115" t="str">
        <f t="shared" si="23"/>
        <v/>
      </c>
      <c r="AO168" s="115" t="str">
        <f t="shared" si="24"/>
        <v/>
      </c>
      <c r="AP168" s="115" t="str">
        <f t="shared" si="25"/>
        <v/>
      </c>
      <c r="AQ168" s="115" t="str">
        <f t="shared" si="26"/>
        <v/>
      </c>
      <c r="AR168" s="115" t="str">
        <f t="shared" si="27"/>
        <v/>
      </c>
      <c r="AS168" s="115" t="str">
        <f t="shared" si="28"/>
        <v/>
      </c>
    </row>
    <row r="169" spans="1:45" outlineLevel="1">
      <c r="A169" s="138" t="s">
        <v>2011</v>
      </c>
      <c r="B169" s="139" t="s">
        <v>2010</v>
      </c>
      <c r="C169" s="118"/>
      <c r="D169" s="119" t="s">
        <v>753</v>
      </c>
      <c r="E169" s="119" t="s">
        <v>1124</v>
      </c>
      <c r="F169" s="119" t="s">
        <v>1123</v>
      </c>
      <c r="G169" s="119" t="s">
        <v>1122</v>
      </c>
      <c r="H169" s="119" t="s">
        <v>1121</v>
      </c>
      <c r="I169" s="119" t="s">
        <v>1120</v>
      </c>
      <c r="J169" s="119">
        <v>40</v>
      </c>
      <c r="K169" s="119" t="s">
        <v>371</v>
      </c>
      <c r="L169" s="119" t="s">
        <v>371</v>
      </c>
      <c r="M169" s="118" t="s">
        <v>2009</v>
      </c>
      <c r="N169" s="118" t="s">
        <v>2008</v>
      </c>
      <c r="O169" s="118"/>
      <c r="P169" s="118"/>
      <c r="Q169" s="118" t="s">
        <v>2007</v>
      </c>
      <c r="R169" s="118"/>
      <c r="S169" s="118" t="s">
        <v>2006</v>
      </c>
      <c r="T169" s="118"/>
      <c r="U169" s="118"/>
      <c r="V169" s="118" t="s">
        <v>2005</v>
      </c>
      <c r="W169" s="118"/>
      <c r="X169" s="118"/>
      <c r="Y169" s="118"/>
      <c r="Z169" s="118"/>
      <c r="AA169" s="118"/>
      <c r="AB169" s="118"/>
      <c r="AC169" s="118"/>
      <c r="AD169" s="116" t="str">
        <f t="array" ref="AD169">IF(ISBLANK(AA169),,AA169&amp;("/"))&amp;IF(ISBLANK(Z169),,Z169&amp;("/"))&amp;IF(ISBLANK(Y169),,Y169&amp;("/"))&amp;IF(ISBLANK(X169),,X169&amp;("/"))&amp;IF(ISBLANK(W169),,W169&amp;("/"))&amp;IF(ISBLANK(V169),,V169&amp;("/"))&amp;IF(ISBLANK(U169),,U169&amp;("/"))&amp;IF(ISBLANK(T169),,T169&amp;("/"))&amp;IF(ISBLANK(S169),,S169&amp;("/"))&amp;IF(ISBLANK(R169),,R169&amp;("/"))&amp;IF(ISBLANK(Q169),,Q169&amp;("/"))&amp;IF(ISBLANK(P169),,P169&amp;("/"))&amp;IF(ISBLANK(O169),,O169&amp;("/"))&amp;IF(ISBLANK(N169),,N169&amp;("/"))&amp;IF(G169="-",M169,M169&amp;("_")&amp;MID(G169,1,1))</f>
        <v>UART11_TX_M0/PDM_SDI0_M0/SAI0_SDI0_M1/SPI0_MOSI_M0/GPIO0_D0_d</v>
      </c>
      <c r="AE169" s="115" t="str">
        <f t="shared" si="14"/>
        <v>y</v>
      </c>
      <c r="AF169" s="115" t="str">
        <f t="shared" si="15"/>
        <v/>
      </c>
      <c r="AG169" s="115" t="str">
        <f t="shared" si="16"/>
        <v/>
      </c>
      <c r="AH169" s="115" t="str">
        <f t="shared" si="17"/>
        <v/>
      </c>
      <c r="AI169" s="115" t="str">
        <f t="shared" si="18"/>
        <v/>
      </c>
      <c r="AJ169" s="115" t="str">
        <f t="shared" si="19"/>
        <v/>
      </c>
      <c r="AK169" s="115" t="str">
        <f t="shared" si="20"/>
        <v/>
      </c>
      <c r="AL169" s="115" t="str">
        <f t="shared" si="21"/>
        <v/>
      </c>
      <c r="AM169" s="115" t="str">
        <f t="shared" si="22"/>
        <v/>
      </c>
      <c r="AN169" s="115" t="str">
        <f t="shared" si="23"/>
        <v/>
      </c>
      <c r="AO169" s="115" t="str">
        <f t="shared" si="24"/>
        <v/>
      </c>
      <c r="AP169" s="115" t="str">
        <f t="shared" si="25"/>
        <v/>
      </c>
      <c r="AQ169" s="115" t="str">
        <f t="shared" si="26"/>
        <v/>
      </c>
      <c r="AR169" s="115" t="str">
        <f t="shared" si="27"/>
        <v/>
      </c>
      <c r="AS169" s="115" t="str">
        <f t="shared" si="28"/>
        <v/>
      </c>
    </row>
    <row r="170" spans="1:45" ht="28.5" outlineLevel="1">
      <c r="A170" s="138" t="s">
        <v>2004</v>
      </c>
      <c r="B170" s="139" t="s">
        <v>2003</v>
      </c>
      <c r="C170" s="118"/>
      <c r="D170" s="119" t="s">
        <v>753</v>
      </c>
      <c r="E170" s="119" t="s">
        <v>1124</v>
      </c>
      <c r="F170" s="119" t="s">
        <v>1123</v>
      </c>
      <c r="G170" s="119" t="s">
        <v>1122</v>
      </c>
      <c r="H170" s="119" t="s">
        <v>1121</v>
      </c>
      <c r="I170" s="119" t="s">
        <v>1120</v>
      </c>
      <c r="J170" s="119">
        <v>40</v>
      </c>
      <c r="K170" s="119" t="s">
        <v>371</v>
      </c>
      <c r="L170" s="119" t="s">
        <v>371</v>
      </c>
      <c r="M170" s="118" t="s">
        <v>2002</v>
      </c>
      <c r="N170" s="118" t="s">
        <v>2001</v>
      </c>
      <c r="O170" s="118"/>
      <c r="P170" s="118"/>
      <c r="Q170" s="118" t="s">
        <v>2000</v>
      </c>
      <c r="R170" s="118" t="s">
        <v>1999</v>
      </c>
      <c r="S170" s="118" t="s">
        <v>1998</v>
      </c>
      <c r="T170" s="118"/>
      <c r="U170" s="118"/>
      <c r="V170" s="118" t="s">
        <v>1997</v>
      </c>
      <c r="W170" s="118"/>
      <c r="X170" s="118"/>
      <c r="Y170" s="118"/>
      <c r="Z170" s="118"/>
      <c r="AA170" s="118"/>
      <c r="AB170" s="118"/>
      <c r="AC170" s="118"/>
      <c r="AD170" s="116" t="str">
        <f t="array" ref="AD170">IF(ISBLANK(AA170),,AA170&amp;("/"))&amp;IF(ISBLANK(Z170),,Z170&amp;("/"))&amp;IF(ISBLANK(Y170),,Y170&amp;("/"))&amp;IF(ISBLANK(X170),,X170&amp;("/"))&amp;IF(ISBLANK(W170),,W170&amp;("/"))&amp;IF(ISBLANK(V170),,V170&amp;("/"))&amp;IF(ISBLANK(U170),,U170&amp;("/"))&amp;IF(ISBLANK(T170),,T170&amp;("/"))&amp;IF(ISBLANK(S170),,S170&amp;("/"))&amp;IF(ISBLANK(R170),,R170&amp;("/"))&amp;IF(ISBLANK(Q170),,Q170&amp;("/"))&amp;IF(ISBLANK(P170),,P170&amp;("/"))&amp;IF(ISBLANK(O170),,O170&amp;("/"))&amp;IF(ISBLANK(N170),,N170&amp;("/"))&amp;IF(G170="-",M170,M170&amp;("_")&amp;MID(G170,1,1))</f>
        <v>UART11_RX_M0/PDM_SDI1_M0/SAI0_SDO3_M1/SAI0_SDI1_M1/SPI0_MISO_M0/GPIO0_D1_d</v>
      </c>
      <c r="AE170" s="115" t="str">
        <f t="shared" si="14"/>
        <v>y</v>
      </c>
      <c r="AF170" s="115" t="str">
        <f t="shared" si="15"/>
        <v/>
      </c>
      <c r="AG170" s="115" t="str">
        <f t="shared" si="16"/>
        <v/>
      </c>
      <c r="AH170" s="115" t="str">
        <f t="shared" si="17"/>
        <v/>
      </c>
      <c r="AI170" s="115" t="str">
        <f t="shared" si="18"/>
        <v/>
      </c>
      <c r="AJ170" s="115" t="str">
        <f t="shared" si="19"/>
        <v/>
      </c>
      <c r="AK170" s="115" t="str">
        <f t="shared" si="20"/>
        <v/>
      </c>
      <c r="AL170" s="115" t="str">
        <f t="shared" si="21"/>
        <v/>
      </c>
      <c r="AM170" s="115" t="str">
        <f t="shared" si="22"/>
        <v/>
      </c>
      <c r="AN170" s="115" t="str">
        <f t="shared" si="23"/>
        <v/>
      </c>
      <c r="AO170" s="115" t="str">
        <f t="shared" si="24"/>
        <v/>
      </c>
      <c r="AP170" s="115" t="str">
        <f t="shared" si="25"/>
        <v/>
      </c>
      <c r="AQ170" s="115" t="str">
        <f t="shared" si="26"/>
        <v/>
      </c>
      <c r="AR170" s="115" t="str">
        <f t="shared" si="27"/>
        <v/>
      </c>
      <c r="AS170" s="115" t="str">
        <f t="shared" si="28"/>
        <v/>
      </c>
    </row>
    <row r="171" spans="1:45" ht="28.5" outlineLevel="1">
      <c r="A171" s="138" t="s">
        <v>1996</v>
      </c>
      <c r="B171" s="139" t="s">
        <v>1995</v>
      </c>
      <c r="C171" s="118"/>
      <c r="D171" s="119" t="s">
        <v>753</v>
      </c>
      <c r="E171" s="119" t="s">
        <v>1124</v>
      </c>
      <c r="F171" s="119" t="s">
        <v>1123</v>
      </c>
      <c r="G171" s="119" t="s">
        <v>1122</v>
      </c>
      <c r="H171" s="119" t="s">
        <v>1121</v>
      </c>
      <c r="I171" s="119" t="s">
        <v>1120</v>
      </c>
      <c r="J171" s="119">
        <v>40</v>
      </c>
      <c r="K171" s="119" t="s">
        <v>371</v>
      </c>
      <c r="L171" s="119" t="s">
        <v>371</v>
      </c>
      <c r="M171" s="118" t="s">
        <v>1994</v>
      </c>
      <c r="N171" s="118" t="s">
        <v>1993</v>
      </c>
      <c r="O171" s="118"/>
      <c r="P171" s="118"/>
      <c r="Q171" s="118" t="s">
        <v>1992</v>
      </c>
      <c r="R171" s="118" t="s">
        <v>1991</v>
      </c>
      <c r="S171" s="118" t="s">
        <v>1990</v>
      </c>
      <c r="T171" s="118"/>
      <c r="U171" s="118"/>
      <c r="V171" s="118" t="s">
        <v>1989</v>
      </c>
      <c r="W171" s="118"/>
      <c r="X171" s="118" t="s">
        <v>1988</v>
      </c>
      <c r="Y171" s="118" t="s">
        <v>1987</v>
      </c>
      <c r="Z171" s="118"/>
      <c r="AA171" s="118"/>
      <c r="AB171" s="118"/>
      <c r="AC171" s="118"/>
      <c r="AD171" s="116" t="str">
        <f t="array" ref="AD171">IF(ISBLANK(AA171),,AA171&amp;("/"))&amp;IF(ISBLANK(Z171),,Z171&amp;("/"))&amp;IF(ISBLANK(Y171),,Y171&amp;("/"))&amp;IF(ISBLANK(X171),,X171&amp;("/"))&amp;IF(ISBLANK(W171),,W171&amp;("/"))&amp;IF(ISBLANK(V171),,V171&amp;("/"))&amp;IF(ISBLANK(U171),,U171&amp;("/"))&amp;IF(ISBLANK(T171),,T171&amp;("/"))&amp;IF(ISBLANK(S171),,S171&amp;("/"))&amp;IF(ISBLANK(R171),,R171&amp;("/"))&amp;IF(ISBLANK(Q171),,Q171&amp;("/"))&amp;IF(ISBLANK(P171),,P171&amp;("/"))&amp;IF(ISBLANK(O171),,O171&amp;("/"))&amp;IF(ISBLANK(N171),,N171&amp;("/"))&amp;IF(G171="-",M171,M171&amp;("_")&amp;MID(G171,1,1))</f>
        <v>PWM1_CH5_M0/I2C4_SCL_M0/UART1_CTSN_M0/PDM_SDI2_M0/SAI0_SDO2_M1/SAI0_SDI2_M1/CPUBIG_AVS/GPIO0_D2_d</v>
      </c>
      <c r="AE171" s="115" t="str">
        <f t="shared" si="14"/>
        <v>y</v>
      </c>
      <c r="AF171" s="115" t="str">
        <f t="shared" si="15"/>
        <v/>
      </c>
      <c r="AG171" s="115" t="str">
        <f t="shared" si="16"/>
        <v/>
      </c>
      <c r="AH171" s="115" t="str">
        <f t="shared" si="17"/>
        <v/>
      </c>
      <c r="AI171" s="115" t="str">
        <f t="shared" si="18"/>
        <v/>
      </c>
      <c r="AJ171" s="115" t="str">
        <f t="shared" si="19"/>
        <v/>
      </c>
      <c r="AK171" s="115" t="str">
        <f t="shared" si="20"/>
        <v/>
      </c>
      <c r="AL171" s="115" t="str">
        <f t="shared" si="21"/>
        <v/>
      </c>
      <c r="AM171" s="115" t="str">
        <f t="shared" si="22"/>
        <v/>
      </c>
      <c r="AN171" s="115" t="str">
        <f t="shared" si="23"/>
        <v/>
      </c>
      <c r="AO171" s="115" t="str">
        <f t="shared" si="24"/>
        <v/>
      </c>
      <c r="AP171" s="115" t="str">
        <f t="shared" si="25"/>
        <v/>
      </c>
      <c r="AQ171" s="115" t="str">
        <f t="shared" si="26"/>
        <v/>
      </c>
      <c r="AR171" s="115" t="str">
        <f t="shared" si="27"/>
        <v/>
      </c>
      <c r="AS171" s="115" t="str">
        <f t="shared" si="28"/>
        <v/>
      </c>
    </row>
    <row r="172" spans="1:45" ht="28.5" outlineLevel="1">
      <c r="A172" s="138" t="s">
        <v>1986</v>
      </c>
      <c r="B172" s="139" t="s">
        <v>1985</v>
      </c>
      <c r="C172" s="118"/>
      <c r="D172" s="119" t="s">
        <v>753</v>
      </c>
      <c r="E172" s="119" t="s">
        <v>1124</v>
      </c>
      <c r="F172" s="119" t="s">
        <v>1123</v>
      </c>
      <c r="G172" s="119" t="s">
        <v>1122</v>
      </c>
      <c r="H172" s="119" t="s">
        <v>1121</v>
      </c>
      <c r="I172" s="119" t="s">
        <v>1120</v>
      </c>
      <c r="J172" s="119">
        <v>40</v>
      </c>
      <c r="K172" s="119" t="s">
        <v>371</v>
      </c>
      <c r="L172" s="119" t="s">
        <v>371</v>
      </c>
      <c r="M172" s="118" t="s">
        <v>1984</v>
      </c>
      <c r="N172" s="118" t="s">
        <v>1983</v>
      </c>
      <c r="O172" s="118"/>
      <c r="P172" s="118"/>
      <c r="Q172" s="118" t="s">
        <v>1982</v>
      </c>
      <c r="R172" s="118" t="s">
        <v>1981</v>
      </c>
      <c r="S172" s="118" t="s">
        <v>1980</v>
      </c>
      <c r="T172" s="118"/>
      <c r="U172" s="118"/>
      <c r="V172" s="118" t="s">
        <v>1979</v>
      </c>
      <c r="W172" s="118"/>
      <c r="X172" s="118" t="s">
        <v>1978</v>
      </c>
      <c r="Y172" s="118" t="s">
        <v>1977</v>
      </c>
      <c r="Z172" s="118"/>
      <c r="AA172" s="118"/>
      <c r="AB172" s="118"/>
      <c r="AC172" s="118"/>
      <c r="AD172" s="116" t="str">
        <f t="array" ref="AD172">IF(ISBLANK(AA172),,AA172&amp;("/"))&amp;IF(ISBLANK(Z172),,Z172&amp;("/"))&amp;IF(ISBLANK(Y172),,Y172&amp;("/"))&amp;IF(ISBLANK(X172),,X172&amp;("/"))&amp;IF(ISBLANK(W172),,W172&amp;("/"))&amp;IF(ISBLANK(V172),,V172&amp;("/"))&amp;IF(ISBLANK(U172),,U172&amp;("/"))&amp;IF(ISBLANK(T172),,T172&amp;("/"))&amp;IF(ISBLANK(S172),,S172&amp;("/"))&amp;IF(ISBLANK(R172),,R172&amp;("/"))&amp;IF(ISBLANK(Q172),,Q172&amp;("/"))&amp;IF(ISBLANK(P172),,P172&amp;("/"))&amp;IF(ISBLANK(O172),,O172&amp;("/"))&amp;IF(ISBLANK(N172),,N172&amp;("/"))&amp;IF(G172="-",M172,M172&amp;("_")&amp;MID(G172,1,1))</f>
        <v>PWM2_CH0_M0/I2C4_SDA_M0/UART1_RTSN_M0/PDM_SDI3_M0/SAI0_SDO1_M1/SAI0_SDI3_M1/GPU_AVS/GPIO0_D3_d</v>
      </c>
      <c r="AE172" s="115" t="str">
        <f t="shared" si="14"/>
        <v>y</v>
      </c>
      <c r="AF172" s="115" t="str">
        <f t="shared" si="15"/>
        <v/>
      </c>
      <c r="AG172" s="115" t="str">
        <f t="shared" si="16"/>
        <v/>
      </c>
      <c r="AH172" s="115" t="str">
        <f t="shared" si="17"/>
        <v/>
      </c>
      <c r="AI172" s="115" t="str">
        <f t="shared" si="18"/>
        <v/>
      </c>
      <c r="AJ172" s="115" t="str">
        <f t="shared" si="19"/>
        <v/>
      </c>
      <c r="AK172" s="115" t="str">
        <f t="shared" si="20"/>
        <v/>
      </c>
      <c r="AL172" s="115" t="str">
        <f t="shared" si="21"/>
        <v/>
      </c>
      <c r="AM172" s="115" t="str">
        <f t="shared" si="22"/>
        <v/>
      </c>
      <c r="AN172" s="115" t="str">
        <f t="shared" si="23"/>
        <v/>
      </c>
      <c r="AO172" s="115" t="str">
        <f t="shared" si="24"/>
        <v/>
      </c>
      <c r="AP172" s="115" t="str">
        <f t="shared" si="25"/>
        <v/>
      </c>
      <c r="AQ172" s="115" t="str">
        <f t="shared" si="26"/>
        <v/>
      </c>
      <c r="AR172" s="115" t="str">
        <f t="shared" si="27"/>
        <v/>
      </c>
      <c r="AS172" s="115" t="str">
        <f t="shared" si="28"/>
        <v/>
      </c>
    </row>
    <row r="173" spans="1:45" outlineLevel="1">
      <c r="A173" s="138" t="s">
        <v>1976</v>
      </c>
      <c r="B173" s="139" t="s">
        <v>1975</v>
      </c>
      <c r="C173" s="118"/>
      <c r="D173" s="119" t="s">
        <v>753</v>
      </c>
      <c r="E173" s="119" t="s">
        <v>1124</v>
      </c>
      <c r="F173" s="119" t="s">
        <v>1123</v>
      </c>
      <c r="G173" s="119" t="s">
        <v>1774</v>
      </c>
      <c r="H173" s="119" t="s">
        <v>1121</v>
      </c>
      <c r="I173" s="119" t="s">
        <v>1120</v>
      </c>
      <c r="J173" s="119">
        <v>40</v>
      </c>
      <c r="K173" s="119" t="s">
        <v>371</v>
      </c>
      <c r="L173" s="119" t="s">
        <v>371</v>
      </c>
      <c r="M173" s="118" t="s">
        <v>1974</v>
      </c>
      <c r="N173" s="118"/>
      <c r="O173" s="118"/>
      <c r="P173" s="118"/>
      <c r="Q173" s="118"/>
      <c r="R173" s="118"/>
      <c r="S173" s="118"/>
      <c r="T173" s="118"/>
      <c r="U173" s="118"/>
      <c r="V173" s="118" t="s">
        <v>1973</v>
      </c>
      <c r="W173" s="118"/>
      <c r="X173" s="118" t="s">
        <v>1972</v>
      </c>
      <c r="Y173" s="118"/>
      <c r="Z173" s="118"/>
      <c r="AA173" s="118"/>
      <c r="AB173" s="118"/>
      <c r="AC173" s="118"/>
      <c r="AD173" s="116" t="str">
        <f t="array" ref="AD173">IF(ISBLANK(AA173),,AA173&amp;("/"))&amp;IF(ISBLANK(Z173),,Z173&amp;("/"))&amp;IF(ISBLANK(Y173),,Y173&amp;("/"))&amp;IF(ISBLANK(X173),,X173&amp;("/"))&amp;IF(ISBLANK(W173),,W173&amp;("/"))&amp;IF(ISBLANK(V173),,V173&amp;("/"))&amp;IF(ISBLANK(U173),,U173&amp;("/"))&amp;IF(ISBLANK(T173),,T173&amp;("/"))&amp;IF(ISBLANK(S173),,S173&amp;("/"))&amp;IF(ISBLANK(R173),,R173&amp;("/"))&amp;IF(ISBLANK(Q173),,Q173&amp;("/"))&amp;IF(ISBLANK(P173),,P173&amp;("/"))&amp;IF(ISBLANK(O173),,O173&amp;("/"))&amp;IF(ISBLANK(N173),,N173&amp;("/"))&amp;IF(G173="-",M173,M173&amp;("_")&amp;MID(G173,1,1))</f>
        <v>JTAG_TCK_M1/UART0_TX_M0/GPIO0_D4_u</v>
      </c>
      <c r="AE173" s="115" t="str">
        <f t="shared" si="14"/>
        <v>y</v>
      </c>
      <c r="AF173" s="115" t="str">
        <f t="shared" si="15"/>
        <v/>
      </c>
      <c r="AG173" s="115" t="str">
        <f t="shared" si="16"/>
        <v/>
      </c>
      <c r="AH173" s="115" t="str">
        <f t="shared" si="17"/>
        <v/>
      </c>
      <c r="AI173" s="115" t="str">
        <f t="shared" si="18"/>
        <v/>
      </c>
      <c r="AJ173" s="115" t="str">
        <f t="shared" si="19"/>
        <v/>
      </c>
      <c r="AK173" s="115" t="str">
        <f t="shared" si="20"/>
        <v/>
      </c>
      <c r="AL173" s="115" t="str">
        <f t="shared" si="21"/>
        <v/>
      </c>
      <c r="AM173" s="115" t="str">
        <f t="shared" si="22"/>
        <v/>
      </c>
      <c r="AN173" s="115" t="str">
        <f t="shared" si="23"/>
        <v/>
      </c>
      <c r="AO173" s="115" t="str">
        <f t="shared" si="24"/>
        <v/>
      </c>
      <c r="AP173" s="115" t="str">
        <f t="shared" si="25"/>
        <v/>
      </c>
      <c r="AQ173" s="115" t="str">
        <f t="shared" si="26"/>
        <v/>
      </c>
      <c r="AR173" s="115" t="str">
        <f t="shared" si="27"/>
        <v/>
      </c>
      <c r="AS173" s="115" t="str">
        <f t="shared" si="28"/>
        <v/>
      </c>
    </row>
    <row r="174" spans="1:45" outlineLevel="1">
      <c r="A174" s="138" t="s">
        <v>1971</v>
      </c>
      <c r="B174" s="139" t="s">
        <v>1970</v>
      </c>
      <c r="C174" s="118"/>
      <c r="D174" s="119" t="s">
        <v>753</v>
      </c>
      <c r="E174" s="119" t="s">
        <v>1124</v>
      </c>
      <c r="F174" s="119" t="s">
        <v>1123</v>
      </c>
      <c r="G174" s="119" t="s">
        <v>1774</v>
      </c>
      <c r="H174" s="119" t="s">
        <v>1121</v>
      </c>
      <c r="I174" s="119" t="s">
        <v>1120</v>
      </c>
      <c r="J174" s="119">
        <v>40</v>
      </c>
      <c r="K174" s="119" t="s">
        <v>371</v>
      </c>
      <c r="L174" s="119" t="s">
        <v>371</v>
      </c>
      <c r="M174" s="118" t="s">
        <v>1969</v>
      </c>
      <c r="N174" s="118"/>
      <c r="O174" s="118"/>
      <c r="P174" s="118"/>
      <c r="Q174" s="118"/>
      <c r="R174" s="118"/>
      <c r="S174" s="118"/>
      <c r="T174" s="118"/>
      <c r="U174" s="118"/>
      <c r="V174" s="118" t="s">
        <v>1968</v>
      </c>
      <c r="W174" s="118"/>
      <c r="X174" s="118" t="s">
        <v>1967</v>
      </c>
      <c r="Y174" s="118"/>
      <c r="Z174" s="118"/>
      <c r="AA174" s="118"/>
      <c r="AB174" s="118"/>
      <c r="AC174" s="118"/>
      <c r="AD174" s="116" t="str">
        <f t="array" ref="AD174">IF(ISBLANK(AA174),,AA174&amp;("/"))&amp;IF(ISBLANK(Z174),,Z174&amp;("/"))&amp;IF(ISBLANK(Y174),,Y174&amp;("/"))&amp;IF(ISBLANK(X174),,X174&amp;("/"))&amp;IF(ISBLANK(W174),,W174&amp;("/"))&amp;IF(ISBLANK(V174),,V174&amp;("/"))&amp;IF(ISBLANK(U174),,U174&amp;("/"))&amp;IF(ISBLANK(T174),,T174&amp;("/"))&amp;IF(ISBLANK(S174),,S174&amp;("/"))&amp;IF(ISBLANK(R174),,R174&amp;("/"))&amp;IF(ISBLANK(Q174),,Q174&amp;("/"))&amp;IF(ISBLANK(P174),,P174&amp;("/"))&amp;IF(ISBLANK(O174),,O174&amp;("/"))&amp;IF(ISBLANK(N174),,N174&amp;("/"))&amp;IF(G174="-",M174,M174&amp;("_")&amp;MID(G174,1,1))</f>
        <v>JTAG_TMS_M1/UART0_RX_M0/GPIO0_D5_u</v>
      </c>
      <c r="AE174" s="115" t="str">
        <f t="shared" si="14"/>
        <v>y</v>
      </c>
      <c r="AF174" s="115" t="str">
        <f t="shared" si="15"/>
        <v/>
      </c>
      <c r="AG174" s="115" t="str">
        <f t="shared" si="16"/>
        <v/>
      </c>
      <c r="AH174" s="115" t="str">
        <f t="shared" si="17"/>
        <v/>
      </c>
      <c r="AI174" s="115" t="str">
        <f t="shared" si="18"/>
        <v/>
      </c>
      <c r="AJ174" s="115" t="str">
        <f t="shared" si="19"/>
        <v/>
      </c>
      <c r="AK174" s="115" t="str">
        <f t="shared" si="20"/>
        <v/>
      </c>
      <c r="AL174" s="115" t="str">
        <f t="shared" si="21"/>
        <v/>
      </c>
      <c r="AM174" s="115" t="str">
        <f t="shared" si="22"/>
        <v/>
      </c>
      <c r="AN174" s="115" t="str">
        <f t="shared" si="23"/>
        <v/>
      </c>
      <c r="AO174" s="115" t="str">
        <f t="shared" si="24"/>
        <v/>
      </c>
      <c r="AP174" s="115" t="str">
        <f t="shared" si="25"/>
        <v/>
      </c>
      <c r="AQ174" s="115" t="str">
        <f t="shared" si="26"/>
        <v/>
      </c>
      <c r="AR174" s="115" t="str">
        <f t="shared" si="27"/>
        <v/>
      </c>
      <c r="AS174" s="115" t="str">
        <f t="shared" si="28"/>
        <v/>
      </c>
    </row>
    <row r="175" spans="1:45" outlineLevel="1">
      <c r="A175" s="120" t="s">
        <v>1966</v>
      </c>
      <c r="B175" s="126" t="s">
        <v>420</v>
      </c>
      <c r="C175" s="126"/>
      <c r="D175" s="142" t="s">
        <v>1111</v>
      </c>
      <c r="E175" s="120" t="s">
        <v>1524</v>
      </c>
      <c r="F175" s="120" t="s">
        <v>753</v>
      </c>
      <c r="G175" s="120" t="s">
        <v>753</v>
      </c>
      <c r="H175" s="120" t="s">
        <v>753</v>
      </c>
      <c r="I175" s="120" t="s">
        <v>753</v>
      </c>
      <c r="J175" s="120" t="s">
        <v>753</v>
      </c>
      <c r="K175" s="120" t="s">
        <v>753</v>
      </c>
      <c r="L175" s="120" t="s">
        <v>753</v>
      </c>
      <c r="M175" s="126"/>
      <c r="N175" s="125"/>
      <c r="O175" s="125"/>
      <c r="P175" s="125"/>
      <c r="Q175" s="125"/>
      <c r="R175" s="125"/>
      <c r="S175" s="125"/>
      <c r="T175" s="125"/>
      <c r="U175" s="125"/>
      <c r="V175" s="125"/>
      <c r="W175" s="125"/>
      <c r="X175" s="125"/>
      <c r="Y175" s="125"/>
      <c r="Z175" s="125"/>
      <c r="AA175" s="125"/>
      <c r="AB175" s="125"/>
      <c r="AC175" s="125"/>
      <c r="AF175" s="115" t="str">
        <f t="shared" si="15"/>
        <v/>
      </c>
      <c r="AG175" s="115" t="str">
        <f t="shared" si="16"/>
        <v/>
      </c>
      <c r="AH175" s="115" t="str">
        <f t="shared" si="17"/>
        <v/>
      </c>
      <c r="AI175" s="115" t="str">
        <f t="shared" si="18"/>
        <v/>
      </c>
      <c r="AJ175" s="115" t="str">
        <f t="shared" si="19"/>
        <v/>
      </c>
      <c r="AK175" s="115" t="str">
        <f t="shared" si="20"/>
        <v/>
      </c>
      <c r="AL175" s="115" t="str">
        <f t="shared" si="21"/>
        <v/>
      </c>
      <c r="AM175" s="115" t="str">
        <f t="shared" si="22"/>
        <v/>
      </c>
      <c r="AN175" s="115" t="str">
        <f t="shared" si="23"/>
        <v/>
      </c>
      <c r="AO175" s="115" t="str">
        <f t="shared" si="24"/>
        <v/>
      </c>
      <c r="AP175" s="115" t="str">
        <f t="shared" si="25"/>
        <v/>
      </c>
      <c r="AQ175" s="115" t="str">
        <f t="shared" si="26"/>
        <v/>
      </c>
      <c r="AR175" s="115" t="str">
        <f t="shared" si="27"/>
        <v/>
      </c>
      <c r="AS175" s="115" t="str">
        <f t="shared" si="28"/>
        <v/>
      </c>
    </row>
    <row r="176" spans="1:45" ht="15" customHeight="1" outlineLevel="1">
      <c r="A176" s="120" t="s">
        <v>1965</v>
      </c>
      <c r="B176" s="126" t="s">
        <v>375</v>
      </c>
      <c r="C176" s="126"/>
      <c r="D176" s="120" t="s">
        <v>926</v>
      </c>
      <c r="E176" s="120" t="s">
        <v>893</v>
      </c>
      <c r="F176" s="120" t="s">
        <v>753</v>
      </c>
      <c r="G176" s="120" t="s">
        <v>753</v>
      </c>
      <c r="H176" s="120" t="s">
        <v>753</v>
      </c>
      <c r="I176" s="120" t="s">
        <v>753</v>
      </c>
      <c r="J176" s="120" t="s">
        <v>753</v>
      </c>
      <c r="K176" s="120" t="s">
        <v>753</v>
      </c>
      <c r="L176" s="120" t="s">
        <v>753</v>
      </c>
      <c r="M176" s="126"/>
      <c r="N176" s="126"/>
      <c r="O176" s="126"/>
      <c r="P176" s="126"/>
      <c r="Q176" s="126"/>
      <c r="R176" s="126"/>
      <c r="S176" s="126"/>
      <c r="T176" s="126"/>
      <c r="U176" s="126"/>
      <c r="V176" s="126"/>
      <c r="W176" s="126"/>
      <c r="X176" s="126"/>
      <c r="Y176" s="126"/>
      <c r="Z176" s="126"/>
      <c r="AA176" s="126"/>
      <c r="AB176" s="126"/>
      <c r="AC176" s="126"/>
      <c r="AF176" s="115" t="str">
        <f t="shared" si="15"/>
        <v/>
      </c>
      <c r="AG176" s="115" t="str">
        <f t="shared" si="16"/>
        <v/>
      </c>
      <c r="AH176" s="115" t="str">
        <f t="shared" si="17"/>
        <v/>
      </c>
      <c r="AI176" s="115" t="str">
        <f t="shared" si="18"/>
        <v/>
      </c>
      <c r="AJ176" s="115" t="str">
        <f t="shared" si="19"/>
        <v/>
      </c>
      <c r="AK176" s="115" t="str">
        <f t="shared" si="20"/>
        <v/>
      </c>
      <c r="AL176" s="115" t="str">
        <f t="shared" si="21"/>
        <v/>
      </c>
      <c r="AM176" s="115" t="str">
        <f t="shared" si="22"/>
        <v/>
      </c>
      <c r="AN176" s="115" t="str">
        <f t="shared" si="23"/>
        <v/>
      </c>
      <c r="AO176" s="115" t="str">
        <f t="shared" si="24"/>
        <v/>
      </c>
      <c r="AP176" s="115" t="str">
        <f t="shared" si="25"/>
        <v/>
      </c>
      <c r="AQ176" s="115" t="str">
        <f t="shared" si="26"/>
        <v/>
      </c>
      <c r="AR176" s="115" t="str">
        <f t="shared" si="27"/>
        <v/>
      </c>
      <c r="AS176" s="115" t="str">
        <f t="shared" si="28"/>
        <v/>
      </c>
    </row>
    <row r="177" spans="1:45" ht="15" customHeight="1" outlineLevel="1">
      <c r="A177" s="120" t="s">
        <v>1964</v>
      </c>
      <c r="B177" s="126" t="s">
        <v>374</v>
      </c>
      <c r="C177" s="126"/>
      <c r="D177" s="120" t="s">
        <v>926</v>
      </c>
      <c r="E177" s="120" t="s">
        <v>895</v>
      </c>
      <c r="F177" s="120" t="s">
        <v>753</v>
      </c>
      <c r="G177" s="120" t="s">
        <v>753</v>
      </c>
      <c r="H177" s="120" t="s">
        <v>753</v>
      </c>
      <c r="I177" s="120" t="s">
        <v>753</v>
      </c>
      <c r="J177" s="120" t="s">
        <v>753</v>
      </c>
      <c r="K177" s="120" t="s">
        <v>753</v>
      </c>
      <c r="L177" s="120" t="s">
        <v>753</v>
      </c>
      <c r="M177" s="126"/>
      <c r="N177" s="126"/>
      <c r="O177" s="126"/>
      <c r="P177" s="126"/>
      <c r="Q177" s="126"/>
      <c r="R177" s="126"/>
      <c r="S177" s="126"/>
      <c r="T177" s="126"/>
      <c r="U177" s="126"/>
      <c r="V177" s="126"/>
      <c r="W177" s="126"/>
      <c r="X177" s="126"/>
      <c r="Y177" s="126"/>
      <c r="Z177" s="126"/>
      <c r="AA177" s="126"/>
      <c r="AB177" s="126"/>
      <c r="AC177" s="126"/>
      <c r="AF177" s="115" t="str">
        <f t="shared" si="15"/>
        <v/>
      </c>
      <c r="AG177" s="115" t="str">
        <f t="shared" si="16"/>
        <v/>
      </c>
      <c r="AH177" s="115" t="str">
        <f t="shared" si="17"/>
        <v/>
      </c>
      <c r="AI177" s="115" t="str">
        <f t="shared" si="18"/>
        <v/>
      </c>
      <c r="AJ177" s="115" t="str">
        <f t="shared" si="19"/>
        <v/>
      </c>
      <c r="AK177" s="115" t="str">
        <f t="shared" si="20"/>
        <v/>
      </c>
      <c r="AL177" s="115" t="str">
        <f t="shared" si="21"/>
        <v/>
      </c>
      <c r="AM177" s="115" t="str">
        <f t="shared" si="22"/>
        <v/>
      </c>
      <c r="AN177" s="115" t="str">
        <f t="shared" si="23"/>
        <v/>
      </c>
      <c r="AO177" s="115" t="str">
        <f t="shared" si="24"/>
        <v/>
      </c>
      <c r="AP177" s="115" t="str">
        <f t="shared" si="25"/>
        <v/>
      </c>
      <c r="AQ177" s="115" t="str">
        <f t="shared" si="26"/>
        <v/>
      </c>
      <c r="AR177" s="115" t="str">
        <f t="shared" si="27"/>
        <v/>
      </c>
      <c r="AS177" s="115" t="str">
        <f t="shared" si="28"/>
        <v/>
      </c>
    </row>
    <row r="178" spans="1:45">
      <c r="A178" s="131" t="s">
        <v>1963</v>
      </c>
      <c r="B178" s="130"/>
      <c r="C178" s="133"/>
      <c r="D178" s="129"/>
      <c r="E178" s="129"/>
      <c r="F178" s="129"/>
      <c r="G178" s="129"/>
      <c r="H178" s="129"/>
      <c r="I178" s="129"/>
      <c r="J178" s="129"/>
      <c r="K178" s="129"/>
      <c r="L178" s="129"/>
      <c r="M178" s="133"/>
      <c r="N178" s="133"/>
      <c r="O178" s="133"/>
      <c r="P178" s="133"/>
      <c r="Q178" s="136"/>
      <c r="R178" s="136"/>
      <c r="S178" s="136"/>
      <c r="T178" s="136"/>
      <c r="U178" s="136"/>
      <c r="V178" s="133"/>
      <c r="W178" s="136"/>
      <c r="X178" s="136"/>
      <c r="Y178" s="136"/>
      <c r="Z178" s="136"/>
      <c r="AA178" s="136"/>
      <c r="AB178" s="136"/>
      <c r="AC178" s="136"/>
      <c r="AF178" s="115" t="str">
        <f t="shared" ref="AF178:AF210" si="29">IF(ISNUMBER(FIND(N178,$B178)),"",N178)</f>
        <v/>
      </c>
      <c r="AG178" s="115" t="str">
        <f t="shared" ref="AG178:AG210" si="30">IF(ISNUMBER(FIND(O178,$B178)),"",O178)</f>
        <v/>
      </c>
      <c r="AH178" s="115" t="str">
        <f t="shared" ref="AH178:AH210" si="31">IF(ISNUMBER(FIND(P178,$B178)),"",P178)</f>
        <v/>
      </c>
      <c r="AI178" s="115" t="str">
        <f t="shared" ref="AI178:AI210" si="32">IF(ISNUMBER(FIND(Q178,$B178)),"",Q178)</f>
        <v/>
      </c>
      <c r="AJ178" s="115" t="str">
        <f t="shared" ref="AJ178:AJ210" si="33">IF(ISNUMBER(FIND(R178,$B178)),"",R178)</f>
        <v/>
      </c>
      <c r="AK178" s="115" t="str">
        <f t="shared" ref="AK178:AK210" si="34">IF(ISNUMBER(FIND(S178,$B178)),"",S178)</f>
        <v/>
      </c>
      <c r="AL178" s="115" t="str">
        <f t="shared" ref="AL178:AL210" si="35">IF(ISNUMBER(FIND(T178,$B178)),"",T178)</f>
        <v/>
      </c>
      <c r="AM178" s="115" t="str">
        <f t="shared" ref="AM178:AM210" si="36">IF(ISNUMBER(FIND(U178,$B178)),"",U178)</f>
        <v/>
      </c>
      <c r="AN178" s="115" t="str">
        <f t="shared" ref="AN178:AN210" si="37">IF(ISNUMBER(FIND(V178,$B178)),"",V178)</f>
        <v/>
      </c>
      <c r="AO178" s="115" t="str">
        <f t="shared" ref="AO178:AO210" si="38">IF(ISNUMBER(FIND(W178,$B178)),"",W178)</f>
        <v/>
      </c>
      <c r="AP178" s="115" t="str">
        <f t="shared" ref="AP178:AP210" si="39">IF(ISNUMBER(FIND(X178,$B178)),"",X178)</f>
        <v/>
      </c>
      <c r="AQ178" s="115" t="str">
        <f t="shared" ref="AQ178:AQ210" si="40">IF(ISNUMBER(FIND(Y178,$B178)),"",Y178)</f>
        <v/>
      </c>
      <c r="AR178" s="115" t="str">
        <f t="shared" ref="AR178:AR210" si="41">IF(ISNUMBER(FIND(Z178,$B178)),"",Z178)</f>
        <v/>
      </c>
      <c r="AS178" s="115" t="str">
        <f t="shared" ref="AS178:AS210" si="42">IF(ISNUMBER(FIND(AA178,$B178)),"",AA178)</f>
        <v/>
      </c>
    </row>
    <row r="179" spans="1:45" outlineLevel="1">
      <c r="A179" s="138" t="s">
        <v>1962</v>
      </c>
      <c r="B179" s="139" t="s">
        <v>1961</v>
      </c>
      <c r="C179" s="132"/>
      <c r="D179" s="119" t="s">
        <v>753</v>
      </c>
      <c r="E179" s="119" t="s">
        <v>1124</v>
      </c>
      <c r="F179" s="119" t="s">
        <v>1123</v>
      </c>
      <c r="G179" s="119" t="s">
        <v>1122</v>
      </c>
      <c r="H179" s="119" t="s">
        <v>1121</v>
      </c>
      <c r="I179" s="119" t="s">
        <v>1120</v>
      </c>
      <c r="J179" s="119">
        <v>40</v>
      </c>
      <c r="K179" s="119" t="s">
        <v>371</v>
      </c>
      <c r="L179" s="119" t="s">
        <v>371</v>
      </c>
      <c r="M179" s="132" t="s">
        <v>1960</v>
      </c>
      <c r="N179" s="132"/>
      <c r="O179" s="132"/>
      <c r="P179" s="132"/>
      <c r="Q179" s="118" t="s">
        <v>1959</v>
      </c>
      <c r="R179" s="118" t="s">
        <v>1958</v>
      </c>
      <c r="S179" s="118"/>
      <c r="T179" s="118"/>
      <c r="U179" s="118"/>
      <c r="V179" s="132" t="s">
        <v>1957</v>
      </c>
      <c r="W179" s="118"/>
      <c r="X179" s="118"/>
      <c r="Y179" s="118"/>
      <c r="Z179" s="118" t="s">
        <v>1956</v>
      </c>
      <c r="AA179" s="118"/>
      <c r="AB179" s="118"/>
      <c r="AC179" s="118"/>
      <c r="AD179" s="116" t="str">
        <f t="array" ref="AD179">IF(ISBLANK(AA179),,AA179&amp;("/"))&amp;IF(ISBLANK(Z179),,Z179&amp;("/"))&amp;IF(ISBLANK(Y179),,Y179&amp;("/"))&amp;IF(ISBLANK(X179),,X179&amp;("/"))&amp;IF(ISBLANK(W179),,W179&amp;("/"))&amp;IF(ISBLANK(V179),,V179&amp;("/"))&amp;IF(ISBLANK(U179),,U179&amp;("/"))&amp;IF(ISBLANK(T179),,T179&amp;("/"))&amp;IF(ISBLANK(S179),,S179&amp;("/"))&amp;IF(ISBLANK(R179),,R179&amp;("/"))&amp;IF(ISBLANK(Q179),,Q179&amp;("/"))&amp;IF(ISBLANK(P179),,P179&amp;("/"))&amp;IF(ISBLANK(O179),,O179&amp;("/"))&amp;IF(ISBLANK(N179),,N179&amp;("/"))&amp;IF(G179="-",M179,M179&amp;("_")&amp;MID(G179,1,1))</f>
        <v>PWM2_CH5_M0/UART6_RX_M0/SAI0_MCLK_M2/SAI1_MCLK_M0/GPIO2_B0_d</v>
      </c>
      <c r="AE179" s="115" t="str">
        <f t="shared" ref="AE179:AE242" si="43">IF(AD179=B179,"y","n")</f>
        <v>y</v>
      </c>
      <c r="AF179" s="115" t="str">
        <f t="shared" si="29"/>
        <v/>
      </c>
      <c r="AG179" s="115" t="str">
        <f t="shared" si="30"/>
        <v/>
      </c>
      <c r="AH179" s="115" t="str">
        <f t="shared" si="31"/>
        <v/>
      </c>
      <c r="AI179" s="115" t="str">
        <f t="shared" si="32"/>
        <v/>
      </c>
      <c r="AJ179" s="115" t="str">
        <f t="shared" si="33"/>
        <v/>
      </c>
      <c r="AK179" s="115" t="str">
        <f t="shared" si="34"/>
        <v/>
      </c>
      <c r="AL179" s="115" t="str">
        <f t="shared" si="35"/>
        <v/>
      </c>
      <c r="AM179" s="115" t="str">
        <f t="shared" si="36"/>
        <v/>
      </c>
      <c r="AN179" s="115" t="str">
        <f t="shared" si="37"/>
        <v/>
      </c>
      <c r="AO179" s="115" t="str">
        <f t="shared" si="38"/>
        <v/>
      </c>
      <c r="AP179" s="115" t="str">
        <f t="shared" si="39"/>
        <v/>
      </c>
      <c r="AQ179" s="115" t="str">
        <f t="shared" si="40"/>
        <v/>
      </c>
      <c r="AR179" s="115" t="str">
        <f t="shared" si="41"/>
        <v/>
      </c>
      <c r="AS179" s="115" t="str">
        <f t="shared" si="42"/>
        <v/>
      </c>
    </row>
    <row r="180" spans="1:45" ht="28.5" outlineLevel="1">
      <c r="A180" s="138" t="s">
        <v>1955</v>
      </c>
      <c r="B180" s="139" t="s">
        <v>1954</v>
      </c>
      <c r="C180" s="132"/>
      <c r="D180" s="119" t="s">
        <v>753</v>
      </c>
      <c r="E180" s="119" t="s">
        <v>1124</v>
      </c>
      <c r="F180" s="119" t="s">
        <v>1123</v>
      </c>
      <c r="G180" s="119" t="s">
        <v>1122</v>
      </c>
      <c r="H180" s="119" t="s">
        <v>1121</v>
      </c>
      <c r="I180" s="119" t="s">
        <v>1120</v>
      </c>
      <c r="J180" s="119">
        <v>40</v>
      </c>
      <c r="K180" s="119" t="s">
        <v>371</v>
      </c>
      <c r="L180" s="119" t="s">
        <v>371</v>
      </c>
      <c r="M180" s="132" t="s">
        <v>1953</v>
      </c>
      <c r="N180" s="132"/>
      <c r="O180" s="132"/>
      <c r="P180" s="132"/>
      <c r="Q180" s="118" t="s">
        <v>1952</v>
      </c>
      <c r="R180" s="118" t="s">
        <v>1951</v>
      </c>
      <c r="S180" s="118"/>
      <c r="T180" s="118"/>
      <c r="U180" s="118"/>
      <c r="V180" s="132" t="s">
        <v>1950</v>
      </c>
      <c r="W180" s="118" t="s">
        <v>1949</v>
      </c>
      <c r="X180" s="118" t="s">
        <v>1948</v>
      </c>
      <c r="Y180" s="118" t="s">
        <v>1947</v>
      </c>
      <c r="Z180" s="118" t="s">
        <v>1946</v>
      </c>
      <c r="AA180" s="118"/>
      <c r="AB180" s="118"/>
      <c r="AC180" s="118"/>
      <c r="AD180" s="116" t="str">
        <f t="array" ref="AD180">IF(ISBLANK(AA180),,AA180&amp;("/"))&amp;IF(ISBLANK(Z180),,Z180&amp;("/"))&amp;IF(ISBLANK(Y180),,Y180&amp;("/"))&amp;IF(ISBLANK(X180),,X180&amp;("/"))&amp;IF(ISBLANK(W180),,W180&amp;("/"))&amp;IF(ISBLANK(V180),,V180&amp;("/"))&amp;IF(ISBLANK(U180),,U180&amp;("/"))&amp;IF(ISBLANK(T180),,T180&amp;("/"))&amp;IF(ISBLANK(S180),,S180&amp;("/"))&amp;IF(ISBLANK(R180),,R180&amp;("/"))&amp;IF(ISBLANK(Q180),,Q180&amp;("/"))&amp;IF(ISBLANK(P180),,P180&amp;("/"))&amp;IF(ISBLANK(O180),,O180&amp;("/"))&amp;IF(ISBLANK(N180),,N180&amp;("/"))&amp;IF(G180="-",M180,M180&amp;("_")&amp;MID(G180,1,1))</f>
        <v>CAN0_TX_M2/PWM2_CH4_M1/I2C2_SCL_M2/SPI3_CSN0_M2/UART6_TX_M0/SAI0_SDI1_M2/SAI1_SCLK_M0/GPIO2_B1_d</v>
      </c>
      <c r="AE180" s="115" t="str">
        <f t="shared" si="43"/>
        <v>y</v>
      </c>
      <c r="AF180" s="115" t="str">
        <f t="shared" si="29"/>
        <v/>
      </c>
      <c r="AG180" s="115" t="str">
        <f t="shared" si="30"/>
        <v/>
      </c>
      <c r="AH180" s="115" t="str">
        <f t="shared" si="31"/>
        <v/>
      </c>
      <c r="AI180" s="115" t="str">
        <f t="shared" si="32"/>
        <v/>
      </c>
      <c r="AJ180" s="115" t="str">
        <f t="shared" si="33"/>
        <v/>
      </c>
      <c r="AK180" s="115" t="str">
        <f t="shared" si="34"/>
        <v/>
      </c>
      <c r="AL180" s="115" t="str">
        <f t="shared" si="35"/>
        <v/>
      </c>
      <c r="AM180" s="115" t="str">
        <f t="shared" si="36"/>
        <v/>
      </c>
      <c r="AN180" s="115" t="str">
        <f t="shared" si="37"/>
        <v/>
      </c>
      <c r="AO180" s="115" t="str">
        <f t="shared" si="38"/>
        <v/>
      </c>
      <c r="AP180" s="115" t="str">
        <f t="shared" si="39"/>
        <v/>
      </c>
      <c r="AQ180" s="115" t="str">
        <f t="shared" si="40"/>
        <v/>
      </c>
      <c r="AR180" s="115" t="str">
        <f t="shared" si="41"/>
        <v/>
      </c>
      <c r="AS180" s="115" t="str">
        <f t="shared" si="42"/>
        <v/>
      </c>
    </row>
    <row r="181" spans="1:45" ht="28.5" outlineLevel="1">
      <c r="A181" s="138" t="s">
        <v>1945</v>
      </c>
      <c r="B181" s="139" t="s">
        <v>1944</v>
      </c>
      <c r="C181" s="132"/>
      <c r="D181" s="119" t="s">
        <v>753</v>
      </c>
      <c r="E181" s="119" t="s">
        <v>1124</v>
      </c>
      <c r="F181" s="119" t="s">
        <v>1123</v>
      </c>
      <c r="G181" s="119" t="s">
        <v>1122</v>
      </c>
      <c r="H181" s="119" t="s">
        <v>1121</v>
      </c>
      <c r="I181" s="119" t="s">
        <v>1120</v>
      </c>
      <c r="J181" s="119">
        <v>40</v>
      </c>
      <c r="K181" s="119" t="s">
        <v>371</v>
      </c>
      <c r="L181" s="119" t="s">
        <v>371</v>
      </c>
      <c r="M181" s="132" t="s">
        <v>1943</v>
      </c>
      <c r="N181" s="132" t="s">
        <v>1942</v>
      </c>
      <c r="O181" s="132" t="s">
        <v>1941</v>
      </c>
      <c r="P181" s="132"/>
      <c r="Q181" s="118"/>
      <c r="R181" s="118" t="s">
        <v>1940</v>
      </c>
      <c r="S181" s="118" t="s">
        <v>1939</v>
      </c>
      <c r="T181" s="118"/>
      <c r="U181" s="118"/>
      <c r="V181" s="132" t="s">
        <v>1938</v>
      </c>
      <c r="W181" s="118" t="s">
        <v>1937</v>
      </c>
      <c r="X181" s="118" t="s">
        <v>1936</v>
      </c>
      <c r="Y181" s="118"/>
      <c r="Z181" s="118"/>
      <c r="AA181" s="118"/>
      <c r="AB181" s="118"/>
      <c r="AC181" s="118"/>
      <c r="AD181" s="116" t="str">
        <f t="array" ref="AD181">IF(ISBLANK(AA181),,AA181&amp;("/"))&amp;IF(ISBLANK(Z181),,Z181&amp;("/"))&amp;IF(ISBLANK(Y181),,Y181&amp;("/"))&amp;IF(ISBLANK(X181),,X181&amp;("/"))&amp;IF(ISBLANK(W181),,W181&amp;("/"))&amp;IF(ISBLANK(V181),,V181&amp;("/"))&amp;IF(ISBLANK(U181),,U181&amp;("/"))&amp;IF(ISBLANK(T181),,T181&amp;("/"))&amp;IF(ISBLANK(S181),,S181&amp;("/"))&amp;IF(ISBLANK(R181),,R181&amp;("/"))&amp;IF(ISBLANK(Q181),,Q181&amp;("/"))&amp;IF(ISBLANK(P181),,P181&amp;("/"))&amp;IF(ISBLANK(O181),,O181&amp;("/"))&amp;IF(ISBLANK(N181),,N181&amp;("/"))&amp;IF(G181="-",M181,M181&amp;("_")&amp;MID(G181,1,1))</f>
        <v>I2C4_SCL_M1/SPI3_MOSI_M2/UART9_TX_M2/PDM_CLK0_M1/SAI0_SCLK_M2/VI_CIF_D15/UART6_RTSN_M0/GPIO2_B2_d</v>
      </c>
      <c r="AE181" s="115" t="str">
        <f t="shared" si="43"/>
        <v>y</v>
      </c>
      <c r="AF181" s="115" t="str">
        <f t="shared" si="29"/>
        <v/>
      </c>
      <c r="AG181" s="115" t="str">
        <f t="shared" si="30"/>
        <v/>
      </c>
      <c r="AH181" s="115" t="str">
        <f t="shared" si="31"/>
        <v/>
      </c>
      <c r="AI181" s="115" t="str">
        <f t="shared" si="32"/>
        <v/>
      </c>
      <c r="AJ181" s="115" t="str">
        <f t="shared" si="33"/>
        <v/>
      </c>
      <c r="AK181" s="115" t="str">
        <f t="shared" si="34"/>
        <v/>
      </c>
      <c r="AL181" s="115" t="str">
        <f t="shared" si="35"/>
        <v/>
      </c>
      <c r="AM181" s="115" t="str">
        <f t="shared" si="36"/>
        <v/>
      </c>
      <c r="AN181" s="115" t="str">
        <f t="shared" si="37"/>
        <v/>
      </c>
      <c r="AO181" s="115" t="str">
        <f t="shared" si="38"/>
        <v/>
      </c>
      <c r="AP181" s="115" t="str">
        <f t="shared" si="39"/>
        <v/>
      </c>
      <c r="AQ181" s="115" t="str">
        <f t="shared" si="40"/>
        <v/>
      </c>
      <c r="AR181" s="115" t="str">
        <f t="shared" si="41"/>
        <v/>
      </c>
      <c r="AS181" s="115" t="str">
        <f t="shared" si="42"/>
        <v/>
      </c>
    </row>
    <row r="182" spans="1:45" ht="28.5" outlineLevel="1">
      <c r="A182" s="138" t="s">
        <v>1935</v>
      </c>
      <c r="B182" s="139" t="s">
        <v>1934</v>
      </c>
      <c r="C182" s="132"/>
      <c r="D182" s="119" t="s">
        <v>753</v>
      </c>
      <c r="E182" s="119" t="s">
        <v>1124</v>
      </c>
      <c r="F182" s="119" t="s">
        <v>1123</v>
      </c>
      <c r="G182" s="119" t="s">
        <v>1122</v>
      </c>
      <c r="H182" s="119" t="s">
        <v>1121</v>
      </c>
      <c r="I182" s="119" t="s">
        <v>1120</v>
      </c>
      <c r="J182" s="119">
        <v>40</v>
      </c>
      <c r="K182" s="119" t="s">
        <v>371</v>
      </c>
      <c r="L182" s="119" t="s">
        <v>371</v>
      </c>
      <c r="M182" s="132" t="s">
        <v>1933</v>
      </c>
      <c r="N182" s="132" t="s">
        <v>1932</v>
      </c>
      <c r="O182" s="132" t="s">
        <v>1931</v>
      </c>
      <c r="P182" s="132"/>
      <c r="Q182" s="118" t="s">
        <v>1930</v>
      </c>
      <c r="R182" s="118" t="s">
        <v>1929</v>
      </c>
      <c r="S182" s="118"/>
      <c r="T182" s="118"/>
      <c r="U182" s="118"/>
      <c r="V182" s="132" t="s">
        <v>1928</v>
      </c>
      <c r="W182" s="118" t="s">
        <v>1927</v>
      </c>
      <c r="X182" s="118" t="s">
        <v>1926</v>
      </c>
      <c r="Y182" s="118" t="s">
        <v>1925</v>
      </c>
      <c r="Z182" s="118" t="s">
        <v>1924</v>
      </c>
      <c r="AA182" s="118"/>
      <c r="AB182" s="118"/>
      <c r="AC182" s="118"/>
      <c r="AD182" s="116" t="str">
        <f t="array" ref="AD182">IF(ISBLANK(AA182),,AA182&amp;("/"))&amp;IF(ISBLANK(Z182),,Z182&amp;("/"))&amp;IF(ISBLANK(Y182),,Y182&amp;("/"))&amp;IF(ISBLANK(X182),,X182&amp;("/"))&amp;IF(ISBLANK(W182),,W182&amp;("/"))&amp;IF(ISBLANK(V182),,V182&amp;("/"))&amp;IF(ISBLANK(U182),,U182&amp;("/"))&amp;IF(ISBLANK(T182),,T182&amp;("/"))&amp;IF(ISBLANK(S182),,S182&amp;("/"))&amp;IF(ISBLANK(R182),,R182&amp;("/"))&amp;IF(ISBLANK(Q182),,Q182&amp;("/"))&amp;IF(ISBLANK(P182),,P182&amp;("/"))&amp;IF(ISBLANK(O182),,O182&amp;("/"))&amp;IF(ISBLANK(N182),,N182&amp;("/"))&amp;IF(G182="-",M182,M182&amp;("_")&amp;MID(G182,1,1))</f>
        <v>CAN0_RX_M2/PCIE1_CLKREQN_M2/I2C2_SDA_M2/SPI4_CSN1_M2/UART9_RX_M2/SAI0_SDI2_M2/SAI1_LRCK_M0/VI_CIF_D14/UART6_CTSN_M0/GPIO2_B3_d</v>
      </c>
      <c r="AE182" s="115" t="str">
        <f t="shared" si="43"/>
        <v>y</v>
      </c>
      <c r="AF182" s="115" t="str">
        <f t="shared" si="29"/>
        <v/>
      </c>
      <c r="AG182" s="115" t="str">
        <f t="shared" si="30"/>
        <v/>
      </c>
      <c r="AH182" s="115" t="str">
        <f t="shared" si="31"/>
        <v/>
      </c>
      <c r="AI182" s="115" t="str">
        <f t="shared" si="32"/>
        <v/>
      </c>
      <c r="AJ182" s="115" t="str">
        <f t="shared" si="33"/>
        <v/>
      </c>
      <c r="AK182" s="115" t="str">
        <f t="shared" si="34"/>
        <v/>
      </c>
      <c r="AL182" s="115" t="str">
        <f t="shared" si="35"/>
        <v/>
      </c>
      <c r="AM182" s="115" t="str">
        <f t="shared" si="36"/>
        <v/>
      </c>
      <c r="AN182" s="115" t="str">
        <f t="shared" si="37"/>
        <v/>
      </c>
      <c r="AO182" s="115" t="str">
        <f t="shared" si="38"/>
        <v/>
      </c>
      <c r="AP182" s="115" t="str">
        <f t="shared" si="39"/>
        <v/>
      </c>
      <c r="AQ182" s="115" t="str">
        <f t="shared" si="40"/>
        <v/>
      </c>
      <c r="AR182" s="115" t="str">
        <f t="shared" si="41"/>
        <v/>
      </c>
      <c r="AS182" s="115" t="str">
        <f t="shared" si="42"/>
        <v/>
      </c>
    </row>
    <row r="183" spans="1:45" ht="28.5" outlineLevel="1">
      <c r="A183" s="138" t="s">
        <v>1923</v>
      </c>
      <c r="B183" s="139" t="s">
        <v>1922</v>
      </c>
      <c r="C183" s="132"/>
      <c r="D183" s="119" t="s">
        <v>753</v>
      </c>
      <c r="E183" s="119" t="s">
        <v>1124</v>
      </c>
      <c r="F183" s="119" t="s">
        <v>1123</v>
      </c>
      <c r="G183" s="119" t="s">
        <v>1122</v>
      </c>
      <c r="H183" s="119" t="s">
        <v>1121</v>
      </c>
      <c r="I183" s="119" t="s">
        <v>1120</v>
      </c>
      <c r="J183" s="119">
        <v>40</v>
      </c>
      <c r="K183" s="119" t="s">
        <v>371</v>
      </c>
      <c r="L183" s="119" t="s">
        <v>371</v>
      </c>
      <c r="M183" s="132" t="s">
        <v>1921</v>
      </c>
      <c r="N183" s="132"/>
      <c r="O183" s="132" t="s">
        <v>1920</v>
      </c>
      <c r="P183" s="132"/>
      <c r="Q183" s="118" t="s">
        <v>1919</v>
      </c>
      <c r="R183" s="118" t="s">
        <v>1918</v>
      </c>
      <c r="S183" s="118" t="s">
        <v>1917</v>
      </c>
      <c r="T183" s="118"/>
      <c r="U183" s="118"/>
      <c r="V183" s="132" t="s">
        <v>1916</v>
      </c>
      <c r="W183" s="118" t="s">
        <v>1915</v>
      </c>
      <c r="X183" s="118" t="s">
        <v>1914</v>
      </c>
      <c r="Y183" s="118"/>
      <c r="Z183" s="118"/>
      <c r="AA183" s="118"/>
      <c r="AB183" s="118"/>
      <c r="AC183" s="118"/>
      <c r="AD183" s="116" t="str">
        <f t="array" ref="AD183">IF(ISBLANK(AA183),,AA183&amp;("/"))&amp;IF(ISBLANK(Z183),,Z183&amp;("/"))&amp;IF(ISBLANK(Y183),,Y183&amp;("/"))&amp;IF(ISBLANK(X183),,X183&amp;("/"))&amp;IF(ISBLANK(W183),,W183&amp;("/"))&amp;IF(ISBLANK(V183),,V183&amp;("/"))&amp;IF(ISBLANK(U183),,U183&amp;("/"))&amp;IF(ISBLANK(T183),,T183&amp;("/"))&amp;IF(ISBLANK(S183),,S183&amp;("/"))&amp;IF(ISBLANK(R183),,R183&amp;("/"))&amp;IF(ISBLANK(Q183),,Q183&amp;("/"))&amp;IF(ISBLANK(P183),,P183&amp;("/"))&amp;IF(ISBLANK(O183),,O183&amp;("/"))&amp;IF(ISBLANK(N183),,N183&amp;("/"))&amp;IF(G183="-",M183,M183&amp;("_")&amp;MID(G183,1,1))</f>
        <v>I2C4_SDA_M1/SPI3_MISO_M2/UART2_RX_M1/PDM_CLK1_M1/SAI0_LRCK_M2/SPDIF_TX1_M0/VI_CIF_D13/GPIO2_B4_d</v>
      </c>
      <c r="AE183" s="115" t="str">
        <f t="shared" si="43"/>
        <v>y</v>
      </c>
      <c r="AF183" s="115" t="str">
        <f t="shared" si="29"/>
        <v/>
      </c>
      <c r="AG183" s="115" t="str">
        <f t="shared" si="30"/>
        <v/>
      </c>
      <c r="AH183" s="115" t="str">
        <f t="shared" si="31"/>
        <v/>
      </c>
      <c r="AI183" s="115" t="str">
        <f t="shared" si="32"/>
        <v/>
      </c>
      <c r="AJ183" s="115" t="str">
        <f t="shared" si="33"/>
        <v/>
      </c>
      <c r="AK183" s="115" t="str">
        <f t="shared" si="34"/>
        <v/>
      </c>
      <c r="AL183" s="115" t="str">
        <f t="shared" si="35"/>
        <v/>
      </c>
      <c r="AM183" s="115" t="str">
        <f t="shared" si="36"/>
        <v/>
      </c>
      <c r="AN183" s="115" t="str">
        <f t="shared" si="37"/>
        <v/>
      </c>
      <c r="AO183" s="115" t="str">
        <f t="shared" si="38"/>
        <v/>
      </c>
      <c r="AP183" s="115" t="str">
        <f t="shared" si="39"/>
        <v/>
      </c>
      <c r="AQ183" s="115" t="str">
        <f t="shared" si="40"/>
        <v/>
      </c>
      <c r="AR183" s="115" t="str">
        <f t="shared" si="41"/>
        <v/>
      </c>
      <c r="AS183" s="115" t="str">
        <f t="shared" si="42"/>
        <v/>
      </c>
    </row>
    <row r="184" spans="1:45" ht="28.5" outlineLevel="1">
      <c r="A184" s="138" t="s">
        <v>1913</v>
      </c>
      <c r="B184" s="139" t="s">
        <v>1912</v>
      </c>
      <c r="C184" s="132"/>
      <c r="D184" s="119" t="s">
        <v>753</v>
      </c>
      <c r="E184" s="119" t="s">
        <v>1124</v>
      </c>
      <c r="F184" s="119" t="s">
        <v>1123</v>
      </c>
      <c r="G184" s="119" t="s">
        <v>1122</v>
      </c>
      <c r="H184" s="119" t="s">
        <v>1121</v>
      </c>
      <c r="I184" s="119" t="s">
        <v>1120</v>
      </c>
      <c r="J184" s="119">
        <v>40</v>
      </c>
      <c r="K184" s="119" t="s">
        <v>371</v>
      </c>
      <c r="L184" s="119" t="s">
        <v>371</v>
      </c>
      <c r="M184" s="132" t="s">
        <v>1911</v>
      </c>
      <c r="N184" s="132" t="s">
        <v>1910</v>
      </c>
      <c r="O184" s="132" t="s">
        <v>1909</v>
      </c>
      <c r="P184" s="132"/>
      <c r="Q184" s="118" t="s">
        <v>1908</v>
      </c>
      <c r="R184" s="118" t="s">
        <v>1907</v>
      </c>
      <c r="S184" s="118"/>
      <c r="T184" s="118"/>
      <c r="U184" s="118"/>
      <c r="V184" s="132" t="s">
        <v>1906</v>
      </c>
      <c r="W184" s="118" t="s">
        <v>1905</v>
      </c>
      <c r="X184" s="118"/>
      <c r="Y184" s="118"/>
      <c r="Z184" s="118" t="s">
        <v>1904</v>
      </c>
      <c r="AA184" s="118"/>
      <c r="AB184" s="118"/>
      <c r="AC184" s="118"/>
      <c r="AD184" s="116" t="str">
        <f t="array" ref="AD184">IF(ISBLANK(AA184),,AA184&amp;("/"))&amp;IF(ISBLANK(Z184),,Z184&amp;("/"))&amp;IF(ISBLANK(Y184),,Y184&amp;("/"))&amp;IF(ISBLANK(X184),,X184&amp;("/"))&amp;IF(ISBLANK(W184),,W184&amp;("/"))&amp;IF(ISBLANK(V184),,V184&amp;("/"))&amp;IF(ISBLANK(U184),,U184&amp;("/"))&amp;IF(ISBLANK(T184),,T184&amp;("/"))&amp;IF(ISBLANK(S184),,S184&amp;("/"))&amp;IF(ISBLANK(R184),,R184&amp;("/"))&amp;IF(ISBLANK(Q184),,Q184&amp;("/"))&amp;IF(ISBLANK(P184),,P184&amp;("/"))&amp;IF(ISBLANK(O184),,O184&amp;("/"))&amp;IF(ISBLANK(N184),,N184&amp;("/"))&amp;IF(G184="-",M184,M184&amp;("_")&amp;MID(G184,1,1))</f>
        <v>PWM2_CH6_M0/SPI3_CLK_M2/UART2_TX_M1/SAI0_SDI0_M2/SAI1_SDO0_M0/VI_CIF_D12/ETH0_PTP_REFCLK/GPIO2_B5_d</v>
      </c>
      <c r="AE184" s="115" t="str">
        <f t="shared" si="43"/>
        <v>y</v>
      </c>
      <c r="AF184" s="115" t="str">
        <f t="shared" si="29"/>
        <v/>
      </c>
      <c r="AG184" s="115" t="str">
        <f t="shared" si="30"/>
        <v/>
      </c>
      <c r="AH184" s="115" t="str">
        <f t="shared" si="31"/>
        <v/>
      </c>
      <c r="AI184" s="115" t="str">
        <f t="shared" si="32"/>
        <v/>
      </c>
      <c r="AJ184" s="115" t="str">
        <f t="shared" si="33"/>
        <v/>
      </c>
      <c r="AK184" s="115" t="str">
        <f t="shared" si="34"/>
        <v/>
      </c>
      <c r="AL184" s="115" t="str">
        <f t="shared" si="35"/>
        <v/>
      </c>
      <c r="AM184" s="115" t="str">
        <f t="shared" si="36"/>
        <v/>
      </c>
      <c r="AN184" s="115" t="str">
        <f t="shared" si="37"/>
        <v/>
      </c>
      <c r="AO184" s="115" t="str">
        <f t="shared" si="38"/>
        <v/>
      </c>
      <c r="AP184" s="115" t="str">
        <f t="shared" si="39"/>
        <v/>
      </c>
      <c r="AQ184" s="115" t="str">
        <f t="shared" si="40"/>
        <v/>
      </c>
      <c r="AR184" s="115" t="str">
        <f t="shared" si="41"/>
        <v/>
      </c>
      <c r="AS184" s="115" t="str">
        <f t="shared" si="42"/>
        <v/>
      </c>
    </row>
    <row r="185" spans="1:45" ht="28.5" outlineLevel="1">
      <c r="A185" s="138" t="s">
        <v>1903</v>
      </c>
      <c r="B185" s="139" t="s">
        <v>1902</v>
      </c>
      <c r="C185" s="132"/>
      <c r="D185" s="119" t="s">
        <v>753</v>
      </c>
      <c r="E185" s="119" t="s">
        <v>1124</v>
      </c>
      <c r="F185" s="119" t="s">
        <v>1123</v>
      </c>
      <c r="G185" s="119" t="s">
        <v>1122</v>
      </c>
      <c r="H185" s="119" t="s">
        <v>1121</v>
      </c>
      <c r="I185" s="119" t="s">
        <v>1120</v>
      </c>
      <c r="J185" s="119">
        <v>40</v>
      </c>
      <c r="K185" s="119" t="s">
        <v>371</v>
      </c>
      <c r="L185" s="119" t="s">
        <v>371</v>
      </c>
      <c r="M185" s="132" t="s">
        <v>1901</v>
      </c>
      <c r="N185" s="132" t="s">
        <v>1900</v>
      </c>
      <c r="O185" s="132" t="s">
        <v>1899</v>
      </c>
      <c r="P185" s="132"/>
      <c r="Q185" s="118" t="s">
        <v>1898</v>
      </c>
      <c r="R185" s="118" t="s">
        <v>1897</v>
      </c>
      <c r="S185" s="118" t="s">
        <v>1896</v>
      </c>
      <c r="T185" s="118"/>
      <c r="U185" s="118"/>
      <c r="V185" s="132" t="s">
        <v>1895</v>
      </c>
      <c r="W185" s="118" t="s">
        <v>1894</v>
      </c>
      <c r="X185" s="118" t="s">
        <v>1893</v>
      </c>
      <c r="Y185" s="118"/>
      <c r="Z185" s="118"/>
      <c r="AA185" s="118"/>
      <c r="AB185" s="118"/>
      <c r="AC185" s="118"/>
      <c r="AD185" s="116" t="str">
        <f t="array" ref="AD185">IF(ISBLANK(AA185),,AA185&amp;("/"))&amp;IF(ISBLANK(Z185),,Z185&amp;("/"))&amp;IF(ISBLANK(Y185),,Y185&amp;("/"))&amp;IF(ISBLANK(X185),,X185&amp;("/"))&amp;IF(ISBLANK(W185),,W185&amp;("/"))&amp;IF(ISBLANK(V185),,V185&amp;("/"))&amp;IF(ISBLANK(U185),,U185&amp;("/"))&amp;IF(ISBLANK(T185),,T185&amp;("/"))&amp;IF(ISBLANK(S185),,S185&amp;("/"))&amp;IF(ISBLANK(R185),,R185&amp;("/"))&amp;IF(ISBLANK(Q185),,Q185&amp;("/"))&amp;IF(ISBLANK(P185),,P185&amp;("/"))&amp;IF(ISBLANK(O185),,O185&amp;("/"))&amp;IF(ISBLANK(N185),,N185&amp;("/"))&amp;IF(G185="-",M185,M185&amp;("_")&amp;MID(G185,1,1))</f>
        <v>UART2_RTSN_M1/SPI4_CLK_M2/UART11_TX_M1/PDM_SDI3_M1/SAI1_SDI3_M0/SAI1_SDO1_M0/VI_CIF_D11/ETH0_PPSCLK/GPIO2_B6_d</v>
      </c>
      <c r="AE185" s="115" t="str">
        <f t="shared" si="43"/>
        <v>y</v>
      </c>
      <c r="AF185" s="115" t="str">
        <f t="shared" si="29"/>
        <v/>
      </c>
      <c r="AG185" s="115" t="str">
        <f t="shared" si="30"/>
        <v/>
      </c>
      <c r="AH185" s="115" t="str">
        <f t="shared" si="31"/>
        <v/>
      </c>
      <c r="AI185" s="115" t="str">
        <f t="shared" si="32"/>
        <v/>
      </c>
      <c r="AJ185" s="115" t="str">
        <f t="shared" si="33"/>
        <v/>
      </c>
      <c r="AK185" s="115" t="str">
        <f t="shared" si="34"/>
        <v/>
      </c>
      <c r="AL185" s="115" t="str">
        <f t="shared" si="35"/>
        <v/>
      </c>
      <c r="AM185" s="115" t="str">
        <f t="shared" si="36"/>
        <v/>
      </c>
      <c r="AN185" s="115" t="str">
        <f t="shared" si="37"/>
        <v/>
      </c>
      <c r="AO185" s="115" t="str">
        <f t="shared" si="38"/>
        <v/>
      </c>
      <c r="AP185" s="115" t="str">
        <f t="shared" si="39"/>
        <v/>
      </c>
      <c r="AQ185" s="115" t="str">
        <f t="shared" si="40"/>
        <v/>
      </c>
      <c r="AR185" s="115" t="str">
        <f t="shared" si="41"/>
        <v/>
      </c>
      <c r="AS185" s="115" t="str">
        <f t="shared" si="42"/>
        <v/>
      </c>
    </row>
    <row r="186" spans="1:45" ht="28.5" outlineLevel="1">
      <c r="A186" s="138" t="s">
        <v>1892</v>
      </c>
      <c r="B186" s="139" t="s">
        <v>1891</v>
      </c>
      <c r="C186" s="132"/>
      <c r="D186" s="119" t="s">
        <v>753</v>
      </c>
      <c r="E186" s="119" t="s">
        <v>1124</v>
      </c>
      <c r="F186" s="119" t="s">
        <v>1123</v>
      </c>
      <c r="G186" s="119" t="s">
        <v>1122</v>
      </c>
      <c r="H186" s="119" t="s">
        <v>1121</v>
      </c>
      <c r="I186" s="119" t="s">
        <v>1120</v>
      </c>
      <c r="J186" s="119">
        <v>40</v>
      </c>
      <c r="K186" s="119" t="s">
        <v>371</v>
      </c>
      <c r="L186" s="119" t="s">
        <v>371</v>
      </c>
      <c r="M186" s="132" t="s">
        <v>1890</v>
      </c>
      <c r="N186" s="132" t="s">
        <v>1889</v>
      </c>
      <c r="O186" s="132" t="s">
        <v>1888</v>
      </c>
      <c r="P186" s="132"/>
      <c r="Q186" s="118" t="s">
        <v>1887</v>
      </c>
      <c r="R186" s="118" t="s">
        <v>1886</v>
      </c>
      <c r="S186" s="118" t="s">
        <v>1885</v>
      </c>
      <c r="T186" s="118"/>
      <c r="U186" s="118"/>
      <c r="V186" s="132" t="s">
        <v>1884</v>
      </c>
      <c r="W186" s="118" t="s">
        <v>1883</v>
      </c>
      <c r="X186" s="118" t="s">
        <v>1882</v>
      </c>
      <c r="Y186" s="118"/>
      <c r="Z186" s="118"/>
      <c r="AA186" s="118"/>
      <c r="AB186" s="118"/>
      <c r="AC186" s="118"/>
      <c r="AD186" s="116" t="str">
        <f t="array" ref="AD186">IF(ISBLANK(AA186),,AA186&amp;("/"))&amp;IF(ISBLANK(Z186),,Z186&amp;("/"))&amp;IF(ISBLANK(Y186),,Y186&amp;("/"))&amp;IF(ISBLANK(X186),,X186&amp;("/"))&amp;IF(ISBLANK(W186),,W186&amp;("/"))&amp;IF(ISBLANK(V186),,V186&amp;("/"))&amp;IF(ISBLANK(U186),,U186&amp;("/"))&amp;IF(ISBLANK(T186),,T186&amp;("/"))&amp;IF(ISBLANK(S186),,S186&amp;("/"))&amp;IF(ISBLANK(R186),,R186&amp;("/"))&amp;IF(ISBLANK(Q186),,Q186&amp;("/"))&amp;IF(ISBLANK(P186),,P186&amp;("/"))&amp;IF(ISBLANK(O186),,O186&amp;("/"))&amp;IF(ISBLANK(N186),,N186&amp;("/"))&amp;IF(G186="-",M186,M186&amp;("_")&amp;MID(G186,1,1))</f>
        <v>UART2_CTSN_M1/SPI4_MOSI_M2/UART11_RX_M1/PDM_SDI2_M1/SAI1_SDI2_M0/SAI1_SDO2_M0/VI_CIF_D10/ETH0_PPSTRIG/GPIO2_B7_d</v>
      </c>
      <c r="AE186" s="115" t="str">
        <f t="shared" si="43"/>
        <v>y</v>
      </c>
      <c r="AF186" s="115" t="str">
        <f t="shared" si="29"/>
        <v/>
      </c>
      <c r="AG186" s="115" t="str">
        <f t="shared" si="30"/>
        <v/>
      </c>
      <c r="AH186" s="115" t="str">
        <f t="shared" si="31"/>
        <v/>
      </c>
      <c r="AI186" s="115" t="str">
        <f t="shared" si="32"/>
        <v/>
      </c>
      <c r="AJ186" s="115" t="str">
        <f t="shared" si="33"/>
        <v/>
      </c>
      <c r="AK186" s="115" t="str">
        <f t="shared" si="34"/>
        <v/>
      </c>
      <c r="AL186" s="115" t="str">
        <f t="shared" si="35"/>
        <v/>
      </c>
      <c r="AM186" s="115" t="str">
        <f t="shared" si="36"/>
        <v/>
      </c>
      <c r="AN186" s="115" t="str">
        <f t="shared" si="37"/>
        <v/>
      </c>
      <c r="AO186" s="115" t="str">
        <f t="shared" si="38"/>
        <v/>
      </c>
      <c r="AP186" s="115" t="str">
        <f t="shared" si="39"/>
        <v/>
      </c>
      <c r="AQ186" s="115" t="str">
        <f t="shared" si="40"/>
        <v/>
      </c>
      <c r="AR186" s="115" t="str">
        <f t="shared" si="41"/>
        <v/>
      </c>
      <c r="AS186" s="115" t="str">
        <f t="shared" si="42"/>
        <v/>
      </c>
    </row>
    <row r="187" spans="1:45" ht="28.5" outlineLevel="1">
      <c r="A187" s="138" t="s">
        <v>1881</v>
      </c>
      <c r="B187" s="137" t="s">
        <v>1880</v>
      </c>
      <c r="C187" s="132"/>
      <c r="D187" s="119" t="s">
        <v>753</v>
      </c>
      <c r="E187" s="119" t="s">
        <v>1124</v>
      </c>
      <c r="F187" s="119" t="s">
        <v>1123</v>
      </c>
      <c r="G187" s="119" t="s">
        <v>1122</v>
      </c>
      <c r="H187" s="119" t="s">
        <v>1121</v>
      </c>
      <c r="I187" s="119" t="s">
        <v>1120</v>
      </c>
      <c r="J187" s="119">
        <v>40</v>
      </c>
      <c r="K187" s="119" t="s">
        <v>371</v>
      </c>
      <c r="L187" s="119" t="s">
        <v>371</v>
      </c>
      <c r="M187" s="132" t="s">
        <v>1879</v>
      </c>
      <c r="N187" s="132" t="s">
        <v>1878</v>
      </c>
      <c r="O187" s="132" t="s">
        <v>1877</v>
      </c>
      <c r="P187" s="132"/>
      <c r="Q187" s="118" t="s">
        <v>1876</v>
      </c>
      <c r="R187" s="118" t="s">
        <v>1875</v>
      </c>
      <c r="S187" s="118" t="s">
        <v>1874</v>
      </c>
      <c r="T187" s="118"/>
      <c r="U187" s="118"/>
      <c r="V187" s="132" t="s">
        <v>1873</v>
      </c>
      <c r="W187" s="118" t="s">
        <v>1872</v>
      </c>
      <c r="X187" s="118"/>
      <c r="Y187" s="118"/>
      <c r="Z187" s="118"/>
      <c r="AA187" s="118"/>
      <c r="AB187" s="118"/>
      <c r="AC187" s="118"/>
      <c r="AD187" s="116" t="str">
        <f t="array" ref="AD187">IF(ISBLANK(AA187),,AA187&amp;("/"))&amp;IF(ISBLANK(Z187),,Z187&amp;("/"))&amp;IF(ISBLANK(Y187),,Y187&amp;("/"))&amp;IF(ISBLANK(X187),,X187&amp;("/"))&amp;IF(ISBLANK(W187),,W187&amp;("/"))&amp;IF(ISBLANK(V187),,V187&amp;("/"))&amp;IF(ISBLANK(U187),,U187&amp;("/"))&amp;IF(ISBLANK(T187),,T187&amp;("/"))&amp;IF(ISBLANK(S187),,S187&amp;("/"))&amp;IF(ISBLANK(R187),,R187&amp;("/"))&amp;IF(ISBLANK(Q187),,Q187&amp;("/"))&amp;IF(ISBLANK(P187),,P187&amp;("/"))&amp;IF(ISBLANK(O187),,O187&amp;("/"))&amp;IF(ISBLANK(N187),,N187&amp;("/"))&amp;IF(G187="-",M187,M187&amp;("_")&amp;MID(G187,1,1))</f>
        <v>SPI4_MISO_M2/UART5_RTSN_M1/PDM_SDI1_M1/SAI1_SDI1_M0/SAI1_SDO3_M0/VI_CIF_D9/ETH0_RXD3/GPIO2_C0_d</v>
      </c>
      <c r="AE187" s="115" t="str">
        <f t="shared" si="43"/>
        <v>y</v>
      </c>
      <c r="AF187" s="115" t="str">
        <f t="shared" si="29"/>
        <v/>
      </c>
      <c r="AG187" s="115" t="str">
        <f t="shared" si="30"/>
        <v/>
      </c>
      <c r="AH187" s="115" t="str">
        <f t="shared" si="31"/>
        <v/>
      </c>
      <c r="AI187" s="115" t="str">
        <f t="shared" si="32"/>
        <v/>
      </c>
      <c r="AJ187" s="115" t="str">
        <f t="shared" si="33"/>
        <v/>
      </c>
      <c r="AK187" s="115" t="str">
        <f t="shared" si="34"/>
        <v/>
      </c>
      <c r="AL187" s="115" t="str">
        <f t="shared" si="35"/>
        <v/>
      </c>
      <c r="AM187" s="115" t="str">
        <f t="shared" si="36"/>
        <v/>
      </c>
      <c r="AN187" s="115" t="str">
        <f t="shared" si="37"/>
        <v/>
      </c>
      <c r="AO187" s="115" t="str">
        <f t="shared" si="38"/>
        <v/>
      </c>
      <c r="AP187" s="115" t="str">
        <f t="shared" si="39"/>
        <v/>
      </c>
      <c r="AQ187" s="115" t="str">
        <f t="shared" si="40"/>
        <v/>
      </c>
      <c r="AR187" s="115" t="str">
        <f t="shared" si="41"/>
        <v/>
      </c>
      <c r="AS187" s="115" t="str">
        <f t="shared" si="42"/>
        <v/>
      </c>
    </row>
    <row r="188" spans="1:45" ht="28.5" outlineLevel="1">
      <c r="A188" s="138" t="s">
        <v>1871</v>
      </c>
      <c r="B188" s="139" t="s">
        <v>1870</v>
      </c>
      <c r="C188" s="132"/>
      <c r="D188" s="119" t="s">
        <v>753</v>
      </c>
      <c r="E188" s="119" t="s">
        <v>1124</v>
      </c>
      <c r="F188" s="119" t="s">
        <v>1123</v>
      </c>
      <c r="G188" s="119" t="s">
        <v>1122</v>
      </c>
      <c r="H188" s="119" t="s">
        <v>1121</v>
      </c>
      <c r="I188" s="119" t="s">
        <v>1120</v>
      </c>
      <c r="J188" s="119">
        <v>40</v>
      </c>
      <c r="K188" s="123" t="s">
        <v>371</v>
      </c>
      <c r="L188" s="123" t="s">
        <v>371</v>
      </c>
      <c r="M188" s="132" t="s">
        <v>1869</v>
      </c>
      <c r="N188" s="118" t="s">
        <v>1868</v>
      </c>
      <c r="O188" s="118" t="s">
        <v>1867</v>
      </c>
      <c r="P188" s="118"/>
      <c r="Q188" s="118" t="s">
        <v>1866</v>
      </c>
      <c r="R188" s="118" t="s">
        <v>1865</v>
      </c>
      <c r="S188" s="118" t="s">
        <v>1864</v>
      </c>
      <c r="T188" s="118"/>
      <c r="U188" s="118"/>
      <c r="V188" s="118" t="s">
        <v>1863</v>
      </c>
      <c r="W188" s="118" t="s">
        <v>1862</v>
      </c>
      <c r="X188" s="118" t="s">
        <v>1861</v>
      </c>
      <c r="Y188" s="118"/>
      <c r="Z188" s="118" t="s">
        <v>1860</v>
      </c>
      <c r="AA188" s="118"/>
      <c r="AB188" s="118"/>
      <c r="AC188" s="118"/>
      <c r="AD188" s="116" t="str">
        <f t="array" ref="AD188">IF(ISBLANK(AA188),,AA188&amp;("/"))&amp;IF(ISBLANK(Z188),,Z188&amp;("/"))&amp;IF(ISBLANK(Y188),,Y188&amp;("/"))&amp;IF(ISBLANK(X188),,X188&amp;("/"))&amp;IF(ISBLANK(W188),,W188&amp;("/"))&amp;IF(ISBLANK(V188),,V188&amp;("/"))&amp;IF(ISBLANK(U188),,U188&amp;("/"))&amp;IF(ISBLANK(T188),,T188&amp;("/"))&amp;IF(ISBLANK(S188),,S188&amp;("/"))&amp;IF(ISBLANK(R188),,R188&amp;("/"))&amp;IF(ISBLANK(Q188),,Q188&amp;("/"))&amp;IF(ISBLANK(P188),,P188&amp;("/"))&amp;IF(ISBLANK(O188),,O188&amp;("/"))&amp;IF(ISBLANK(N188),,N188&amp;("/"))&amp;IF(G188="-",M188,M188&amp;("_")&amp;MID(G188,1,1))</f>
        <v>PWM2_CH7_M0/SPI3_CSN1_M2/SPI4_CSN0_M2/UART5_CTSN_M1/PDM_SDI0_M1/SAI0_SDO0_M2/SAI1_SDI0_M0/VI_CIF_D8/ETH0_RXD2/GPIO2_C1_d</v>
      </c>
      <c r="AE188" s="115" t="str">
        <f t="shared" si="43"/>
        <v>y</v>
      </c>
      <c r="AF188" s="115" t="str">
        <f t="shared" si="29"/>
        <v/>
      </c>
      <c r="AG188" s="115" t="str">
        <f t="shared" si="30"/>
        <v/>
      </c>
      <c r="AH188" s="115" t="str">
        <f t="shared" si="31"/>
        <v/>
      </c>
      <c r="AI188" s="115" t="str">
        <f t="shared" si="32"/>
        <v/>
      </c>
      <c r="AJ188" s="115" t="str">
        <f t="shared" si="33"/>
        <v/>
      </c>
      <c r="AK188" s="115" t="str">
        <f t="shared" si="34"/>
        <v/>
      </c>
      <c r="AL188" s="115" t="str">
        <f t="shared" si="35"/>
        <v/>
      </c>
      <c r="AM188" s="115" t="str">
        <f t="shared" si="36"/>
        <v/>
      </c>
      <c r="AN188" s="115" t="str">
        <f t="shared" si="37"/>
        <v/>
      </c>
      <c r="AO188" s="115" t="str">
        <f t="shared" si="38"/>
        <v/>
      </c>
      <c r="AP188" s="115" t="str">
        <f t="shared" si="39"/>
        <v/>
      </c>
      <c r="AQ188" s="115" t="str">
        <f t="shared" si="40"/>
        <v/>
      </c>
      <c r="AR188" s="115" t="str">
        <f t="shared" si="41"/>
        <v/>
      </c>
      <c r="AS188" s="115" t="str">
        <f t="shared" si="42"/>
        <v/>
      </c>
    </row>
    <row r="189" spans="1:45" ht="28.5" outlineLevel="1">
      <c r="A189" s="138" t="s">
        <v>1859</v>
      </c>
      <c r="B189" s="139" t="s">
        <v>1858</v>
      </c>
      <c r="C189" s="132"/>
      <c r="D189" s="119" t="s">
        <v>753</v>
      </c>
      <c r="E189" s="119" t="s">
        <v>1124</v>
      </c>
      <c r="F189" s="119" t="s">
        <v>1123</v>
      </c>
      <c r="G189" s="141" t="s">
        <v>1122</v>
      </c>
      <c r="H189" s="141" t="s">
        <v>1121</v>
      </c>
      <c r="I189" s="141" t="s">
        <v>1120</v>
      </c>
      <c r="J189" s="141">
        <v>40</v>
      </c>
      <c r="K189" s="141" t="s">
        <v>371</v>
      </c>
      <c r="L189" s="141" t="s">
        <v>371</v>
      </c>
      <c r="M189" s="122" t="s">
        <v>1857</v>
      </c>
      <c r="N189" s="122" t="s">
        <v>1856</v>
      </c>
      <c r="O189" s="122"/>
      <c r="P189" s="122"/>
      <c r="Q189" s="122" t="s">
        <v>1855</v>
      </c>
      <c r="R189" s="122" t="s">
        <v>1854</v>
      </c>
      <c r="S189" s="122"/>
      <c r="T189" s="122"/>
      <c r="U189" s="122"/>
      <c r="V189" s="122" t="s">
        <v>1853</v>
      </c>
      <c r="W189" s="122"/>
      <c r="X189" s="122" t="s">
        <v>1852</v>
      </c>
      <c r="Y189" s="122" t="s">
        <v>1851</v>
      </c>
      <c r="Z189" s="122" t="s">
        <v>1850</v>
      </c>
      <c r="AA189" s="122"/>
      <c r="AB189" s="122"/>
      <c r="AC189" s="122"/>
      <c r="AD189" s="116" t="str">
        <f t="array" ref="AD189">IF(ISBLANK(AA189),,AA189&amp;("/"))&amp;IF(ISBLANK(Z189),,Z189&amp;("/"))&amp;IF(ISBLANK(Y189),,Y189&amp;("/"))&amp;IF(ISBLANK(X189),,X189&amp;("/"))&amp;IF(ISBLANK(W189),,W189&amp;("/"))&amp;IF(ISBLANK(V189),,V189&amp;("/"))&amp;IF(ISBLANK(U189),,U189&amp;("/"))&amp;IF(ISBLANK(T189),,T189&amp;("/"))&amp;IF(ISBLANK(S189),,S189&amp;("/"))&amp;IF(ISBLANK(R189),,R189&amp;("/"))&amp;IF(ISBLANK(Q189),,Q189&amp;("/"))&amp;IF(ISBLANK(P189),,P189&amp;("/"))&amp;IF(ISBLANK(O189),,O189&amp;("/"))&amp;IF(ISBLANK(N189),,N189&amp;("/"))&amp;IF(G189="-",M189,M189&amp;("_")&amp;MID(G189,1,1))</f>
        <v>CAN1_RX_M2/MIPI_TE_M0/I2C3_SDA_M0/UART5_RX_M1/SAI0_SDI3_M2/SPDIF_RX0_M0/ETH0_TXD2/GPIO2_C2_d</v>
      </c>
      <c r="AE189" s="115" t="str">
        <f t="shared" si="43"/>
        <v>y</v>
      </c>
      <c r="AF189" s="115" t="str">
        <f t="shared" si="29"/>
        <v/>
      </c>
      <c r="AG189" s="115" t="str">
        <f t="shared" si="30"/>
        <v/>
      </c>
      <c r="AH189" s="115" t="str">
        <f t="shared" si="31"/>
        <v/>
      </c>
      <c r="AI189" s="115" t="str">
        <f t="shared" si="32"/>
        <v/>
      </c>
      <c r="AJ189" s="115" t="str">
        <f t="shared" si="33"/>
        <v/>
      </c>
      <c r="AK189" s="115" t="str">
        <f t="shared" si="34"/>
        <v/>
      </c>
      <c r="AL189" s="115" t="str">
        <f t="shared" si="35"/>
        <v/>
      </c>
      <c r="AM189" s="115" t="str">
        <f t="shared" si="36"/>
        <v/>
      </c>
      <c r="AN189" s="115" t="str">
        <f t="shared" si="37"/>
        <v/>
      </c>
      <c r="AO189" s="115" t="str">
        <f t="shared" si="38"/>
        <v/>
      </c>
      <c r="AP189" s="115" t="str">
        <f t="shared" si="39"/>
        <v/>
      </c>
      <c r="AQ189" s="115" t="str">
        <f t="shared" si="40"/>
        <v/>
      </c>
      <c r="AR189" s="115" t="str">
        <f t="shared" si="41"/>
        <v/>
      </c>
      <c r="AS189" s="115" t="str">
        <f t="shared" si="42"/>
        <v/>
      </c>
    </row>
    <row r="190" spans="1:45" ht="28.5" outlineLevel="1">
      <c r="A190" s="138" t="s">
        <v>1849</v>
      </c>
      <c r="B190" s="139" t="s">
        <v>1848</v>
      </c>
      <c r="C190" s="118"/>
      <c r="D190" s="119" t="s">
        <v>753</v>
      </c>
      <c r="E190" s="119" t="s">
        <v>1124</v>
      </c>
      <c r="F190" s="119" t="s">
        <v>1123</v>
      </c>
      <c r="G190" s="119" t="s">
        <v>1122</v>
      </c>
      <c r="H190" s="119" t="s">
        <v>1121</v>
      </c>
      <c r="I190" s="119" t="s">
        <v>1120</v>
      </c>
      <c r="J190" s="119">
        <v>40</v>
      </c>
      <c r="K190" s="119" t="s">
        <v>371</v>
      </c>
      <c r="L190" s="119" t="s">
        <v>371</v>
      </c>
      <c r="M190" s="132" t="s">
        <v>1847</v>
      </c>
      <c r="N190" s="132" t="s">
        <v>1846</v>
      </c>
      <c r="O190" s="132"/>
      <c r="P190" s="132"/>
      <c r="Q190" s="132" t="s">
        <v>1845</v>
      </c>
      <c r="R190" s="132"/>
      <c r="S190" s="132"/>
      <c r="T190" s="132"/>
      <c r="U190" s="132"/>
      <c r="V190" s="132" t="s">
        <v>1844</v>
      </c>
      <c r="W190" s="132"/>
      <c r="X190" s="132" t="s">
        <v>1843</v>
      </c>
      <c r="Y190" s="132" t="s">
        <v>1842</v>
      </c>
      <c r="Z190" s="132" t="s">
        <v>1841</v>
      </c>
      <c r="AA190" s="132"/>
      <c r="AB190" s="132"/>
      <c r="AC190" s="132"/>
      <c r="AD190" s="116" t="str">
        <f t="array" ref="AD190">IF(ISBLANK(AA190),,AA190&amp;("/"))&amp;IF(ISBLANK(Z190),,Z190&amp;("/"))&amp;IF(ISBLANK(Y190),,Y190&amp;("/"))&amp;IF(ISBLANK(X190),,X190&amp;("/"))&amp;IF(ISBLANK(W190),,W190&amp;("/"))&amp;IF(ISBLANK(V190),,V190&amp;("/"))&amp;IF(ISBLANK(U190),,U190&amp;("/"))&amp;IF(ISBLANK(T190),,T190&amp;("/"))&amp;IF(ISBLANK(S190),,S190&amp;("/"))&amp;IF(ISBLANK(R190),,R190&amp;("/"))&amp;IF(ISBLANK(Q190),,Q190&amp;("/"))&amp;IF(ISBLANK(P190),,P190&amp;("/"))&amp;IF(ISBLANK(O190),,O190&amp;("/"))&amp;IF(ISBLANK(N190),,N190&amp;("/"))&amp;IF(G190="-",M190,M190&amp;("_")&amp;MID(G190,1,1))</f>
        <v>CAN1_TX_M2/PCIE0_CLKREQN_M2/I2C3_SCL_M0/UART5_TX_M1/SPDIF_TX0_M0/ETH0_TXD3/GPIO2_C3_d</v>
      </c>
      <c r="AE190" s="115" t="str">
        <f t="shared" si="43"/>
        <v>y</v>
      </c>
      <c r="AF190" s="115" t="str">
        <f t="shared" si="29"/>
        <v/>
      </c>
      <c r="AG190" s="115" t="str">
        <f t="shared" si="30"/>
        <v/>
      </c>
      <c r="AH190" s="115" t="str">
        <f t="shared" si="31"/>
        <v/>
      </c>
      <c r="AI190" s="115" t="str">
        <f t="shared" si="32"/>
        <v/>
      </c>
      <c r="AJ190" s="115" t="str">
        <f t="shared" si="33"/>
        <v/>
      </c>
      <c r="AK190" s="115" t="str">
        <f t="shared" si="34"/>
        <v/>
      </c>
      <c r="AL190" s="115" t="str">
        <f t="shared" si="35"/>
        <v/>
      </c>
      <c r="AM190" s="115" t="str">
        <f t="shared" si="36"/>
        <v/>
      </c>
      <c r="AN190" s="115" t="str">
        <f t="shared" si="37"/>
        <v/>
      </c>
      <c r="AO190" s="115" t="str">
        <f t="shared" si="38"/>
        <v/>
      </c>
      <c r="AP190" s="115" t="str">
        <f t="shared" si="39"/>
        <v/>
      </c>
      <c r="AQ190" s="115" t="str">
        <f t="shared" si="40"/>
        <v/>
      </c>
      <c r="AR190" s="115" t="str">
        <f t="shared" si="41"/>
        <v/>
      </c>
      <c r="AS190" s="115" t="str">
        <f t="shared" si="42"/>
        <v/>
      </c>
    </row>
    <row r="191" spans="1:45" outlineLevel="1">
      <c r="A191" s="120" t="s">
        <v>1840</v>
      </c>
      <c r="B191" s="126" t="s">
        <v>495</v>
      </c>
      <c r="C191" s="167"/>
      <c r="D191" s="120" t="s">
        <v>1111</v>
      </c>
      <c r="E191" s="120" t="s">
        <v>1524</v>
      </c>
      <c r="F191" s="120" t="s">
        <v>753</v>
      </c>
      <c r="G191" s="120" t="s">
        <v>753</v>
      </c>
      <c r="H191" s="120" t="s">
        <v>753</v>
      </c>
      <c r="I191" s="120" t="s">
        <v>753</v>
      </c>
      <c r="J191" s="120" t="s">
        <v>753</v>
      </c>
      <c r="K191" s="120" t="s">
        <v>753</v>
      </c>
      <c r="L191" s="120" t="s">
        <v>753</v>
      </c>
      <c r="M191" s="126"/>
      <c r="N191" s="126"/>
      <c r="O191" s="126"/>
      <c r="P191" s="126"/>
      <c r="Q191" s="126"/>
      <c r="R191" s="126"/>
      <c r="S191" s="126"/>
      <c r="T191" s="126"/>
      <c r="U191" s="126"/>
      <c r="V191" s="126"/>
      <c r="W191" s="126"/>
      <c r="X191" s="126"/>
      <c r="Y191" s="126"/>
      <c r="Z191" s="126"/>
      <c r="AA191" s="126"/>
      <c r="AB191" s="126"/>
      <c r="AC191" s="126"/>
      <c r="AF191" s="115" t="str">
        <f t="shared" si="29"/>
        <v/>
      </c>
      <c r="AG191" s="115" t="str">
        <f t="shared" si="30"/>
        <v/>
      </c>
      <c r="AH191" s="115" t="str">
        <f t="shared" si="31"/>
        <v/>
      </c>
      <c r="AI191" s="115" t="str">
        <f t="shared" si="32"/>
        <v/>
      </c>
      <c r="AJ191" s="115" t="str">
        <f t="shared" si="33"/>
        <v/>
      </c>
      <c r="AK191" s="115" t="str">
        <f t="shared" si="34"/>
        <v/>
      </c>
      <c r="AL191" s="115" t="str">
        <f t="shared" si="35"/>
        <v/>
      </c>
      <c r="AM191" s="115" t="str">
        <f t="shared" si="36"/>
        <v/>
      </c>
      <c r="AN191" s="115" t="str">
        <f t="shared" si="37"/>
        <v/>
      </c>
      <c r="AO191" s="115" t="str">
        <f t="shared" si="38"/>
        <v/>
      </c>
      <c r="AP191" s="115" t="str">
        <f t="shared" si="39"/>
        <v/>
      </c>
      <c r="AQ191" s="115" t="str">
        <f t="shared" si="40"/>
        <v/>
      </c>
      <c r="AR191" s="115" t="str">
        <f t="shared" si="41"/>
        <v/>
      </c>
      <c r="AS191" s="115" t="str">
        <f t="shared" si="42"/>
        <v/>
      </c>
    </row>
    <row r="192" spans="1:45">
      <c r="A192" s="131" t="s">
        <v>1839</v>
      </c>
      <c r="B192" s="130"/>
      <c r="C192" s="136"/>
      <c r="D192" s="129"/>
      <c r="E192" s="129"/>
      <c r="F192" s="129"/>
      <c r="G192" s="129"/>
      <c r="H192" s="129"/>
      <c r="I192" s="129"/>
      <c r="J192" s="129"/>
      <c r="K192" s="129"/>
      <c r="L192" s="129"/>
      <c r="M192" s="133"/>
      <c r="N192" s="133"/>
      <c r="O192" s="133"/>
      <c r="P192" s="133"/>
      <c r="Q192" s="133"/>
      <c r="R192" s="133"/>
      <c r="S192" s="133"/>
      <c r="T192" s="136"/>
      <c r="U192" s="136"/>
      <c r="V192" s="133"/>
      <c r="W192" s="133"/>
      <c r="X192" s="133"/>
      <c r="Y192" s="133"/>
      <c r="Z192" s="136"/>
      <c r="AA192" s="136"/>
      <c r="AB192" s="136"/>
      <c r="AC192" s="136"/>
      <c r="AF192" s="115" t="str">
        <f t="shared" si="29"/>
        <v/>
      </c>
      <c r="AG192" s="115" t="str">
        <f t="shared" si="30"/>
        <v/>
      </c>
      <c r="AH192" s="115" t="str">
        <f t="shared" si="31"/>
        <v/>
      </c>
      <c r="AI192" s="115" t="str">
        <f t="shared" si="32"/>
        <v/>
      </c>
      <c r="AJ192" s="115" t="str">
        <f t="shared" si="33"/>
        <v/>
      </c>
      <c r="AK192" s="115" t="str">
        <f t="shared" si="34"/>
        <v/>
      </c>
      <c r="AL192" s="115" t="str">
        <f t="shared" si="35"/>
        <v/>
      </c>
      <c r="AM192" s="115" t="str">
        <f t="shared" si="36"/>
        <v/>
      </c>
      <c r="AN192" s="115" t="str">
        <f t="shared" si="37"/>
        <v/>
      </c>
      <c r="AO192" s="115" t="str">
        <f t="shared" si="38"/>
        <v/>
      </c>
      <c r="AP192" s="115" t="str">
        <f t="shared" si="39"/>
        <v/>
      </c>
      <c r="AQ192" s="115" t="str">
        <f t="shared" si="40"/>
        <v/>
      </c>
      <c r="AR192" s="115" t="str">
        <f t="shared" si="41"/>
        <v/>
      </c>
      <c r="AS192" s="115" t="str">
        <f t="shared" si="42"/>
        <v/>
      </c>
    </row>
    <row r="193" spans="1:45" ht="28.5" outlineLevel="1">
      <c r="A193" s="138" t="s">
        <v>1838</v>
      </c>
      <c r="B193" s="139" t="s">
        <v>1837</v>
      </c>
      <c r="C193" s="118"/>
      <c r="D193" s="119" t="s">
        <v>753</v>
      </c>
      <c r="E193" s="119" t="s">
        <v>1124</v>
      </c>
      <c r="F193" s="119" t="s">
        <v>1123</v>
      </c>
      <c r="G193" s="119" t="s">
        <v>1122</v>
      </c>
      <c r="H193" s="119" t="s">
        <v>1121</v>
      </c>
      <c r="I193" s="119" t="s">
        <v>1120</v>
      </c>
      <c r="J193" s="119">
        <v>40</v>
      </c>
      <c r="K193" s="119" t="s">
        <v>371</v>
      </c>
      <c r="L193" s="119" t="s">
        <v>371</v>
      </c>
      <c r="M193" s="132" t="s">
        <v>1836</v>
      </c>
      <c r="N193" s="132" t="s">
        <v>1835</v>
      </c>
      <c r="O193" s="132" t="s">
        <v>1834</v>
      </c>
      <c r="P193" s="132"/>
      <c r="Q193" s="132" t="s">
        <v>1833</v>
      </c>
      <c r="R193" s="132"/>
      <c r="S193" s="132"/>
      <c r="T193" s="118"/>
      <c r="U193" s="118"/>
      <c r="V193" s="132"/>
      <c r="W193" s="132" t="s">
        <v>1832</v>
      </c>
      <c r="X193" s="132" t="s">
        <v>1831</v>
      </c>
      <c r="Y193" s="132" t="s">
        <v>1830</v>
      </c>
      <c r="Z193" s="118"/>
      <c r="AA193" s="118" t="s">
        <v>1829</v>
      </c>
      <c r="AB193" s="118"/>
      <c r="AC193" s="118"/>
      <c r="AD193" s="116" t="str">
        <f t="array" ref="AD193">IF(ISBLANK(AA193),,AA193&amp;("/"))&amp;IF(ISBLANK(Z193),,Z193&amp;("/"))&amp;IF(ISBLANK(Y193),,Y193&amp;("/"))&amp;IF(ISBLANK(X193),,X193&amp;("/"))&amp;IF(ISBLANK(W193),,W193&amp;("/"))&amp;IF(ISBLANK(V193),,V193&amp;("/"))&amp;IF(ISBLANK(U193),,U193&amp;("/"))&amp;IF(ISBLANK(T193),,T193&amp;("/"))&amp;IF(ISBLANK(S193),,S193&amp;("/"))&amp;IF(ISBLANK(R193),,R193&amp;("/"))&amp;IF(ISBLANK(Q193),,Q193&amp;("/"))&amp;IF(ISBLANK(P193),,P193&amp;("/"))&amp;IF(ISBLANK(O193),,O193&amp;("/"))&amp;IF(ISBLANK(N193),,N193&amp;("/"))&amp;IF(G193="-",M193,M193&amp;("_")&amp;MID(G193,1,1))</f>
        <v>PCIE1_CLKREQN_M1/PWM1_CH0_M1/I2C9_SDA_M1/SPI1_CLK_M0/SAI4_MCLK_M1/SDMMC1_D0/ETH1_RXD2_M1/GPIO1_B4_d</v>
      </c>
      <c r="AE193" s="115" t="str">
        <f t="shared" si="43"/>
        <v>y</v>
      </c>
      <c r="AF193" s="115" t="str">
        <f t="shared" si="29"/>
        <v/>
      </c>
      <c r="AG193" s="115" t="str">
        <f t="shared" si="30"/>
        <v/>
      </c>
      <c r="AH193" s="115" t="str">
        <f t="shared" si="31"/>
        <v/>
      </c>
      <c r="AI193" s="115" t="str">
        <f t="shared" si="32"/>
        <v/>
      </c>
      <c r="AJ193" s="115" t="str">
        <f t="shared" si="33"/>
        <v/>
      </c>
      <c r="AK193" s="115" t="str">
        <f t="shared" si="34"/>
        <v/>
      </c>
      <c r="AL193" s="115" t="str">
        <f t="shared" si="35"/>
        <v/>
      </c>
      <c r="AM193" s="115" t="str">
        <f t="shared" si="36"/>
        <v/>
      </c>
      <c r="AN193" s="115" t="str">
        <f t="shared" si="37"/>
        <v/>
      </c>
      <c r="AO193" s="115" t="str">
        <f t="shared" si="38"/>
        <v/>
      </c>
      <c r="AP193" s="115" t="str">
        <f t="shared" si="39"/>
        <v/>
      </c>
      <c r="AQ193" s="115" t="str">
        <f t="shared" si="40"/>
        <v/>
      </c>
      <c r="AR193" s="115" t="str">
        <f t="shared" si="41"/>
        <v/>
      </c>
      <c r="AS193" s="115" t="str">
        <f t="shared" si="42"/>
        <v/>
      </c>
    </row>
    <row r="194" spans="1:45" ht="28.5" outlineLevel="1">
      <c r="A194" s="138" t="s">
        <v>1828</v>
      </c>
      <c r="B194" s="139" t="s">
        <v>1827</v>
      </c>
      <c r="C194" s="118"/>
      <c r="D194" s="119" t="s">
        <v>753</v>
      </c>
      <c r="E194" s="119" t="s">
        <v>1124</v>
      </c>
      <c r="F194" s="119" t="s">
        <v>1123</v>
      </c>
      <c r="G194" s="119" t="s">
        <v>1122</v>
      </c>
      <c r="H194" s="119" t="s">
        <v>1121</v>
      </c>
      <c r="I194" s="119" t="s">
        <v>1120</v>
      </c>
      <c r="J194" s="119">
        <v>40</v>
      </c>
      <c r="K194" s="119" t="s">
        <v>371</v>
      </c>
      <c r="L194" s="119" t="s">
        <v>371</v>
      </c>
      <c r="M194" s="132" t="s">
        <v>1826</v>
      </c>
      <c r="N194" s="132" t="s">
        <v>1825</v>
      </c>
      <c r="O194" s="132" t="s">
        <v>1824</v>
      </c>
      <c r="P194" s="132"/>
      <c r="Q194" s="132" t="s">
        <v>1823</v>
      </c>
      <c r="R194" s="132"/>
      <c r="S194" s="132"/>
      <c r="T194" s="118"/>
      <c r="U194" s="118"/>
      <c r="V194" s="132"/>
      <c r="W194" s="132" t="s">
        <v>1822</v>
      </c>
      <c r="X194" s="132" t="s">
        <v>1821</v>
      </c>
      <c r="Y194" s="132" t="s">
        <v>1820</v>
      </c>
      <c r="Z194" s="118"/>
      <c r="AA194" s="118"/>
      <c r="AB194" s="118"/>
      <c r="AC194" s="118"/>
      <c r="AD194" s="116" t="str">
        <f t="array" ref="AD194">IF(ISBLANK(AA194),,AA194&amp;("/"))&amp;IF(ISBLANK(Z194),,Z194&amp;("/"))&amp;IF(ISBLANK(Y194),,Y194&amp;("/"))&amp;IF(ISBLANK(X194),,X194&amp;("/"))&amp;IF(ISBLANK(W194),,W194&amp;("/"))&amp;IF(ISBLANK(V194),,V194&amp;("/"))&amp;IF(ISBLANK(U194),,U194&amp;("/"))&amp;IF(ISBLANK(T194),,T194&amp;("/"))&amp;IF(ISBLANK(S194),,S194&amp;("/"))&amp;IF(ISBLANK(R194),,R194&amp;("/"))&amp;IF(ISBLANK(Q194),,Q194&amp;("/"))&amp;IF(ISBLANK(P194),,P194&amp;("/"))&amp;IF(ISBLANK(O194),,O194&amp;("/"))&amp;IF(ISBLANK(N194),,N194&amp;("/"))&amp;IF(G194="-",M194,M194&amp;("_")&amp;MID(G194,1,1))</f>
        <v>PWM1_CH1_M1/I2C9_SCL_M1/SPI1_MOSI_M0/SAI4_LRCK_M1/SDMMC1_D1/ETH1_RXD3_M1/GPIO1_B5_d</v>
      </c>
      <c r="AE194" s="115" t="str">
        <f t="shared" si="43"/>
        <v>y</v>
      </c>
      <c r="AF194" s="115" t="str">
        <f t="shared" si="29"/>
        <v/>
      </c>
      <c r="AG194" s="115" t="str">
        <f t="shared" si="30"/>
        <v/>
      </c>
      <c r="AH194" s="115" t="str">
        <f t="shared" si="31"/>
        <v/>
      </c>
      <c r="AI194" s="115" t="str">
        <f t="shared" si="32"/>
        <v/>
      </c>
      <c r="AJ194" s="115" t="str">
        <f t="shared" si="33"/>
        <v/>
      </c>
      <c r="AK194" s="115" t="str">
        <f t="shared" si="34"/>
        <v/>
      </c>
      <c r="AL194" s="115" t="str">
        <f t="shared" si="35"/>
        <v/>
      </c>
      <c r="AM194" s="115" t="str">
        <f t="shared" si="36"/>
        <v/>
      </c>
      <c r="AN194" s="115" t="str">
        <f t="shared" si="37"/>
        <v/>
      </c>
      <c r="AO194" s="115" t="str">
        <f t="shared" si="38"/>
        <v/>
      </c>
      <c r="AP194" s="115" t="str">
        <f t="shared" si="39"/>
        <v/>
      </c>
      <c r="AQ194" s="115" t="str">
        <f t="shared" si="40"/>
        <v/>
      </c>
      <c r="AR194" s="115" t="str">
        <f t="shared" si="41"/>
        <v/>
      </c>
      <c r="AS194" s="115" t="str">
        <f t="shared" si="42"/>
        <v/>
      </c>
    </row>
    <row r="195" spans="1:45" ht="28.5" outlineLevel="1">
      <c r="A195" s="138" t="s">
        <v>1819</v>
      </c>
      <c r="B195" s="139" t="s">
        <v>1818</v>
      </c>
      <c r="C195" s="118"/>
      <c r="D195" s="119" t="s">
        <v>753</v>
      </c>
      <c r="E195" s="119" t="s">
        <v>1124</v>
      </c>
      <c r="F195" s="119" t="s">
        <v>1123</v>
      </c>
      <c r="G195" s="119" t="s">
        <v>1122</v>
      </c>
      <c r="H195" s="119" t="s">
        <v>1121</v>
      </c>
      <c r="I195" s="119" t="s">
        <v>1120</v>
      </c>
      <c r="J195" s="119">
        <v>40</v>
      </c>
      <c r="K195" s="119" t="s">
        <v>371</v>
      </c>
      <c r="L195" s="119" t="s">
        <v>371</v>
      </c>
      <c r="M195" s="132" t="s">
        <v>1817</v>
      </c>
      <c r="N195" s="132" t="s">
        <v>1816</v>
      </c>
      <c r="O195" s="132" t="s">
        <v>1815</v>
      </c>
      <c r="P195" s="132"/>
      <c r="Q195" s="132" t="s">
        <v>1814</v>
      </c>
      <c r="R195" s="132"/>
      <c r="S195" s="132"/>
      <c r="T195" s="132"/>
      <c r="U195" s="118"/>
      <c r="V195" s="132" t="s">
        <v>1813</v>
      </c>
      <c r="W195" s="132" t="s">
        <v>1812</v>
      </c>
      <c r="X195" s="132"/>
      <c r="Y195" s="132"/>
      <c r="Z195" s="132"/>
      <c r="AA195" s="118" t="s">
        <v>1811</v>
      </c>
      <c r="AB195" s="118"/>
      <c r="AC195" s="118"/>
      <c r="AD195" s="116" t="str">
        <f t="array" ref="AD195">IF(ISBLANK(AA195),,AA195&amp;("/"))&amp;IF(ISBLANK(Z195),,Z195&amp;("/"))&amp;IF(ISBLANK(Y195),,Y195&amp;("/"))&amp;IF(ISBLANK(X195),,X195&amp;("/"))&amp;IF(ISBLANK(W195),,W195&amp;("/"))&amp;IF(ISBLANK(V195),,V195&amp;("/"))&amp;IF(ISBLANK(U195),,U195&amp;("/"))&amp;IF(ISBLANK(T195),,T195&amp;("/"))&amp;IF(ISBLANK(S195),,S195&amp;("/"))&amp;IF(ISBLANK(R195),,R195&amp;("/"))&amp;IF(ISBLANK(Q195),,Q195&amp;("/"))&amp;IF(ISBLANK(P195),,P195&amp;("/"))&amp;IF(ISBLANK(O195),,O195&amp;("/"))&amp;IF(ISBLANK(N195),,N195&amp;("/"))&amp;IF(G195="-",M195,M195&amp;("_")&amp;MID(G195,1,1))</f>
        <v>PCIE0_CLKREQN_M1/SPI1_MISO_M0/UART3_CTSN_M2/SAI4_SDI_M1/SDMMC1_D2/ETH1_RXCLK_M1/GPIO1_B6_d</v>
      </c>
      <c r="AE195" s="115" t="str">
        <f t="shared" si="43"/>
        <v>y</v>
      </c>
      <c r="AF195" s="115" t="str">
        <f t="shared" si="29"/>
        <v/>
      </c>
      <c r="AG195" s="115" t="str">
        <f t="shared" si="30"/>
        <v/>
      </c>
      <c r="AH195" s="115" t="str">
        <f t="shared" si="31"/>
        <v/>
      </c>
      <c r="AI195" s="115" t="str">
        <f t="shared" si="32"/>
        <v/>
      </c>
      <c r="AJ195" s="115" t="str">
        <f t="shared" si="33"/>
        <v/>
      </c>
      <c r="AK195" s="115" t="str">
        <f t="shared" si="34"/>
        <v/>
      </c>
      <c r="AL195" s="115" t="str">
        <f t="shared" si="35"/>
        <v/>
      </c>
      <c r="AM195" s="115" t="str">
        <f t="shared" si="36"/>
        <v/>
      </c>
      <c r="AN195" s="115" t="str">
        <f t="shared" si="37"/>
        <v/>
      </c>
      <c r="AO195" s="115" t="str">
        <f t="shared" si="38"/>
        <v/>
      </c>
      <c r="AP195" s="115" t="str">
        <f t="shared" si="39"/>
        <v/>
      </c>
      <c r="AQ195" s="115" t="str">
        <f t="shared" si="40"/>
        <v/>
      </c>
      <c r="AR195" s="115" t="str">
        <f t="shared" si="41"/>
        <v/>
      </c>
      <c r="AS195" s="115" t="str">
        <f t="shared" si="42"/>
        <v/>
      </c>
    </row>
    <row r="196" spans="1:45" ht="28.5" outlineLevel="1">
      <c r="A196" s="138" t="s">
        <v>1810</v>
      </c>
      <c r="B196" s="139" t="s">
        <v>1809</v>
      </c>
      <c r="C196" s="118"/>
      <c r="D196" s="119" t="s">
        <v>753</v>
      </c>
      <c r="E196" s="119" t="s">
        <v>1124</v>
      </c>
      <c r="F196" s="119" t="s">
        <v>1123</v>
      </c>
      <c r="G196" s="119" t="s">
        <v>1122</v>
      </c>
      <c r="H196" s="119" t="s">
        <v>1121</v>
      </c>
      <c r="I196" s="119" t="s">
        <v>1120</v>
      </c>
      <c r="J196" s="119">
        <v>40</v>
      </c>
      <c r="K196" s="123" t="s">
        <v>371</v>
      </c>
      <c r="L196" s="123" t="s">
        <v>371</v>
      </c>
      <c r="M196" s="132" t="s">
        <v>1808</v>
      </c>
      <c r="N196" s="118" t="s">
        <v>1807</v>
      </c>
      <c r="O196" s="118" t="s">
        <v>1806</v>
      </c>
      <c r="P196" s="118"/>
      <c r="Q196" s="118" t="s">
        <v>1805</v>
      </c>
      <c r="R196" s="118"/>
      <c r="S196" s="118"/>
      <c r="T196" s="118"/>
      <c r="U196" s="118"/>
      <c r="V196" s="118" t="s">
        <v>1804</v>
      </c>
      <c r="W196" s="118" t="s">
        <v>1803</v>
      </c>
      <c r="X196" s="118"/>
      <c r="Y196" s="118"/>
      <c r="Z196" s="118"/>
      <c r="AA196" s="118"/>
      <c r="AB196" s="118"/>
      <c r="AC196" s="118"/>
      <c r="AD196" s="116" t="str">
        <f t="array" ref="AD196">IF(ISBLANK(AA196),,AA196&amp;("/"))&amp;IF(ISBLANK(Z196),,Z196&amp;("/"))&amp;IF(ISBLANK(Y196),,Y196&amp;("/"))&amp;IF(ISBLANK(X196),,X196&amp;("/"))&amp;IF(ISBLANK(W196),,W196&amp;("/"))&amp;IF(ISBLANK(V196),,V196&amp;("/"))&amp;IF(ISBLANK(U196),,U196&amp;("/"))&amp;IF(ISBLANK(T196),,T196&amp;("/"))&amp;IF(ISBLANK(S196),,S196&amp;("/"))&amp;IF(ISBLANK(R196),,R196&amp;("/"))&amp;IF(ISBLANK(Q196),,Q196&amp;("/"))&amp;IF(ISBLANK(P196),,P196&amp;("/"))&amp;IF(ISBLANK(O196),,O196&amp;("/"))&amp;IF(ISBLANK(N196),,N196&amp;("/"))&amp;IF(G196="-",M196,M196&amp;("_")&amp;MID(G196,1,1))</f>
        <v>SPI1_CSN0_M0/UART3_RTSN_M2/SAI4_SDO_M1/SDMMC1_D3/ETH1_TXD2_M1/GPIO1_B7_d</v>
      </c>
      <c r="AE196" s="115" t="str">
        <f t="shared" si="43"/>
        <v>y</v>
      </c>
      <c r="AF196" s="115" t="str">
        <f t="shared" si="29"/>
        <v/>
      </c>
      <c r="AG196" s="115" t="str">
        <f t="shared" si="30"/>
        <v/>
      </c>
      <c r="AH196" s="115" t="str">
        <f t="shared" si="31"/>
        <v/>
      </c>
      <c r="AI196" s="115" t="str">
        <f t="shared" si="32"/>
        <v/>
      </c>
      <c r="AJ196" s="115" t="str">
        <f t="shared" si="33"/>
        <v/>
      </c>
      <c r="AK196" s="115" t="str">
        <f t="shared" si="34"/>
        <v/>
      </c>
      <c r="AL196" s="115" t="str">
        <f t="shared" si="35"/>
        <v/>
      </c>
      <c r="AM196" s="115" t="str">
        <f t="shared" si="36"/>
        <v/>
      </c>
      <c r="AN196" s="115" t="str">
        <f t="shared" si="37"/>
        <v/>
      </c>
      <c r="AO196" s="115" t="str">
        <f t="shared" si="38"/>
        <v/>
      </c>
      <c r="AP196" s="115" t="str">
        <f t="shared" si="39"/>
        <v/>
      </c>
      <c r="AQ196" s="115" t="str">
        <f t="shared" si="40"/>
        <v/>
      </c>
      <c r="AR196" s="115" t="str">
        <f t="shared" si="41"/>
        <v/>
      </c>
      <c r="AS196" s="115" t="str">
        <f t="shared" si="42"/>
        <v/>
      </c>
    </row>
    <row r="197" spans="1:45" ht="28.5" outlineLevel="1">
      <c r="A197" s="138" t="s">
        <v>1802</v>
      </c>
      <c r="B197" s="137" t="s">
        <v>1801</v>
      </c>
      <c r="C197" s="118"/>
      <c r="D197" s="119" t="s">
        <v>753</v>
      </c>
      <c r="E197" s="119" t="s">
        <v>1124</v>
      </c>
      <c r="F197" s="119" t="s">
        <v>1123</v>
      </c>
      <c r="G197" s="119" t="s">
        <v>1122</v>
      </c>
      <c r="H197" s="119" t="s">
        <v>1121</v>
      </c>
      <c r="I197" s="119" t="s">
        <v>1120</v>
      </c>
      <c r="J197" s="119">
        <v>40</v>
      </c>
      <c r="K197" s="123" t="s">
        <v>371</v>
      </c>
      <c r="L197" s="123" t="s">
        <v>371</v>
      </c>
      <c r="M197" s="132" t="s">
        <v>1800</v>
      </c>
      <c r="N197" s="118" t="s">
        <v>1799</v>
      </c>
      <c r="O197" s="118" t="s">
        <v>1798</v>
      </c>
      <c r="P197" s="118"/>
      <c r="Q197" s="118" t="s">
        <v>1797</v>
      </c>
      <c r="R197" s="118" t="s">
        <v>1796</v>
      </c>
      <c r="S197" s="118"/>
      <c r="T197" s="118"/>
      <c r="U197" s="118"/>
      <c r="V197" s="118" t="s">
        <v>1795</v>
      </c>
      <c r="W197" s="118" t="s">
        <v>1794</v>
      </c>
      <c r="X197" s="118"/>
      <c r="Y197" s="118" t="s">
        <v>1793</v>
      </c>
      <c r="Z197" s="118"/>
      <c r="AA197" s="118"/>
      <c r="AB197" s="118"/>
      <c r="AC197" s="118"/>
      <c r="AD197" s="116" t="str">
        <f t="array" ref="AD197">IF(ISBLANK(AA197),,AA197&amp;("/"))&amp;IF(ISBLANK(Z197),,Z197&amp;("/"))&amp;IF(ISBLANK(Y197),,Y197&amp;("/"))&amp;IF(ISBLANK(X197),,X197&amp;("/"))&amp;IF(ISBLANK(W197),,W197&amp;("/"))&amp;IF(ISBLANK(V197),,V197&amp;("/"))&amp;IF(ISBLANK(U197),,U197&amp;("/"))&amp;IF(ISBLANK(T197),,T197&amp;("/"))&amp;IF(ISBLANK(S197),,S197&amp;("/"))&amp;IF(ISBLANK(R197),,R197&amp;("/"))&amp;IF(ISBLANK(Q197),,Q197&amp;("/"))&amp;IF(ISBLANK(P197),,P197&amp;("/"))&amp;IF(ISBLANK(O197),,O197&amp;("/"))&amp;IF(ISBLANK(N197),,N197&amp;("/"))&amp;IF(G197="-",M197,M197&amp;("_")&amp;MID(G197,1,1))</f>
        <v>PWM0_CH0_M1/SPI1_CSN1_M0/UART3_TX_M2/PDM_SDI2_M2/SAI4_SCLK_M1/SDMMC1_CMD/ETH1_TXD3_M1/GPIO1_C0_d</v>
      </c>
      <c r="AE197" s="115" t="str">
        <f t="shared" si="43"/>
        <v>y</v>
      </c>
      <c r="AF197" s="115" t="str">
        <f t="shared" si="29"/>
        <v/>
      </c>
      <c r="AG197" s="115" t="str">
        <f t="shared" si="30"/>
        <v/>
      </c>
      <c r="AH197" s="115" t="str">
        <f t="shared" si="31"/>
        <v/>
      </c>
      <c r="AI197" s="115" t="str">
        <f t="shared" si="32"/>
        <v/>
      </c>
      <c r="AJ197" s="115" t="str">
        <f t="shared" si="33"/>
        <v/>
      </c>
      <c r="AK197" s="115" t="str">
        <f t="shared" si="34"/>
        <v/>
      </c>
      <c r="AL197" s="115" t="str">
        <f t="shared" si="35"/>
        <v/>
      </c>
      <c r="AM197" s="115" t="str">
        <f t="shared" si="36"/>
        <v/>
      </c>
      <c r="AN197" s="115" t="str">
        <f t="shared" si="37"/>
        <v/>
      </c>
      <c r="AO197" s="115" t="str">
        <f t="shared" si="38"/>
        <v/>
      </c>
      <c r="AP197" s="115" t="str">
        <f t="shared" si="39"/>
        <v/>
      </c>
      <c r="AQ197" s="115" t="str">
        <f t="shared" si="40"/>
        <v/>
      </c>
      <c r="AR197" s="115" t="str">
        <f t="shared" si="41"/>
        <v/>
      </c>
      <c r="AS197" s="115" t="str">
        <f t="shared" si="42"/>
        <v/>
      </c>
    </row>
    <row r="198" spans="1:45" outlineLevel="1" collapsed="1">
      <c r="A198" s="138" t="s">
        <v>1792</v>
      </c>
      <c r="B198" s="137" t="s">
        <v>1791</v>
      </c>
      <c r="C198" s="132"/>
      <c r="D198" s="119" t="s">
        <v>753</v>
      </c>
      <c r="E198" s="119" t="s">
        <v>1124</v>
      </c>
      <c r="F198" s="119" t="s">
        <v>1123</v>
      </c>
      <c r="G198" s="141" t="s">
        <v>1122</v>
      </c>
      <c r="H198" s="141" t="s">
        <v>1121</v>
      </c>
      <c r="I198" s="141" t="s">
        <v>1120</v>
      </c>
      <c r="J198" s="141">
        <v>40</v>
      </c>
      <c r="K198" s="141" t="s">
        <v>371</v>
      </c>
      <c r="L198" s="141" t="s">
        <v>371</v>
      </c>
      <c r="M198" s="122" t="s">
        <v>1790</v>
      </c>
      <c r="N198" s="122" t="s">
        <v>1789</v>
      </c>
      <c r="O198" s="122" t="s">
        <v>1788</v>
      </c>
      <c r="P198" s="122"/>
      <c r="Q198" s="122"/>
      <c r="R198" s="122" t="s">
        <v>1787</v>
      </c>
      <c r="S198" s="122"/>
      <c r="T198" s="122"/>
      <c r="U198" s="122"/>
      <c r="V198" s="122" t="s">
        <v>1786</v>
      </c>
      <c r="W198" s="122"/>
      <c r="X198" s="122"/>
      <c r="Y198" s="122"/>
      <c r="Z198" s="122"/>
      <c r="AA198" s="122"/>
      <c r="AB198" s="122"/>
      <c r="AC198" s="122"/>
      <c r="AD198" s="116" t="str">
        <f t="array" ref="AD198">IF(ISBLANK(AA198),,AA198&amp;("/"))&amp;IF(ISBLANK(Z198),,Z198&amp;("/"))&amp;IF(ISBLANK(Y198),,Y198&amp;("/"))&amp;IF(ISBLANK(X198),,X198&amp;("/"))&amp;IF(ISBLANK(W198),,W198&amp;("/"))&amp;IF(ISBLANK(V198),,V198&amp;("/"))&amp;IF(ISBLANK(U198),,U198&amp;("/"))&amp;IF(ISBLANK(T198),,T198&amp;("/"))&amp;IF(ISBLANK(S198),,S198&amp;("/"))&amp;IF(ISBLANK(R198),,R198&amp;("/"))&amp;IF(ISBLANK(Q198),,Q198&amp;("/"))&amp;IF(ISBLANK(P198),,P198&amp;("/"))&amp;IF(ISBLANK(O198),,O198&amp;("/"))&amp;IF(ISBLANK(N198),,N198&amp;("/"))&amp;IF(G198="-",M198,M198&amp;("_")&amp;MID(G198,1,1))</f>
        <v>UART3_RX_M2/PDM_CLK0_M2/SDMMC1_CLK/ETH1_TXCLK_M1/GPIO1_C1_d</v>
      </c>
      <c r="AE198" s="115" t="str">
        <f t="shared" si="43"/>
        <v>y</v>
      </c>
      <c r="AF198" s="115" t="str">
        <f t="shared" si="29"/>
        <v/>
      </c>
      <c r="AG198" s="115" t="str">
        <f t="shared" si="30"/>
        <v/>
      </c>
      <c r="AH198" s="115" t="str">
        <f t="shared" si="31"/>
        <v/>
      </c>
      <c r="AI198" s="115" t="str">
        <f t="shared" si="32"/>
        <v/>
      </c>
      <c r="AJ198" s="115" t="str">
        <f t="shared" si="33"/>
        <v/>
      </c>
      <c r="AK198" s="115" t="str">
        <f t="shared" si="34"/>
        <v/>
      </c>
      <c r="AL198" s="115" t="str">
        <f t="shared" si="35"/>
        <v/>
      </c>
      <c r="AM198" s="115" t="str">
        <f t="shared" si="36"/>
        <v/>
      </c>
      <c r="AN198" s="115" t="str">
        <f t="shared" si="37"/>
        <v/>
      </c>
      <c r="AO198" s="115" t="str">
        <f t="shared" si="38"/>
        <v/>
      </c>
      <c r="AP198" s="115" t="str">
        <f t="shared" si="39"/>
        <v/>
      </c>
      <c r="AQ198" s="115" t="str">
        <f t="shared" si="40"/>
        <v/>
      </c>
      <c r="AR198" s="115" t="str">
        <f t="shared" si="41"/>
        <v/>
      </c>
      <c r="AS198" s="115" t="str">
        <f t="shared" si="42"/>
        <v/>
      </c>
    </row>
    <row r="199" spans="1:45" ht="28.5" outlineLevel="1">
      <c r="A199" s="138" t="s">
        <v>1785</v>
      </c>
      <c r="B199" s="139" t="s">
        <v>1784</v>
      </c>
      <c r="C199" s="118"/>
      <c r="D199" s="119" t="s">
        <v>753</v>
      </c>
      <c r="E199" s="119" t="s">
        <v>1124</v>
      </c>
      <c r="F199" s="119" t="s">
        <v>1123</v>
      </c>
      <c r="G199" s="119" t="s">
        <v>1122</v>
      </c>
      <c r="H199" s="119" t="s">
        <v>1121</v>
      </c>
      <c r="I199" s="119" t="s">
        <v>1120</v>
      </c>
      <c r="J199" s="119">
        <v>40</v>
      </c>
      <c r="K199" s="119" t="s">
        <v>371</v>
      </c>
      <c r="L199" s="119" t="s">
        <v>371</v>
      </c>
      <c r="M199" s="132" t="s">
        <v>1783</v>
      </c>
      <c r="N199" s="132" t="s">
        <v>1782</v>
      </c>
      <c r="O199" s="132" t="s">
        <v>1781</v>
      </c>
      <c r="P199" s="132"/>
      <c r="Q199" s="132"/>
      <c r="R199" s="132"/>
      <c r="S199" s="118"/>
      <c r="T199" s="118"/>
      <c r="U199" s="118"/>
      <c r="V199" s="132" t="s">
        <v>1780</v>
      </c>
      <c r="W199" s="132"/>
      <c r="X199" s="132" t="s">
        <v>1779</v>
      </c>
      <c r="Y199" s="118"/>
      <c r="Z199" s="118" t="s">
        <v>1778</v>
      </c>
      <c r="AA199" s="118" t="s">
        <v>1777</v>
      </c>
      <c r="AB199" s="118"/>
      <c r="AC199" s="118"/>
      <c r="AD199" s="116" t="str">
        <f t="array" ref="AD199">IF(ISBLANK(AA199),,AA199&amp;("/"))&amp;IF(ISBLANK(Z199),,Z199&amp;("/"))&amp;IF(ISBLANK(Y199),,Y199&amp;("/"))&amp;IF(ISBLANK(X199),,X199&amp;("/"))&amp;IF(ISBLANK(W199),,W199&amp;("/"))&amp;IF(ISBLANK(V199),,V199&amp;("/"))&amp;IF(ISBLANK(U199),,U199&amp;("/"))&amp;IF(ISBLANK(T199),,T199&amp;("/"))&amp;IF(ISBLANK(S199),,S199&amp;("/"))&amp;IF(ISBLANK(R199),,R199&amp;("/"))&amp;IF(ISBLANK(Q199),,Q199&amp;("/"))&amp;IF(ISBLANK(P199),,P199&amp;("/"))&amp;IF(ISBLANK(O199),,O199&amp;("/"))&amp;IF(ISBLANK(N199),,N199&amp;("/"))&amp;IF(G199="-",M199,M199&amp;("_")&amp;MID(G199,1,1))</f>
        <v>SATA0_CPPOD_M0/CAN2_RX_M1/I2C6_SCL_M1/UART4_RTSN_M1/SDMMC1_PWREN/ETH1_PPSCLK_M1/GPIO1_C2_d</v>
      </c>
      <c r="AE199" s="115" t="str">
        <f t="shared" si="43"/>
        <v>y</v>
      </c>
      <c r="AF199" s="115" t="str">
        <f t="shared" si="29"/>
        <v/>
      </c>
      <c r="AG199" s="115" t="str">
        <f t="shared" si="30"/>
        <v/>
      </c>
      <c r="AH199" s="115" t="str">
        <f t="shared" si="31"/>
        <v/>
      </c>
      <c r="AI199" s="115" t="str">
        <f t="shared" si="32"/>
        <v/>
      </c>
      <c r="AJ199" s="115" t="str">
        <f t="shared" si="33"/>
        <v/>
      </c>
      <c r="AK199" s="115" t="str">
        <f t="shared" si="34"/>
        <v/>
      </c>
      <c r="AL199" s="115" t="str">
        <f t="shared" si="35"/>
        <v/>
      </c>
      <c r="AM199" s="115" t="str">
        <f t="shared" si="36"/>
        <v/>
      </c>
      <c r="AN199" s="115" t="str">
        <f t="shared" si="37"/>
        <v/>
      </c>
      <c r="AO199" s="115" t="str">
        <f t="shared" si="38"/>
        <v/>
      </c>
      <c r="AP199" s="115" t="str">
        <f t="shared" si="39"/>
        <v/>
      </c>
      <c r="AQ199" s="115" t="str">
        <f t="shared" si="40"/>
        <v/>
      </c>
      <c r="AR199" s="115" t="str">
        <f t="shared" si="41"/>
        <v/>
      </c>
      <c r="AS199" s="115" t="str">
        <f t="shared" si="42"/>
        <v/>
      </c>
    </row>
    <row r="200" spans="1:45" ht="28.5" outlineLevel="1">
      <c r="A200" s="138" t="s">
        <v>1776</v>
      </c>
      <c r="B200" s="139" t="s">
        <v>1775</v>
      </c>
      <c r="C200" s="118"/>
      <c r="D200" s="119" t="s">
        <v>753</v>
      </c>
      <c r="E200" s="119" t="s">
        <v>1124</v>
      </c>
      <c r="F200" s="119" t="s">
        <v>1123</v>
      </c>
      <c r="G200" s="119" t="s">
        <v>1122</v>
      </c>
      <c r="H200" s="119" t="s">
        <v>1121</v>
      </c>
      <c r="I200" s="119" t="s">
        <v>1120</v>
      </c>
      <c r="J200" s="119">
        <v>40</v>
      </c>
      <c r="K200" s="119" t="s">
        <v>371</v>
      </c>
      <c r="L200" s="119" t="s">
        <v>371</v>
      </c>
      <c r="M200" s="132" t="s">
        <v>1773</v>
      </c>
      <c r="N200" s="132" t="s">
        <v>1772</v>
      </c>
      <c r="O200" s="132" t="s">
        <v>1771</v>
      </c>
      <c r="P200" s="132"/>
      <c r="Q200" s="118"/>
      <c r="R200" s="118"/>
      <c r="S200" s="118"/>
      <c r="T200" s="118"/>
      <c r="U200" s="118"/>
      <c r="V200" s="132" t="s">
        <v>1770</v>
      </c>
      <c r="W200" s="118"/>
      <c r="X200" s="118" t="s">
        <v>1769</v>
      </c>
      <c r="Y200" s="118"/>
      <c r="Z200" s="118" t="s">
        <v>1768</v>
      </c>
      <c r="AA200" s="118" t="s">
        <v>1767</v>
      </c>
      <c r="AB200" s="118"/>
      <c r="AC200" s="118"/>
      <c r="AD200" s="116" t="str">
        <f t="array" ref="AD200">IF(ISBLANK(AA200),,AA200&amp;("/"))&amp;IF(ISBLANK(Z200),,Z200&amp;("/"))&amp;IF(ISBLANK(Y200),,Y200&amp;("/"))&amp;IF(ISBLANK(X200),,X200&amp;("/"))&amp;IF(ISBLANK(W200),,W200&amp;("/"))&amp;IF(ISBLANK(V200),,V200&amp;("/"))&amp;IF(ISBLANK(U200),,U200&amp;("/"))&amp;IF(ISBLANK(T200),,T200&amp;("/"))&amp;IF(ISBLANK(S200),,S200&amp;("/"))&amp;IF(ISBLANK(R200),,R200&amp;("/"))&amp;IF(ISBLANK(Q200),,Q200&amp;("/"))&amp;IF(ISBLANK(P200),,P200&amp;("/"))&amp;IF(ISBLANK(O200),,O200&amp;("/"))&amp;IF(ISBLANK(N200),,N200&amp;("/"))&amp;IF(G200="-",M200,M200&amp;("_")&amp;MID(G200,1,1))</f>
        <v>SATA0_CPDET_M0/CAN2_TX_M1/I2C6_SDA_M1/UART4_CTSN_M1/SDMMC1_DETN_M0/ETH1_PPSTRIG_M1/GPIO1_C3_d</v>
      </c>
      <c r="AE200" s="115" t="str">
        <f t="shared" si="43"/>
        <v>y</v>
      </c>
      <c r="AF200" s="115" t="str">
        <f t="shared" si="29"/>
        <v/>
      </c>
      <c r="AG200" s="115" t="str">
        <f t="shared" si="30"/>
        <v/>
      </c>
      <c r="AH200" s="115" t="str">
        <f t="shared" si="31"/>
        <v/>
      </c>
      <c r="AI200" s="115" t="str">
        <f t="shared" si="32"/>
        <v/>
      </c>
      <c r="AJ200" s="115" t="str">
        <f t="shared" si="33"/>
        <v/>
      </c>
      <c r="AK200" s="115" t="str">
        <f t="shared" si="34"/>
        <v/>
      </c>
      <c r="AL200" s="115" t="str">
        <f t="shared" si="35"/>
        <v/>
      </c>
      <c r="AM200" s="115" t="str">
        <f t="shared" si="36"/>
        <v/>
      </c>
      <c r="AN200" s="115" t="str">
        <f t="shared" si="37"/>
        <v/>
      </c>
      <c r="AO200" s="115" t="str">
        <f t="shared" si="38"/>
        <v/>
      </c>
      <c r="AP200" s="115" t="str">
        <f t="shared" si="39"/>
        <v/>
      </c>
      <c r="AQ200" s="115" t="str">
        <f t="shared" si="40"/>
        <v/>
      </c>
      <c r="AR200" s="115" t="str">
        <f t="shared" si="41"/>
        <v/>
      </c>
      <c r="AS200" s="115" t="str">
        <f t="shared" si="42"/>
        <v/>
      </c>
    </row>
    <row r="201" spans="1:45" outlineLevel="1">
      <c r="A201" s="138" t="s">
        <v>1766</v>
      </c>
      <c r="B201" s="139" t="s">
        <v>1765</v>
      </c>
      <c r="C201" s="118"/>
      <c r="D201" s="119" t="s">
        <v>753</v>
      </c>
      <c r="E201" s="119" t="s">
        <v>1124</v>
      </c>
      <c r="F201" s="119" t="s">
        <v>1123</v>
      </c>
      <c r="G201" s="119" t="s">
        <v>1122</v>
      </c>
      <c r="H201" s="119" t="s">
        <v>1121</v>
      </c>
      <c r="I201" s="119" t="s">
        <v>1120</v>
      </c>
      <c r="J201" s="119">
        <v>40</v>
      </c>
      <c r="K201" s="119" t="s">
        <v>371</v>
      </c>
      <c r="L201" s="119" t="s">
        <v>371</v>
      </c>
      <c r="M201" s="132" t="s">
        <v>1764</v>
      </c>
      <c r="N201" s="132" t="s">
        <v>1763</v>
      </c>
      <c r="O201" s="132"/>
      <c r="P201" s="132"/>
      <c r="Q201" s="132"/>
      <c r="R201" s="118" t="s">
        <v>1762</v>
      </c>
      <c r="S201" s="118"/>
      <c r="T201" s="118"/>
      <c r="U201" s="118"/>
      <c r="V201" s="132" t="s">
        <v>1761</v>
      </c>
      <c r="W201" s="132" t="s">
        <v>1760</v>
      </c>
      <c r="X201" s="118"/>
      <c r="Y201" s="118"/>
      <c r="Z201" s="118"/>
      <c r="AA201" s="118"/>
      <c r="AB201" s="118"/>
      <c r="AC201" s="118"/>
      <c r="AD201" s="116" t="str">
        <f t="array" ref="AD201">IF(ISBLANK(AA201),,AA201&amp;("/"))&amp;IF(ISBLANK(Z201),,Z201&amp;("/"))&amp;IF(ISBLANK(Y201),,Y201&amp;("/"))&amp;IF(ISBLANK(X201),,X201&amp;("/"))&amp;IF(ISBLANK(W201),,W201&amp;("/"))&amp;IF(ISBLANK(V201),,V201&amp;("/"))&amp;IF(ISBLANK(U201),,U201&amp;("/"))&amp;IF(ISBLANK(T201),,T201&amp;("/"))&amp;IF(ISBLANK(S201),,S201&amp;("/"))&amp;IF(ISBLANK(R201),,R201&amp;("/"))&amp;IF(ISBLANK(Q201),,Q201&amp;("/"))&amp;IF(ISBLANK(P201),,P201&amp;("/"))&amp;IF(ISBLANK(O201),,O201&amp;("/"))&amp;IF(ISBLANK(N201),,N201&amp;("/"))&amp;IF(G201="-",M201,M201&amp;("_")&amp;MID(G201,1,1))</f>
        <v>SPI2_MOSI_M1/UART4_TX_M1/UART2_RTSN_M0/ETH1_TXD0_M1/GPIO1_C4_d</v>
      </c>
      <c r="AE201" s="115" t="str">
        <f t="shared" si="43"/>
        <v>y</v>
      </c>
      <c r="AF201" s="115" t="str">
        <f t="shared" si="29"/>
        <v/>
      </c>
      <c r="AG201" s="115" t="str">
        <f t="shared" si="30"/>
        <v/>
      </c>
      <c r="AH201" s="115" t="str">
        <f t="shared" si="31"/>
        <v/>
      </c>
      <c r="AI201" s="115" t="str">
        <f t="shared" si="32"/>
        <v/>
      </c>
      <c r="AJ201" s="115" t="str">
        <f t="shared" si="33"/>
        <v/>
      </c>
      <c r="AK201" s="115" t="str">
        <f t="shared" si="34"/>
        <v/>
      </c>
      <c r="AL201" s="115" t="str">
        <f t="shared" si="35"/>
        <v/>
      </c>
      <c r="AM201" s="115" t="str">
        <f t="shared" si="36"/>
        <v/>
      </c>
      <c r="AN201" s="115" t="str">
        <f t="shared" si="37"/>
        <v/>
      </c>
      <c r="AO201" s="115" t="str">
        <f t="shared" si="38"/>
        <v/>
      </c>
      <c r="AP201" s="115" t="str">
        <f t="shared" si="39"/>
        <v/>
      </c>
      <c r="AQ201" s="115" t="str">
        <f t="shared" si="40"/>
        <v/>
      </c>
      <c r="AR201" s="115" t="str">
        <f t="shared" si="41"/>
        <v/>
      </c>
      <c r="AS201" s="115" t="str">
        <f t="shared" si="42"/>
        <v/>
      </c>
    </row>
    <row r="202" spans="1:45" outlineLevel="1">
      <c r="A202" s="138" t="s">
        <v>1759</v>
      </c>
      <c r="B202" s="139" t="s">
        <v>1758</v>
      </c>
      <c r="C202" s="118"/>
      <c r="D202" s="119" t="s">
        <v>753</v>
      </c>
      <c r="E202" s="119" t="s">
        <v>1124</v>
      </c>
      <c r="F202" s="119" t="s">
        <v>1123</v>
      </c>
      <c r="G202" s="119" t="s">
        <v>1122</v>
      </c>
      <c r="H202" s="119" t="s">
        <v>1121</v>
      </c>
      <c r="I202" s="119" t="s">
        <v>1120</v>
      </c>
      <c r="J202" s="119">
        <v>40</v>
      </c>
      <c r="K202" s="119" t="s">
        <v>371</v>
      </c>
      <c r="L202" s="119" t="s">
        <v>371</v>
      </c>
      <c r="M202" s="132" t="s">
        <v>1757</v>
      </c>
      <c r="N202" s="132" t="s">
        <v>1756</v>
      </c>
      <c r="O202" s="132"/>
      <c r="P202" s="132"/>
      <c r="Q202" s="118"/>
      <c r="R202" s="118" t="s">
        <v>1755</v>
      </c>
      <c r="S202" s="118"/>
      <c r="T202" s="118"/>
      <c r="U202" s="118"/>
      <c r="V202" s="132" t="s">
        <v>1754</v>
      </c>
      <c r="W202" s="118" t="s">
        <v>1753</v>
      </c>
      <c r="X202" s="118"/>
      <c r="Y202" s="118"/>
      <c r="Z202" s="118"/>
      <c r="AA202" s="118"/>
      <c r="AB202" s="118"/>
      <c r="AC202" s="118"/>
      <c r="AD202" s="116" t="str">
        <f t="array" ref="AD202">IF(ISBLANK(AA202),,AA202&amp;("/"))&amp;IF(ISBLANK(Z202),,Z202&amp;("/"))&amp;IF(ISBLANK(Y202),,Y202&amp;("/"))&amp;IF(ISBLANK(X202),,X202&amp;("/"))&amp;IF(ISBLANK(W202),,W202&amp;("/"))&amp;IF(ISBLANK(V202),,V202&amp;("/"))&amp;IF(ISBLANK(U202),,U202&amp;("/"))&amp;IF(ISBLANK(T202),,T202&amp;("/"))&amp;IF(ISBLANK(S202),,S202&amp;("/"))&amp;IF(ISBLANK(R202),,R202&amp;("/"))&amp;IF(ISBLANK(Q202),,Q202&amp;("/"))&amp;IF(ISBLANK(P202),,P202&amp;("/"))&amp;IF(ISBLANK(O202),,O202&amp;("/"))&amp;IF(ISBLANK(N202),,N202&amp;("/"))&amp;IF(G202="-",M202,M202&amp;("_")&amp;MID(G202,1,1))</f>
        <v>SPI2_MISO_M1/UART4_RX_M1/UART2_CTSN_M0/ETH1_TXD1_M1/GPIO1_C5_d</v>
      </c>
      <c r="AE202" s="115" t="str">
        <f t="shared" si="43"/>
        <v>y</v>
      </c>
      <c r="AF202" s="115" t="str">
        <f t="shared" si="29"/>
        <v/>
      </c>
      <c r="AG202" s="115" t="str">
        <f t="shared" si="30"/>
        <v/>
      </c>
      <c r="AH202" s="115" t="str">
        <f t="shared" si="31"/>
        <v/>
      </c>
      <c r="AI202" s="115" t="str">
        <f t="shared" si="32"/>
        <v/>
      </c>
      <c r="AJ202" s="115" t="str">
        <f t="shared" si="33"/>
        <v/>
      </c>
      <c r="AK202" s="115" t="str">
        <f t="shared" si="34"/>
        <v/>
      </c>
      <c r="AL202" s="115" t="str">
        <f t="shared" si="35"/>
        <v/>
      </c>
      <c r="AM202" s="115" t="str">
        <f t="shared" si="36"/>
        <v/>
      </c>
      <c r="AN202" s="115" t="str">
        <f t="shared" si="37"/>
        <v/>
      </c>
      <c r="AO202" s="115" t="str">
        <f t="shared" si="38"/>
        <v/>
      </c>
      <c r="AP202" s="115" t="str">
        <f t="shared" si="39"/>
        <v/>
      </c>
      <c r="AQ202" s="115" t="str">
        <f t="shared" si="40"/>
        <v/>
      </c>
      <c r="AR202" s="115" t="str">
        <f t="shared" si="41"/>
        <v/>
      </c>
      <c r="AS202" s="115" t="str">
        <f t="shared" si="42"/>
        <v/>
      </c>
    </row>
    <row r="203" spans="1:45" ht="28.5" outlineLevel="1">
      <c r="A203" s="138" t="s">
        <v>1752</v>
      </c>
      <c r="B203" s="139" t="s">
        <v>1751</v>
      </c>
      <c r="C203" s="118"/>
      <c r="D203" s="119" t="s">
        <v>753</v>
      </c>
      <c r="E203" s="119" t="s">
        <v>1124</v>
      </c>
      <c r="F203" s="119" t="s">
        <v>1123</v>
      </c>
      <c r="G203" s="119" t="s">
        <v>1122</v>
      </c>
      <c r="H203" s="119" t="s">
        <v>1121</v>
      </c>
      <c r="I203" s="119" t="s">
        <v>1120</v>
      </c>
      <c r="J203" s="119">
        <v>40</v>
      </c>
      <c r="K203" s="119" t="s">
        <v>371</v>
      </c>
      <c r="L203" s="119" t="s">
        <v>371</v>
      </c>
      <c r="M203" s="132" t="s">
        <v>1750</v>
      </c>
      <c r="N203" s="132" t="s">
        <v>1749</v>
      </c>
      <c r="O203" s="132"/>
      <c r="P203" s="118"/>
      <c r="Q203" s="118"/>
      <c r="R203" s="118" t="s">
        <v>1748</v>
      </c>
      <c r="S203" s="118"/>
      <c r="T203" s="118"/>
      <c r="U203" s="118"/>
      <c r="V203" s="118" t="s">
        <v>1747</v>
      </c>
      <c r="W203" s="118" t="s">
        <v>1746</v>
      </c>
      <c r="X203" s="118" t="s">
        <v>1745</v>
      </c>
      <c r="Y203" s="118"/>
      <c r="Z203" s="118"/>
      <c r="AA203" s="118" t="s">
        <v>1744</v>
      </c>
      <c r="AB203" s="118"/>
      <c r="AC203" s="118"/>
      <c r="AD203" s="116" t="str">
        <f t="array" ref="AD203">IF(ISBLANK(AA203),,AA203&amp;("/"))&amp;IF(ISBLANK(Z203),,Z203&amp;("/"))&amp;IF(ISBLANK(Y203),,Y203&amp;("/"))&amp;IF(ISBLANK(X203),,X203&amp;("/"))&amp;IF(ISBLANK(W203),,W203&amp;("/"))&amp;IF(ISBLANK(V203),,V203&amp;("/"))&amp;IF(ISBLANK(U203),,U203&amp;("/"))&amp;IF(ISBLANK(T203),,T203&amp;("/"))&amp;IF(ISBLANK(S203),,S203&amp;("/"))&amp;IF(ISBLANK(R203),,R203&amp;("/"))&amp;IF(ISBLANK(Q203),,Q203&amp;("/"))&amp;IF(ISBLANK(P203),,P203&amp;("/"))&amp;IF(ISBLANK(O203),,O203&amp;("/"))&amp;IF(ISBLANK(N203),,N203&amp;("/"))&amp;IF(G203="-",M203,M203&amp;("_")&amp;MID(G203,1,1))</f>
        <v>HDMI_TX_SCL_M1/I2C8_SCL_M1/SPI2_CSN0_M1/UART2_TX_M0/PDM_SDI0_M2/ETH1_TXCTL_M1/GPIO1_C6_d</v>
      </c>
      <c r="AE203" s="115" t="str">
        <f t="shared" si="43"/>
        <v>y</v>
      </c>
      <c r="AF203" s="115" t="str">
        <f t="shared" si="29"/>
        <v/>
      </c>
      <c r="AG203" s="115" t="str">
        <f t="shared" si="30"/>
        <v/>
      </c>
      <c r="AH203" s="115" t="str">
        <f t="shared" si="31"/>
        <v/>
      </c>
      <c r="AI203" s="115" t="str">
        <f t="shared" si="32"/>
        <v/>
      </c>
      <c r="AJ203" s="115" t="str">
        <f t="shared" si="33"/>
        <v/>
      </c>
      <c r="AK203" s="115" t="str">
        <f t="shared" si="34"/>
        <v/>
      </c>
      <c r="AL203" s="115" t="str">
        <f t="shared" si="35"/>
        <v/>
      </c>
      <c r="AM203" s="115" t="str">
        <f t="shared" si="36"/>
        <v/>
      </c>
      <c r="AN203" s="115" t="str">
        <f t="shared" si="37"/>
        <v/>
      </c>
      <c r="AO203" s="115" t="str">
        <f t="shared" si="38"/>
        <v/>
      </c>
      <c r="AP203" s="115" t="str">
        <f t="shared" si="39"/>
        <v/>
      </c>
      <c r="AQ203" s="115" t="str">
        <f t="shared" si="40"/>
        <v/>
      </c>
      <c r="AR203" s="115" t="str">
        <f t="shared" si="41"/>
        <v/>
      </c>
      <c r="AS203" s="115" t="str">
        <f t="shared" si="42"/>
        <v/>
      </c>
    </row>
    <row r="204" spans="1:45" ht="28.5" outlineLevel="1">
      <c r="A204" s="138" t="s">
        <v>1743</v>
      </c>
      <c r="B204" s="139" t="s">
        <v>1742</v>
      </c>
      <c r="C204" s="118"/>
      <c r="D204" s="119" t="s">
        <v>753</v>
      </c>
      <c r="E204" s="119" t="s">
        <v>1124</v>
      </c>
      <c r="F204" s="119" t="s">
        <v>1123</v>
      </c>
      <c r="G204" s="119" t="s">
        <v>1122</v>
      </c>
      <c r="H204" s="119" t="s">
        <v>1121</v>
      </c>
      <c r="I204" s="119" t="s">
        <v>1120</v>
      </c>
      <c r="J204" s="119">
        <v>40</v>
      </c>
      <c r="K204" s="119" t="s">
        <v>371</v>
      </c>
      <c r="L204" s="119" t="s">
        <v>371</v>
      </c>
      <c r="M204" s="132" t="s">
        <v>1741</v>
      </c>
      <c r="N204" s="132" t="s">
        <v>1740</v>
      </c>
      <c r="O204" s="132"/>
      <c r="P204" s="132"/>
      <c r="Q204" s="132"/>
      <c r="R204" s="132" t="s">
        <v>1739</v>
      </c>
      <c r="S204" s="118"/>
      <c r="T204" s="118"/>
      <c r="U204" s="118"/>
      <c r="V204" s="132" t="s">
        <v>1738</v>
      </c>
      <c r="W204" s="132" t="s">
        <v>1737</v>
      </c>
      <c r="X204" s="132" t="s">
        <v>1736</v>
      </c>
      <c r="Y204" s="118"/>
      <c r="Z204" s="118"/>
      <c r="AA204" s="118" t="s">
        <v>1735</v>
      </c>
      <c r="AB204" s="118"/>
      <c r="AC204" s="118"/>
      <c r="AD204" s="116" t="str">
        <f t="array" ref="AD204">IF(ISBLANK(AA204),,AA204&amp;("/"))&amp;IF(ISBLANK(Z204),,Z204&amp;("/"))&amp;IF(ISBLANK(Y204),,Y204&amp;("/"))&amp;IF(ISBLANK(X204),,X204&amp;("/"))&amp;IF(ISBLANK(W204),,W204&amp;("/"))&amp;IF(ISBLANK(V204),,V204&amp;("/"))&amp;IF(ISBLANK(U204),,U204&amp;("/"))&amp;IF(ISBLANK(T204),,T204&amp;("/"))&amp;IF(ISBLANK(S204),,S204&amp;("/"))&amp;IF(ISBLANK(R204),,R204&amp;("/"))&amp;IF(ISBLANK(Q204),,Q204&amp;("/"))&amp;IF(ISBLANK(P204),,P204&amp;("/"))&amp;IF(ISBLANK(O204),,O204&amp;("/"))&amp;IF(ISBLANK(N204),,N204&amp;("/"))&amp;IF(G204="-",M204,M204&amp;("_")&amp;MID(G204,1,1))</f>
        <v>HDMI_TX_SDA_M1/I2C8_SDA_M1/SPI2_CSN1_M1/UART2_RX_M0/PDM_SDI1_M2/ETH1_RXD0_M1/GPIO1_C7_d</v>
      </c>
      <c r="AE204" s="115" t="str">
        <f t="shared" si="43"/>
        <v>y</v>
      </c>
      <c r="AF204" s="115" t="str">
        <f t="shared" si="29"/>
        <v/>
      </c>
      <c r="AG204" s="115" t="str">
        <f t="shared" si="30"/>
        <v/>
      </c>
      <c r="AH204" s="115" t="str">
        <f t="shared" si="31"/>
        <v/>
      </c>
      <c r="AI204" s="115" t="str">
        <f t="shared" si="32"/>
        <v/>
      </c>
      <c r="AJ204" s="115" t="str">
        <f t="shared" si="33"/>
        <v/>
      </c>
      <c r="AK204" s="115" t="str">
        <f t="shared" si="34"/>
        <v/>
      </c>
      <c r="AL204" s="115" t="str">
        <f t="shared" si="35"/>
        <v/>
      </c>
      <c r="AM204" s="115" t="str">
        <f t="shared" si="36"/>
        <v/>
      </c>
      <c r="AN204" s="115" t="str">
        <f t="shared" si="37"/>
        <v/>
      </c>
      <c r="AO204" s="115" t="str">
        <f t="shared" si="38"/>
        <v/>
      </c>
      <c r="AP204" s="115" t="str">
        <f t="shared" si="39"/>
        <v/>
      </c>
      <c r="AQ204" s="115" t="str">
        <f t="shared" si="40"/>
        <v/>
      </c>
      <c r="AR204" s="115" t="str">
        <f t="shared" si="41"/>
        <v/>
      </c>
      <c r="AS204" s="115" t="str">
        <f t="shared" si="42"/>
        <v/>
      </c>
    </row>
    <row r="205" spans="1:45" outlineLevel="1">
      <c r="A205" s="138" t="s">
        <v>1734</v>
      </c>
      <c r="B205" s="139" t="s">
        <v>1733</v>
      </c>
      <c r="C205" s="118"/>
      <c r="D205" s="119" t="s">
        <v>753</v>
      </c>
      <c r="E205" s="119" t="s">
        <v>1124</v>
      </c>
      <c r="F205" s="119" t="s">
        <v>1123</v>
      </c>
      <c r="G205" s="119" t="s">
        <v>1122</v>
      </c>
      <c r="H205" s="119" t="s">
        <v>1121</v>
      </c>
      <c r="I205" s="119" t="s">
        <v>1120</v>
      </c>
      <c r="J205" s="119">
        <v>40</v>
      </c>
      <c r="K205" s="119" t="s">
        <v>371</v>
      </c>
      <c r="L205" s="119" t="s">
        <v>371</v>
      </c>
      <c r="M205" s="132" t="s">
        <v>1732</v>
      </c>
      <c r="N205" s="132" t="s">
        <v>1731</v>
      </c>
      <c r="O205" s="132"/>
      <c r="P205" s="132"/>
      <c r="Q205" s="118" t="s">
        <v>1730</v>
      </c>
      <c r="R205" s="118"/>
      <c r="S205" s="118"/>
      <c r="T205" s="118"/>
      <c r="U205" s="118"/>
      <c r="V205" s="132" t="s">
        <v>1729</v>
      </c>
      <c r="W205" s="118"/>
      <c r="X205" s="118"/>
      <c r="Y205" s="118"/>
      <c r="Z205" s="118"/>
      <c r="AA205" s="118"/>
      <c r="AB205" s="118"/>
      <c r="AC205" s="118"/>
      <c r="AD205" s="116" t="str">
        <f t="array" ref="AD205">IF(ISBLANK(AA205),,AA205&amp;("/"))&amp;IF(ISBLANK(Z205),,Z205&amp;("/"))&amp;IF(ISBLANK(Y205),,Y205&amp;("/"))&amp;IF(ISBLANK(X205),,X205&amp;("/"))&amp;IF(ISBLANK(W205),,W205&amp;("/"))&amp;IF(ISBLANK(V205),,V205&amp;("/"))&amp;IF(ISBLANK(U205),,U205&amp;("/"))&amp;IF(ISBLANK(T205),,T205&amp;("/"))&amp;IF(ISBLANK(S205),,S205&amp;("/"))&amp;IF(ISBLANK(R205),,R205&amp;("/"))&amp;IF(ISBLANK(Q205),,Q205&amp;("/"))&amp;IF(ISBLANK(P205),,P205&amp;("/"))&amp;IF(ISBLANK(O205),,O205&amp;("/"))&amp;IF(ISBLANK(N205),,N205&amp;("/"))&amp;IF(G205="-",M205,M205&amp;("_")&amp;MID(G205,1,1))</f>
        <v>UART7_TX_M0/SAI2_SDO_M0/ETH1_RXD1_M1/GPIO1_D0_d</v>
      </c>
      <c r="AE205" s="115" t="str">
        <f t="shared" si="43"/>
        <v>y</v>
      </c>
      <c r="AF205" s="115" t="str">
        <f t="shared" si="29"/>
        <v/>
      </c>
      <c r="AG205" s="115" t="str">
        <f t="shared" si="30"/>
        <v/>
      </c>
      <c r="AH205" s="115" t="str">
        <f t="shared" si="31"/>
        <v/>
      </c>
      <c r="AI205" s="115" t="str">
        <f t="shared" si="32"/>
        <v/>
      </c>
      <c r="AJ205" s="115" t="str">
        <f t="shared" si="33"/>
        <v/>
      </c>
      <c r="AK205" s="115" t="str">
        <f t="shared" si="34"/>
        <v/>
      </c>
      <c r="AL205" s="115" t="str">
        <f t="shared" si="35"/>
        <v/>
      </c>
      <c r="AM205" s="115" t="str">
        <f t="shared" si="36"/>
        <v/>
      </c>
      <c r="AN205" s="115" t="str">
        <f t="shared" si="37"/>
        <v/>
      </c>
      <c r="AO205" s="115" t="str">
        <f t="shared" si="38"/>
        <v/>
      </c>
      <c r="AP205" s="115" t="str">
        <f t="shared" si="39"/>
        <v/>
      </c>
      <c r="AQ205" s="115" t="str">
        <f t="shared" si="40"/>
        <v/>
      </c>
      <c r="AR205" s="115" t="str">
        <f t="shared" si="41"/>
        <v/>
      </c>
      <c r="AS205" s="115" t="str">
        <f t="shared" si="42"/>
        <v/>
      </c>
    </row>
    <row r="206" spans="1:45" ht="28.5" outlineLevel="1">
      <c r="A206" s="138" t="s">
        <v>1728</v>
      </c>
      <c r="B206" s="139" t="s">
        <v>4984</v>
      </c>
      <c r="C206" s="118"/>
      <c r="D206" s="119" t="s">
        <v>753</v>
      </c>
      <c r="E206" s="119" t="s">
        <v>1124</v>
      </c>
      <c r="F206" s="119" t="s">
        <v>1123</v>
      </c>
      <c r="G206" s="119" t="s">
        <v>1122</v>
      </c>
      <c r="H206" s="119" t="s">
        <v>1121</v>
      </c>
      <c r="I206" s="119" t="s">
        <v>1120</v>
      </c>
      <c r="J206" s="119">
        <v>40</v>
      </c>
      <c r="K206" s="119" t="s">
        <v>371</v>
      </c>
      <c r="L206" s="119" t="s">
        <v>371</v>
      </c>
      <c r="M206" s="132" t="s">
        <v>1727</v>
      </c>
      <c r="N206" s="132" t="s">
        <v>1726</v>
      </c>
      <c r="O206" s="132"/>
      <c r="P206" s="118"/>
      <c r="Q206" s="118" t="s">
        <v>1725</v>
      </c>
      <c r="R206" s="118"/>
      <c r="S206" s="118"/>
      <c r="T206" s="118"/>
      <c r="U206" s="118"/>
      <c r="V206" s="118" t="s">
        <v>1724</v>
      </c>
      <c r="W206" s="118"/>
      <c r="X206" s="118" t="s">
        <v>4967</v>
      </c>
      <c r="Y206" s="118"/>
      <c r="Z206" s="118"/>
      <c r="AA206" s="118" t="s">
        <v>1723</v>
      </c>
      <c r="AB206" s="118"/>
      <c r="AC206" s="118"/>
      <c r="AD206" s="116" t="str">
        <f t="array" ref="AD206">IF(ISBLANK(AA206),,AA206&amp;("/"))&amp;IF(ISBLANK(Z206),,Z206&amp;("/"))&amp;IF(ISBLANK(Y206),,Y206&amp;("/"))&amp;IF(ISBLANK(X206),,X206&amp;("/"))&amp;IF(ISBLANK(W206),,W206&amp;("/"))&amp;IF(ISBLANK(V206),,V206&amp;("/"))&amp;IF(ISBLANK(U206),,U206&amp;("/"))&amp;IF(ISBLANK(T206),,T206&amp;("/"))&amp;IF(ISBLANK(S206),,S206&amp;("/"))&amp;IF(ISBLANK(R206),,R206&amp;("/"))&amp;IF(ISBLANK(Q206),,Q206&amp;("/"))&amp;IF(ISBLANK(P206),,P206&amp;("/"))&amp;IF(ISBLANK(O206),,O206&amp;("/"))&amp;IF(ISBLANK(N206),,N206&amp;("/"))&amp;IF(G206="-",M206,M206&amp;("_")&amp;MID(G206,1,1))</f>
        <v>SATA1_CPPOD_M0/I3C_SDA_PU_M1/UART7_RX_M0/SAI2_SCLK_M0/ETH1_RXCTL_M1/GPIO1_D1_d</v>
      </c>
      <c r="AE206" s="115" t="str">
        <f t="shared" si="43"/>
        <v>y</v>
      </c>
      <c r="AF206" s="115" t="str">
        <f t="shared" si="29"/>
        <v/>
      </c>
      <c r="AG206" s="115" t="str">
        <f t="shared" si="30"/>
        <v/>
      </c>
      <c r="AH206" s="115" t="str">
        <f t="shared" si="31"/>
        <v/>
      </c>
      <c r="AI206" s="115" t="str">
        <f t="shared" si="32"/>
        <v/>
      </c>
      <c r="AJ206" s="115" t="str">
        <f t="shared" si="33"/>
        <v/>
      </c>
      <c r="AK206" s="115" t="str">
        <f t="shared" si="34"/>
        <v/>
      </c>
      <c r="AL206" s="115" t="str">
        <f t="shared" si="35"/>
        <v/>
      </c>
      <c r="AM206" s="115" t="str">
        <f t="shared" si="36"/>
        <v/>
      </c>
      <c r="AN206" s="115" t="str">
        <f t="shared" si="37"/>
        <v/>
      </c>
      <c r="AO206" s="115" t="str">
        <f t="shared" si="38"/>
        <v/>
      </c>
      <c r="AP206" s="115" t="str">
        <f t="shared" si="39"/>
        <v/>
      </c>
      <c r="AQ206" s="115" t="str">
        <f t="shared" si="40"/>
        <v/>
      </c>
      <c r="AR206" s="115" t="str">
        <f t="shared" si="41"/>
        <v/>
      </c>
      <c r="AS206" s="115" t="str">
        <f t="shared" si="42"/>
        <v/>
      </c>
    </row>
    <row r="207" spans="1:45" ht="28.5" outlineLevel="1">
      <c r="A207" s="138" t="s">
        <v>1722</v>
      </c>
      <c r="B207" s="139" t="s">
        <v>4985</v>
      </c>
      <c r="C207" s="118"/>
      <c r="D207" s="119" t="s">
        <v>753</v>
      </c>
      <c r="E207" s="119" t="s">
        <v>1124</v>
      </c>
      <c r="F207" s="119" t="s">
        <v>1123</v>
      </c>
      <c r="G207" s="119" t="s">
        <v>1122</v>
      </c>
      <c r="H207" s="119" t="s">
        <v>1121</v>
      </c>
      <c r="I207" s="119" t="s">
        <v>1120</v>
      </c>
      <c r="J207" s="119">
        <v>40</v>
      </c>
      <c r="K207" s="119" t="s">
        <v>371</v>
      </c>
      <c r="L207" s="119" t="s">
        <v>371</v>
      </c>
      <c r="M207" s="132" t="s">
        <v>1721</v>
      </c>
      <c r="N207" s="132" t="s">
        <v>1720</v>
      </c>
      <c r="O207" s="132"/>
      <c r="P207" s="132"/>
      <c r="Q207" s="132" t="s">
        <v>1719</v>
      </c>
      <c r="R207" s="132"/>
      <c r="S207" s="118"/>
      <c r="T207" s="118"/>
      <c r="U207" s="118"/>
      <c r="V207" s="132"/>
      <c r="W207" s="132"/>
      <c r="X207" s="132" t="s">
        <v>4983</v>
      </c>
      <c r="Y207" s="118" t="s">
        <v>1718</v>
      </c>
      <c r="Z207" s="118"/>
      <c r="AA207" s="118" t="s">
        <v>1717</v>
      </c>
      <c r="AB207" s="118"/>
      <c r="AC207" s="118"/>
      <c r="AD207" s="116" t="str">
        <f t="array" ref="AD207">IF(ISBLANK(AA207),,AA207&amp;("/"))&amp;IF(ISBLANK(Z207),,Z207&amp;("/"))&amp;IF(ISBLANK(Y207),,Y207&amp;("/"))&amp;IF(ISBLANK(X207),,X207&amp;("/"))&amp;IF(ISBLANK(W207),,W207&amp;("/"))&amp;IF(ISBLANK(V207),,V207&amp;("/"))&amp;IF(ISBLANK(U207),,U207&amp;("/"))&amp;IF(ISBLANK(T207),,T207&amp;("/"))&amp;IF(ISBLANK(S207),,S207&amp;("/"))&amp;IF(ISBLANK(R207),,R207&amp;("/"))&amp;IF(ISBLANK(Q207),,Q207&amp;("/"))&amp;IF(ISBLANK(P207),,P207&amp;("/"))&amp;IF(ISBLANK(O207),,O207&amp;("/"))&amp;IF(ISBLANK(N207),,N207&amp;("/"))&amp;IF(G207="-",M207,M207&amp;("_")&amp;MID(G207,1,1))</f>
        <v>SATA1_CPDET_M0/PWM1_CH3_M1/I3C_SCL_M1/SAI2_LRCK_M0/ETH1_MDC_M1/GPIO1_D2_d</v>
      </c>
      <c r="AE207" s="115" t="str">
        <f t="shared" si="43"/>
        <v>y</v>
      </c>
      <c r="AF207" s="115" t="str">
        <f t="shared" si="29"/>
        <v/>
      </c>
      <c r="AG207" s="115" t="str">
        <f t="shared" si="30"/>
        <v/>
      </c>
      <c r="AH207" s="115" t="str">
        <f t="shared" si="31"/>
        <v/>
      </c>
      <c r="AI207" s="115" t="str">
        <f t="shared" si="32"/>
        <v/>
      </c>
      <c r="AJ207" s="115" t="str">
        <f t="shared" si="33"/>
        <v/>
      </c>
      <c r="AK207" s="115" t="str">
        <f t="shared" si="34"/>
        <v/>
      </c>
      <c r="AL207" s="115" t="str">
        <f t="shared" si="35"/>
        <v/>
      </c>
      <c r="AM207" s="115" t="str">
        <f t="shared" si="36"/>
        <v/>
      </c>
      <c r="AN207" s="115" t="str">
        <f t="shared" si="37"/>
        <v/>
      </c>
      <c r="AO207" s="115" t="str">
        <f t="shared" si="38"/>
        <v/>
      </c>
      <c r="AP207" s="115" t="str">
        <f t="shared" si="39"/>
        <v/>
      </c>
      <c r="AQ207" s="115" t="str">
        <f t="shared" si="40"/>
        <v/>
      </c>
      <c r="AR207" s="115" t="str">
        <f t="shared" si="41"/>
        <v/>
      </c>
      <c r="AS207" s="115" t="str">
        <f t="shared" si="42"/>
        <v/>
      </c>
    </row>
    <row r="208" spans="1:45" ht="28.5" outlineLevel="1">
      <c r="A208" s="138" t="s">
        <v>1716</v>
      </c>
      <c r="B208" s="139" t="s">
        <v>4986</v>
      </c>
      <c r="C208" s="118"/>
      <c r="D208" s="119" t="s">
        <v>753</v>
      </c>
      <c r="E208" s="119" t="s">
        <v>1124</v>
      </c>
      <c r="F208" s="119" t="s">
        <v>1123</v>
      </c>
      <c r="G208" s="119" t="s">
        <v>1122</v>
      </c>
      <c r="H208" s="119" t="s">
        <v>1121</v>
      </c>
      <c r="I208" s="119" t="s">
        <v>1120</v>
      </c>
      <c r="J208" s="119">
        <v>40</v>
      </c>
      <c r="K208" s="119" t="s">
        <v>371</v>
      </c>
      <c r="L208" s="119" t="s">
        <v>371</v>
      </c>
      <c r="M208" s="132" t="s">
        <v>1715</v>
      </c>
      <c r="N208" s="132" t="s">
        <v>1714</v>
      </c>
      <c r="O208" s="132"/>
      <c r="P208" s="132"/>
      <c r="Q208" s="132" t="s">
        <v>1713</v>
      </c>
      <c r="R208" s="132"/>
      <c r="S208" s="118"/>
      <c r="T208" s="118"/>
      <c r="U208" s="118"/>
      <c r="V208" s="132"/>
      <c r="W208" s="132"/>
      <c r="X208" s="132" t="s">
        <v>4969</v>
      </c>
      <c r="Y208" s="118" t="s">
        <v>1712</v>
      </c>
      <c r="Z208" s="118"/>
      <c r="AA208" s="118" t="s">
        <v>1711</v>
      </c>
      <c r="AB208" s="118"/>
      <c r="AC208" s="118"/>
      <c r="AD208" s="116" t="str">
        <f t="array" ref="AD208">IF(ISBLANK(AA208),,AA208&amp;("/"))&amp;IF(ISBLANK(Z208),,Z208&amp;("/"))&amp;IF(ISBLANK(Y208),,Y208&amp;("/"))&amp;IF(ISBLANK(X208),,X208&amp;("/"))&amp;IF(ISBLANK(W208),,W208&amp;("/"))&amp;IF(ISBLANK(V208),,V208&amp;("/"))&amp;IF(ISBLANK(U208),,U208&amp;("/"))&amp;IF(ISBLANK(T208),,T208&amp;("/"))&amp;IF(ISBLANK(S208),,S208&amp;("/"))&amp;IF(ISBLANK(R208),,R208&amp;("/"))&amp;IF(ISBLANK(Q208),,Q208&amp;("/"))&amp;IF(ISBLANK(P208),,P208&amp;("/"))&amp;IF(ISBLANK(O208),,O208&amp;("/"))&amp;IF(ISBLANK(N208),,N208&amp;("/"))&amp;IF(G208="-",M208,M208&amp;("_")&amp;MID(G208,1,1))</f>
        <v>SATA1_MPSWIT_M0/PWM1_CH4_M1/I3C_SDA_M1/SAI2_SDI_M0/ETH1_MDIO_M1/GPIO1_D3_d</v>
      </c>
      <c r="AE208" s="115" t="str">
        <f t="shared" si="43"/>
        <v>y</v>
      </c>
      <c r="AF208" s="115" t="str">
        <f t="shared" si="29"/>
        <v/>
      </c>
      <c r="AG208" s="115" t="str">
        <f t="shared" si="30"/>
        <v/>
      </c>
      <c r="AH208" s="115" t="str">
        <f t="shared" si="31"/>
        <v/>
      </c>
      <c r="AI208" s="115" t="str">
        <f t="shared" si="32"/>
        <v/>
      </c>
      <c r="AJ208" s="115" t="str">
        <f t="shared" si="33"/>
        <v/>
      </c>
      <c r="AK208" s="115" t="str">
        <f t="shared" si="34"/>
        <v/>
      </c>
      <c r="AL208" s="115" t="str">
        <f t="shared" si="35"/>
        <v/>
      </c>
      <c r="AM208" s="115" t="str">
        <f t="shared" si="36"/>
        <v/>
      </c>
      <c r="AN208" s="115" t="str">
        <f t="shared" si="37"/>
        <v/>
      </c>
      <c r="AO208" s="115" t="str">
        <f t="shared" si="38"/>
        <v/>
      </c>
      <c r="AP208" s="115" t="str">
        <f t="shared" si="39"/>
        <v/>
      </c>
      <c r="AQ208" s="115" t="str">
        <f t="shared" si="40"/>
        <v/>
      </c>
      <c r="AR208" s="115" t="str">
        <f t="shared" si="41"/>
        <v/>
      </c>
      <c r="AS208" s="115" t="str">
        <f t="shared" si="42"/>
        <v/>
      </c>
    </row>
    <row r="209" spans="1:45" ht="28.5" outlineLevel="1">
      <c r="A209" s="138" t="s">
        <v>1710</v>
      </c>
      <c r="B209" s="139" t="s">
        <v>1709</v>
      </c>
      <c r="C209" s="118"/>
      <c r="D209" s="119" t="s">
        <v>753</v>
      </c>
      <c r="E209" s="119" t="s">
        <v>1124</v>
      </c>
      <c r="F209" s="119" t="s">
        <v>1123</v>
      </c>
      <c r="G209" s="119" t="s">
        <v>1122</v>
      </c>
      <c r="H209" s="119" t="s">
        <v>1121</v>
      </c>
      <c r="I209" s="119" t="s">
        <v>1120</v>
      </c>
      <c r="J209" s="119">
        <v>40</v>
      </c>
      <c r="K209" s="119" t="s">
        <v>371</v>
      </c>
      <c r="L209" s="119" t="s">
        <v>371</v>
      </c>
      <c r="M209" s="132" t="s">
        <v>1708</v>
      </c>
      <c r="N209" s="132" t="s">
        <v>1707</v>
      </c>
      <c r="O209" s="132" t="s">
        <v>1706</v>
      </c>
      <c r="P209" s="132"/>
      <c r="Q209" s="132" t="s">
        <v>1705</v>
      </c>
      <c r="R209" s="118" t="s">
        <v>1704</v>
      </c>
      <c r="S209" s="118"/>
      <c r="T209" s="118"/>
      <c r="U209" s="118"/>
      <c r="V209" s="132" t="s">
        <v>1703</v>
      </c>
      <c r="W209" s="132"/>
      <c r="X209" s="118" t="s">
        <v>1702</v>
      </c>
      <c r="Y209" s="118" t="s">
        <v>3473</v>
      </c>
      <c r="Z209" s="118"/>
      <c r="AA209" s="118"/>
      <c r="AB209" s="118"/>
      <c r="AC209" s="118"/>
      <c r="AD209" s="116" t="str">
        <f t="array" ref="AD209">IF(ISBLANK(AA209),,AA209&amp;("/"))&amp;IF(ISBLANK(Z209),,Z209&amp;("/"))&amp;IF(ISBLANK(Y209),,Y209&amp;("/"))&amp;IF(ISBLANK(X209),,X209&amp;("/"))&amp;IF(ISBLANK(W209),,W209&amp;("/"))&amp;IF(ISBLANK(V209),,V209&amp;("/"))&amp;IF(ISBLANK(U209),,U209&amp;("/"))&amp;IF(ISBLANK(T209),,T209&amp;("/"))&amp;IF(ISBLANK(S209),,S209&amp;("/"))&amp;IF(ISBLANK(R209),,R209&amp;("/"))&amp;IF(ISBLANK(Q209),,Q209&amp;("/"))&amp;IF(ISBLANK(P209),,P209&amp;("/"))&amp;IF(ISBLANK(O209),,O209&amp;("/"))&amp;IF(ISBLANK(N209),,N209&amp;("/"))&amp;IF(G209="-",M209,M209&amp;("_")&amp;MID(G209,1,1))</f>
        <v>PWM1_CH5_M3/I2C5_SCL_M1/UART7_RTSN_M0/PDM_SDI3_M2/SAI2_MCLK_M0/SPDIF_RX0_M1/ETH1_MCLK_M1/GPIO1_D4_d</v>
      </c>
      <c r="AE209" s="115" t="str">
        <f t="shared" si="43"/>
        <v>y</v>
      </c>
      <c r="AF209" s="115" t="str">
        <f t="shared" si="29"/>
        <v/>
      </c>
      <c r="AG209" s="115" t="str">
        <f t="shared" si="30"/>
        <v/>
      </c>
      <c r="AH209" s="115" t="str">
        <f t="shared" si="31"/>
        <v/>
      </c>
      <c r="AI209" s="115" t="str">
        <f t="shared" si="32"/>
        <v/>
      </c>
      <c r="AJ209" s="115" t="str">
        <f t="shared" si="33"/>
        <v/>
      </c>
      <c r="AK209" s="115" t="str">
        <f t="shared" si="34"/>
        <v/>
      </c>
      <c r="AL209" s="115" t="str">
        <f t="shared" si="35"/>
        <v/>
      </c>
      <c r="AM209" s="115" t="str">
        <f t="shared" si="36"/>
        <v/>
      </c>
      <c r="AN209" s="115" t="str">
        <f t="shared" si="37"/>
        <v/>
      </c>
      <c r="AO209" s="115" t="str">
        <f t="shared" si="38"/>
        <v/>
      </c>
      <c r="AP209" s="115" t="str">
        <f t="shared" si="39"/>
        <v/>
      </c>
      <c r="AQ209" s="115" t="str">
        <f t="shared" si="40"/>
        <v/>
      </c>
      <c r="AR209" s="115" t="str">
        <f t="shared" si="41"/>
        <v/>
      </c>
      <c r="AS209" s="115" t="str">
        <f t="shared" si="42"/>
        <v/>
      </c>
    </row>
    <row r="210" spans="1:45" ht="28.5" outlineLevel="1">
      <c r="A210" s="138" t="s">
        <v>1701</v>
      </c>
      <c r="B210" s="139" t="s">
        <v>1700</v>
      </c>
      <c r="C210" s="118"/>
      <c r="D210" s="119" t="s">
        <v>753</v>
      </c>
      <c r="E210" s="119" t="s">
        <v>1124</v>
      </c>
      <c r="F210" s="119" t="s">
        <v>1123</v>
      </c>
      <c r="G210" s="119" t="s">
        <v>1122</v>
      </c>
      <c r="H210" s="119" t="s">
        <v>1121</v>
      </c>
      <c r="I210" s="119" t="s">
        <v>1120</v>
      </c>
      <c r="J210" s="119">
        <v>40</v>
      </c>
      <c r="K210" s="119" t="s">
        <v>371</v>
      </c>
      <c r="L210" s="119" t="s">
        <v>371</v>
      </c>
      <c r="M210" s="132" t="s">
        <v>1699</v>
      </c>
      <c r="N210" s="132" t="s">
        <v>1698</v>
      </c>
      <c r="O210" s="132" t="s">
        <v>1697</v>
      </c>
      <c r="P210" s="132"/>
      <c r="Q210" s="132"/>
      <c r="R210" s="132" t="s">
        <v>1696</v>
      </c>
      <c r="S210" s="118"/>
      <c r="T210" s="118"/>
      <c r="U210" s="118"/>
      <c r="V210" s="132" t="s">
        <v>1695</v>
      </c>
      <c r="W210" s="132" t="s">
        <v>1694</v>
      </c>
      <c r="X210" s="132" t="s">
        <v>1693</v>
      </c>
      <c r="Y210" s="118"/>
      <c r="Z210" s="118" t="s">
        <v>1692</v>
      </c>
      <c r="AA210" s="118" t="s">
        <v>1691</v>
      </c>
      <c r="AB210" s="118"/>
      <c r="AC210" s="118"/>
      <c r="AD210" s="116" t="str">
        <f t="array" ref="AD210">IF(ISBLANK(AA210),,AA210&amp;("/"))&amp;IF(ISBLANK(Z210),,Z210&amp;("/"))&amp;IF(ISBLANK(Y210),,Y210&amp;("/"))&amp;IF(ISBLANK(X210),,X210&amp;("/"))&amp;IF(ISBLANK(W210),,W210&amp;("/"))&amp;IF(ISBLANK(V210),,V210&amp;("/"))&amp;IF(ISBLANK(U210),,U210&amp;("/"))&amp;IF(ISBLANK(T210),,T210&amp;("/"))&amp;IF(ISBLANK(S210),,S210&amp;("/"))&amp;IF(ISBLANK(R210),,R210&amp;("/"))&amp;IF(ISBLANK(Q210),,Q210&amp;("/"))&amp;IF(ISBLANK(P210),,P210&amp;("/"))&amp;IF(ISBLANK(O210),,O210&amp;("/"))&amp;IF(ISBLANK(N210),,N210&amp;("/"))&amp;IF(G210="-",M210,M210&amp;("_")&amp;MID(G210,1,1))</f>
        <v>CLK1_32K_OUT/CAN3_TX_M0/I2C5_SDA_M1/SPI2_CLK_M1/UART7_CTSN_M0/PDM_CLK1_M2/SPDIF_TX0_M1/ETH_CLK1_25M_OUT_M1/GPIO1_D5_d</v>
      </c>
      <c r="AE210" s="115" t="str">
        <f t="shared" si="43"/>
        <v>y</v>
      </c>
      <c r="AF210" s="115" t="str">
        <f t="shared" si="29"/>
        <v/>
      </c>
      <c r="AG210" s="115" t="str">
        <f t="shared" si="30"/>
        <v/>
      </c>
      <c r="AH210" s="115" t="str">
        <f t="shared" si="31"/>
        <v/>
      </c>
      <c r="AI210" s="115" t="str">
        <f t="shared" si="32"/>
        <v/>
      </c>
      <c r="AJ210" s="115" t="str">
        <f t="shared" si="33"/>
        <v/>
      </c>
      <c r="AK210" s="115" t="str">
        <f t="shared" si="34"/>
        <v/>
      </c>
      <c r="AL210" s="115" t="str">
        <f t="shared" si="35"/>
        <v/>
      </c>
      <c r="AM210" s="115" t="str">
        <f t="shared" si="36"/>
        <v/>
      </c>
      <c r="AN210" s="115" t="str">
        <f t="shared" si="37"/>
        <v/>
      </c>
      <c r="AO210" s="115" t="str">
        <f t="shared" si="38"/>
        <v/>
      </c>
      <c r="AP210" s="115" t="str">
        <f t="shared" si="39"/>
        <v/>
      </c>
      <c r="AQ210" s="115" t="str">
        <f t="shared" si="40"/>
        <v/>
      </c>
      <c r="AR210" s="115" t="str">
        <f t="shared" si="41"/>
        <v/>
      </c>
      <c r="AS210" s="115" t="str">
        <f t="shared" si="42"/>
        <v/>
      </c>
    </row>
    <row r="211" spans="1:45" ht="28.5" outlineLevel="1">
      <c r="A211" s="138" t="s">
        <v>1690</v>
      </c>
      <c r="B211" s="139" t="s">
        <v>1689</v>
      </c>
      <c r="C211" s="118"/>
      <c r="D211" s="119" t="s">
        <v>753</v>
      </c>
      <c r="E211" s="119" t="s">
        <v>1124</v>
      </c>
      <c r="F211" s="119" t="s">
        <v>1123</v>
      </c>
      <c r="G211" s="119" t="s">
        <v>1122</v>
      </c>
      <c r="H211" s="119" t="s">
        <v>3460</v>
      </c>
      <c r="I211" s="119" t="s">
        <v>3461</v>
      </c>
      <c r="J211" s="119">
        <v>40</v>
      </c>
      <c r="K211" s="119" t="s">
        <v>371</v>
      </c>
      <c r="L211" s="119" t="s">
        <v>371</v>
      </c>
      <c r="M211" s="132" t="s">
        <v>1688</v>
      </c>
      <c r="N211" s="132" t="s">
        <v>1687</v>
      </c>
      <c r="O211" s="132" t="s">
        <v>1686</v>
      </c>
      <c r="P211" s="132"/>
      <c r="Q211" s="132"/>
      <c r="R211" s="132"/>
      <c r="S211" s="118"/>
      <c r="T211" s="118"/>
      <c r="U211" s="118"/>
      <c r="V211" s="132"/>
      <c r="W211" s="132"/>
      <c r="X211" s="132"/>
      <c r="Y211" s="118" t="s">
        <v>1685</v>
      </c>
      <c r="Z211" s="118" t="s">
        <v>1684</v>
      </c>
      <c r="AA211" s="118" t="s">
        <v>1683</v>
      </c>
      <c r="AB211" s="118"/>
      <c r="AC211" s="118"/>
      <c r="AD211" s="116" t="str">
        <f t="array" ref="AD211">IF(ISBLANK(AA211),,AA211&amp;("/"))&amp;IF(ISBLANK(Z211),,Z211&amp;("/"))&amp;IF(ISBLANK(Y211),,Y211&amp;("/"))&amp;IF(ISBLANK(X211),,X211&amp;("/"))&amp;IF(ISBLANK(W211),,W211&amp;("/"))&amp;IF(ISBLANK(V211),,V211&amp;("/"))&amp;IF(ISBLANK(U211),,U211&amp;("/"))&amp;IF(ISBLANK(T211),,T211&amp;("/"))&amp;IF(ISBLANK(S211),,S211&amp;("/"))&amp;IF(ISBLANK(R211),,R211&amp;("/"))&amp;IF(ISBLANK(Q211),,Q211&amp;("/"))&amp;IF(ISBLANK(P211),,P211&amp;("/"))&amp;IF(ISBLANK(O211),,O211&amp;("/"))&amp;IF(ISBLANK(N211),,N211&amp;("/"))&amp;IF(G211="-",M211,M211&amp;("_")&amp;MID(G211,1,1))</f>
        <v>SATA0_MPSWIT_M0/CAN3_RX_M0/PWM1_CH2_M1/SPDIF_TX1_M1/ETH1_PTP_REFCLK_M1/GPIO1_D6_d</v>
      </c>
      <c r="AE211" s="115" t="str">
        <f t="shared" si="43"/>
        <v>y</v>
      </c>
    </row>
    <row r="212" spans="1:45" outlineLevel="1">
      <c r="A212" s="120" t="s">
        <v>1682</v>
      </c>
      <c r="B212" s="126" t="s">
        <v>270</v>
      </c>
      <c r="C212" s="167"/>
      <c r="D212" s="120" t="s">
        <v>1111</v>
      </c>
      <c r="E212" s="120" t="s">
        <v>1524</v>
      </c>
      <c r="F212" s="120" t="s">
        <v>753</v>
      </c>
      <c r="G212" s="120" t="s">
        <v>753</v>
      </c>
      <c r="H212" s="120" t="s">
        <v>753</v>
      </c>
      <c r="I212" s="120" t="s">
        <v>753</v>
      </c>
      <c r="J212" s="120" t="s">
        <v>753</v>
      </c>
      <c r="K212" s="120" t="s">
        <v>753</v>
      </c>
      <c r="L212" s="120" t="s">
        <v>753</v>
      </c>
      <c r="M212" s="126"/>
      <c r="N212" s="126"/>
      <c r="O212" s="126"/>
      <c r="P212" s="126"/>
      <c r="Q212" s="126"/>
      <c r="R212" s="126"/>
      <c r="S212" s="126"/>
      <c r="T212" s="126"/>
      <c r="U212" s="126"/>
      <c r="V212" s="126"/>
      <c r="W212" s="126"/>
      <c r="X212" s="126"/>
      <c r="Y212" s="126"/>
      <c r="Z212" s="126"/>
      <c r="AA212" s="126"/>
      <c r="AB212" s="126"/>
      <c r="AC212" s="126"/>
      <c r="AF212" s="115" t="str">
        <f t="shared" ref="AF212:AF243" si="44">IF(ISNUMBER(FIND(N212,$B212)),"",N212)</f>
        <v/>
      </c>
      <c r="AG212" s="115" t="str">
        <f t="shared" ref="AG212:AG243" si="45">IF(ISNUMBER(FIND(O212,$B212)),"",O212)</f>
        <v/>
      </c>
      <c r="AH212" s="115" t="str">
        <f t="shared" ref="AH212:AH243" si="46">IF(ISNUMBER(FIND(P212,$B212)),"",P212)</f>
        <v/>
      </c>
      <c r="AI212" s="115" t="str">
        <f t="shared" ref="AI212:AI243" si="47">IF(ISNUMBER(FIND(Q212,$B212)),"",Q212)</f>
        <v/>
      </c>
      <c r="AJ212" s="115" t="str">
        <f t="shared" ref="AJ212:AJ243" si="48">IF(ISNUMBER(FIND(R212,$B212)),"",R212)</f>
        <v/>
      </c>
      <c r="AK212" s="115" t="str">
        <f t="shared" ref="AK212:AK243" si="49">IF(ISNUMBER(FIND(S212,$B212)),"",S212)</f>
        <v/>
      </c>
      <c r="AL212" s="115" t="str">
        <f t="shared" ref="AL212:AL243" si="50">IF(ISNUMBER(FIND(T212,$B212)),"",T212)</f>
        <v/>
      </c>
      <c r="AM212" s="115" t="str">
        <f t="shared" ref="AM212:AM243" si="51">IF(ISNUMBER(FIND(U212,$B212)),"",U212)</f>
        <v/>
      </c>
      <c r="AN212" s="115" t="str">
        <f t="shared" ref="AN212:AN243" si="52">IF(ISNUMBER(FIND(V212,$B212)),"",V212)</f>
        <v/>
      </c>
      <c r="AO212" s="115" t="str">
        <f t="shared" ref="AO212:AO243" si="53">IF(ISNUMBER(FIND(W212,$B212)),"",W212)</f>
        <v/>
      </c>
      <c r="AP212" s="115" t="str">
        <f t="shared" ref="AP212:AP243" si="54">IF(ISNUMBER(FIND(X212,$B212)),"",X212)</f>
        <v/>
      </c>
      <c r="AQ212" s="115" t="str">
        <f t="shared" ref="AQ212:AQ243" si="55">IF(ISNUMBER(FIND(Y212,$B212)),"",Y212)</f>
        <v/>
      </c>
      <c r="AR212" s="115" t="str">
        <f t="shared" ref="AR212:AR243" si="56">IF(ISNUMBER(FIND(Z212,$B212)),"",Z212)</f>
        <v/>
      </c>
      <c r="AS212" s="115" t="str">
        <f t="shared" ref="AS212:AS243" si="57">IF(ISNUMBER(FIND(AA212,$B212)),"",AA212)</f>
        <v/>
      </c>
    </row>
    <row r="213" spans="1:45">
      <c r="A213" s="131" t="s">
        <v>1681</v>
      </c>
      <c r="B213" s="130"/>
      <c r="C213" s="136"/>
      <c r="D213" s="129"/>
      <c r="E213" s="129"/>
      <c r="F213" s="129"/>
      <c r="G213" s="129"/>
      <c r="H213" s="129"/>
      <c r="I213" s="129"/>
      <c r="J213" s="129"/>
      <c r="K213" s="129"/>
      <c r="L213" s="129"/>
      <c r="M213" s="133"/>
      <c r="N213" s="136"/>
      <c r="O213" s="136"/>
      <c r="P213" s="136"/>
      <c r="Q213" s="136"/>
      <c r="R213" s="136"/>
      <c r="S213" s="136"/>
      <c r="T213" s="136"/>
      <c r="U213" s="136"/>
      <c r="V213" s="136"/>
      <c r="W213" s="136"/>
      <c r="X213" s="136"/>
      <c r="Y213" s="136"/>
      <c r="Z213" s="136"/>
      <c r="AA213" s="136"/>
      <c r="AB213" s="136"/>
      <c r="AC213" s="136"/>
      <c r="AF213" s="115" t="str">
        <f t="shared" si="44"/>
        <v/>
      </c>
      <c r="AG213" s="115" t="str">
        <f t="shared" si="45"/>
        <v/>
      </c>
      <c r="AH213" s="115" t="str">
        <f t="shared" si="46"/>
        <v/>
      </c>
      <c r="AI213" s="115" t="str">
        <f t="shared" si="47"/>
        <v/>
      </c>
      <c r="AJ213" s="115" t="str">
        <f t="shared" si="48"/>
        <v/>
      </c>
      <c r="AK213" s="115" t="str">
        <f t="shared" si="49"/>
        <v/>
      </c>
      <c r="AL213" s="115" t="str">
        <f t="shared" si="50"/>
        <v/>
      </c>
      <c r="AM213" s="115" t="str">
        <f t="shared" si="51"/>
        <v/>
      </c>
      <c r="AN213" s="115" t="str">
        <f t="shared" si="52"/>
        <v/>
      </c>
      <c r="AO213" s="115" t="str">
        <f t="shared" si="53"/>
        <v/>
      </c>
      <c r="AP213" s="115" t="str">
        <f t="shared" si="54"/>
        <v/>
      </c>
      <c r="AQ213" s="115" t="str">
        <f t="shared" si="55"/>
        <v/>
      </c>
      <c r="AR213" s="115" t="str">
        <f t="shared" si="56"/>
        <v/>
      </c>
      <c r="AS213" s="115" t="str">
        <f t="shared" si="57"/>
        <v/>
      </c>
    </row>
    <row r="214" spans="1:45" ht="28.5" outlineLevel="1">
      <c r="A214" s="138" t="s">
        <v>1680</v>
      </c>
      <c r="B214" s="139" t="s">
        <v>1679</v>
      </c>
      <c r="C214" s="118"/>
      <c r="D214" s="119" t="s">
        <v>753</v>
      </c>
      <c r="E214" s="119" t="s">
        <v>1124</v>
      </c>
      <c r="F214" s="119" t="s">
        <v>1123</v>
      </c>
      <c r="G214" s="119" t="s">
        <v>1122</v>
      </c>
      <c r="H214" s="119" t="s">
        <v>1121</v>
      </c>
      <c r="I214" s="119" t="s">
        <v>1120</v>
      </c>
      <c r="J214" s="119">
        <v>40</v>
      </c>
      <c r="K214" s="119" t="s">
        <v>371</v>
      </c>
      <c r="L214" s="119" t="s">
        <v>371</v>
      </c>
      <c r="M214" s="132" t="s">
        <v>1678</v>
      </c>
      <c r="N214" s="118" t="s">
        <v>1677</v>
      </c>
      <c r="O214" s="118" t="s">
        <v>1676</v>
      </c>
      <c r="P214" s="118" t="s">
        <v>1675</v>
      </c>
      <c r="Q214" s="118" t="s">
        <v>1674</v>
      </c>
      <c r="R214" s="118" t="s">
        <v>1673</v>
      </c>
      <c r="S214" s="118" t="s">
        <v>1672</v>
      </c>
      <c r="T214" s="118"/>
      <c r="U214" s="118"/>
      <c r="V214" s="118" t="s">
        <v>1671</v>
      </c>
      <c r="W214" s="118"/>
      <c r="X214" s="118" t="s">
        <v>1670</v>
      </c>
      <c r="Y214" s="118" t="s">
        <v>1669</v>
      </c>
      <c r="Z214" s="118"/>
      <c r="AA214" s="118"/>
      <c r="AB214" s="118"/>
      <c r="AC214" s="118"/>
      <c r="AD214" s="116" t="str">
        <f t="array" ref="AD214">IF(ISBLANK(AA214),,AA214&amp;("/"))&amp;IF(ISBLANK(Z214),,Z214&amp;("/"))&amp;IF(ISBLANK(Y214),,Y214&amp;("/"))&amp;IF(ISBLANK(X214),,X214&amp;("/"))&amp;IF(ISBLANK(W214),,W214&amp;("/"))&amp;IF(ISBLANK(V214),,V214&amp;("/"))&amp;IF(ISBLANK(U214),,U214&amp;("/"))&amp;IF(ISBLANK(T214),,T214&amp;("/"))&amp;IF(ISBLANK(S214),,S214&amp;("/"))&amp;IF(ISBLANK(R214),,R214&amp;("/"))&amp;IF(ISBLANK(Q214),,Q214&amp;("/"))&amp;IF(ISBLANK(P214),,P214&amp;("/"))&amp;IF(ISBLANK(O214),,O214&amp;("/"))&amp;IF(ISBLANK(N214),,N214&amp;("/"))&amp;IF(G214="-",M214,M214&amp;("_")&amp;MID(G214,1,1))</f>
        <v>PWM2_CH4_M2/I2C8_SCL_M2/UART10_TX_M1/VI_CIF_D7/PDM_SDI0_M3/SAI0_SDI2_M0/SDMMC0_D0_M1/FSPI1_D7_M1/ETH_CLK0_25M_OUT/GPIO2_C4_d</v>
      </c>
      <c r="AE214" s="115" t="str">
        <f t="shared" si="43"/>
        <v>y</v>
      </c>
      <c r="AF214" s="115" t="str">
        <f t="shared" si="44"/>
        <v/>
      </c>
      <c r="AG214" s="115" t="str">
        <f t="shared" si="45"/>
        <v/>
      </c>
      <c r="AH214" s="115" t="str">
        <f t="shared" si="46"/>
        <v/>
      </c>
      <c r="AI214" s="115" t="str">
        <f t="shared" si="47"/>
        <v/>
      </c>
      <c r="AJ214" s="115" t="str">
        <f t="shared" si="48"/>
        <v/>
      </c>
      <c r="AK214" s="115" t="str">
        <f t="shared" si="49"/>
        <v/>
      </c>
      <c r="AL214" s="115" t="str">
        <f t="shared" si="50"/>
        <v/>
      </c>
      <c r="AM214" s="115" t="str">
        <f t="shared" si="51"/>
        <v/>
      </c>
      <c r="AN214" s="115" t="str">
        <f t="shared" si="52"/>
        <v/>
      </c>
      <c r="AO214" s="115" t="str">
        <f t="shared" si="53"/>
        <v/>
      </c>
      <c r="AP214" s="115" t="str">
        <f t="shared" si="54"/>
        <v/>
      </c>
      <c r="AQ214" s="115" t="str">
        <f t="shared" si="55"/>
        <v/>
      </c>
      <c r="AR214" s="115" t="str">
        <f t="shared" si="56"/>
        <v/>
      </c>
      <c r="AS214" s="115" t="str">
        <f t="shared" si="57"/>
        <v/>
      </c>
    </row>
    <row r="215" spans="1:45" ht="28.5" outlineLevel="1">
      <c r="A215" s="138" t="s">
        <v>1668</v>
      </c>
      <c r="B215" s="139" t="s">
        <v>1667</v>
      </c>
      <c r="C215" s="118"/>
      <c r="D215" s="119" t="s">
        <v>753</v>
      </c>
      <c r="E215" s="119" t="s">
        <v>1124</v>
      </c>
      <c r="F215" s="119" t="s">
        <v>1123</v>
      </c>
      <c r="G215" s="119" t="s">
        <v>1122</v>
      </c>
      <c r="H215" s="119" t="s">
        <v>1121</v>
      </c>
      <c r="I215" s="119" t="s">
        <v>1120</v>
      </c>
      <c r="J215" s="119">
        <v>40</v>
      </c>
      <c r="K215" s="119" t="s">
        <v>371</v>
      </c>
      <c r="L215" s="119" t="s">
        <v>371</v>
      </c>
      <c r="M215" s="132" t="s">
        <v>1666</v>
      </c>
      <c r="N215" s="118" t="s">
        <v>1665</v>
      </c>
      <c r="O215" s="118" t="s">
        <v>1664</v>
      </c>
      <c r="P215" s="118" t="s">
        <v>1663</v>
      </c>
      <c r="Q215" s="118" t="s">
        <v>1662</v>
      </c>
      <c r="R215" s="118" t="s">
        <v>1661</v>
      </c>
      <c r="S215" s="118" t="s">
        <v>1660</v>
      </c>
      <c r="T215" s="118"/>
      <c r="U215" s="118"/>
      <c r="V215" s="118" t="s">
        <v>1659</v>
      </c>
      <c r="W215" s="118"/>
      <c r="X215" s="118" t="s">
        <v>1658</v>
      </c>
      <c r="Y215" s="118" t="s">
        <v>1657</v>
      </c>
      <c r="Z215" s="118"/>
      <c r="AA215" s="118"/>
      <c r="AB215" s="118"/>
      <c r="AC215" s="118"/>
      <c r="AD215" s="116" t="str">
        <f t="array" ref="AD215">IF(ISBLANK(AA215),,AA215&amp;("/"))&amp;IF(ISBLANK(Z215),,Z215&amp;("/"))&amp;IF(ISBLANK(Y215),,Y215&amp;("/"))&amp;IF(ISBLANK(X215),,X215&amp;("/"))&amp;IF(ISBLANK(W215),,W215&amp;("/"))&amp;IF(ISBLANK(V215),,V215&amp;("/"))&amp;IF(ISBLANK(U215),,U215&amp;("/"))&amp;IF(ISBLANK(T215),,T215&amp;("/"))&amp;IF(ISBLANK(S215),,S215&amp;("/"))&amp;IF(ISBLANK(R215),,R215&amp;("/"))&amp;IF(ISBLANK(Q215),,Q215&amp;("/"))&amp;IF(ISBLANK(P215),,P215&amp;("/"))&amp;IF(ISBLANK(O215),,O215&amp;("/"))&amp;IF(ISBLANK(N215),,N215&amp;("/"))&amp;IF(G215="-",M215,M215&amp;("_")&amp;MID(G215,1,1))</f>
        <v>PWM2_CH5_M2/I2C8_SDA_M2/UART10_RX_M1/VI_CIF_D6/PDM_CLK0_M3/SAI0_SDI1_M0/SDMMC0_D1_M1/FSPI1_D6_M1/ETH0_MDIO/GPIO2_C5_d</v>
      </c>
      <c r="AE215" s="115" t="str">
        <f t="shared" si="43"/>
        <v>y</v>
      </c>
      <c r="AF215" s="115" t="str">
        <f t="shared" si="44"/>
        <v/>
      </c>
      <c r="AG215" s="115" t="str">
        <f t="shared" si="45"/>
        <v/>
      </c>
      <c r="AH215" s="115" t="str">
        <f t="shared" si="46"/>
        <v/>
      </c>
      <c r="AI215" s="115" t="str">
        <f t="shared" si="47"/>
        <v/>
      </c>
      <c r="AJ215" s="115" t="str">
        <f t="shared" si="48"/>
        <v/>
      </c>
      <c r="AK215" s="115" t="str">
        <f t="shared" si="49"/>
        <v/>
      </c>
      <c r="AL215" s="115" t="str">
        <f t="shared" si="50"/>
        <v/>
      </c>
      <c r="AM215" s="115" t="str">
        <f t="shared" si="51"/>
        <v/>
      </c>
      <c r="AN215" s="115" t="str">
        <f t="shared" si="52"/>
        <v/>
      </c>
      <c r="AO215" s="115" t="str">
        <f t="shared" si="53"/>
        <v/>
      </c>
      <c r="AP215" s="115" t="str">
        <f t="shared" si="54"/>
        <v/>
      </c>
      <c r="AQ215" s="115" t="str">
        <f t="shared" si="55"/>
        <v/>
      </c>
      <c r="AR215" s="115" t="str">
        <f t="shared" si="56"/>
        <v/>
      </c>
      <c r="AS215" s="115" t="str">
        <f t="shared" si="57"/>
        <v/>
      </c>
    </row>
    <row r="216" spans="1:45" ht="42.75" outlineLevel="1">
      <c r="A216" s="138" t="s">
        <v>1656</v>
      </c>
      <c r="B216" s="139" t="s">
        <v>1655</v>
      </c>
      <c r="C216" s="118"/>
      <c r="D216" s="119" t="s">
        <v>753</v>
      </c>
      <c r="E216" s="119" t="s">
        <v>1124</v>
      </c>
      <c r="F216" s="119" t="s">
        <v>1123</v>
      </c>
      <c r="G216" s="119" t="s">
        <v>1122</v>
      </c>
      <c r="H216" s="119" t="s">
        <v>1121</v>
      </c>
      <c r="I216" s="119" t="s">
        <v>1120</v>
      </c>
      <c r="J216" s="119">
        <v>40</v>
      </c>
      <c r="K216" s="119" t="s">
        <v>371</v>
      </c>
      <c r="L216" s="119" t="s">
        <v>371</v>
      </c>
      <c r="M216" s="132" t="s">
        <v>1654</v>
      </c>
      <c r="N216" s="118" t="s">
        <v>1653</v>
      </c>
      <c r="O216" s="118" t="s">
        <v>1652</v>
      </c>
      <c r="P216" s="118" t="s">
        <v>1651</v>
      </c>
      <c r="Q216" s="118" t="s">
        <v>1650</v>
      </c>
      <c r="R216" s="118" t="s">
        <v>1649</v>
      </c>
      <c r="S216" s="118" t="s">
        <v>1648</v>
      </c>
      <c r="T216" s="118"/>
      <c r="U216" s="118"/>
      <c r="V216" s="118" t="s">
        <v>1647</v>
      </c>
      <c r="W216" s="118" t="s">
        <v>1646</v>
      </c>
      <c r="X216" s="118" t="s">
        <v>1645</v>
      </c>
      <c r="Y216" s="118" t="s">
        <v>1644</v>
      </c>
      <c r="Z216" s="118"/>
      <c r="AA216" s="118"/>
      <c r="AB216" s="118"/>
      <c r="AC216" s="118"/>
      <c r="AD216" s="116" t="str">
        <f t="array" ref="AD216">IF(ISBLANK(AA216),,AA216&amp;("/"))&amp;IF(ISBLANK(Z216),,Z216&amp;("/"))&amp;IF(ISBLANK(Y216),,Y216&amp;("/"))&amp;IF(ISBLANK(X216),,X216&amp;("/"))&amp;IF(ISBLANK(W216),,W216&amp;("/"))&amp;IF(ISBLANK(V216),,V216&amp;("/"))&amp;IF(ISBLANK(U216),,U216&amp;("/"))&amp;IF(ISBLANK(T216),,T216&amp;("/"))&amp;IF(ISBLANK(S216),,S216&amp;("/"))&amp;IF(ISBLANK(R216),,R216&amp;("/"))&amp;IF(ISBLANK(Q216),,Q216&amp;("/"))&amp;IF(ISBLANK(P216),,P216&amp;("/"))&amp;IF(ISBLANK(O216),,O216&amp;("/"))&amp;IF(ISBLANK(N216),,N216&amp;("/"))&amp;IF(G216="-",M216,M216&amp;("_")&amp;MID(G216,1,1))</f>
        <v>UART11_TX_M2/I2C9_SDA_M2/SPI3_CSN1_M0/UART10_CTSN_M1/VI_CIF_D5/PDM_SDI1_M3/SAI0_SDO1_M0/SDMMC0_D2_M1/FSPI1_D5_M1/ETH0_MDC/GPIO2_C6_d</v>
      </c>
      <c r="AE216" s="115" t="str">
        <f t="shared" si="43"/>
        <v>y</v>
      </c>
      <c r="AF216" s="115" t="str">
        <f t="shared" si="44"/>
        <v/>
      </c>
      <c r="AG216" s="115" t="str">
        <f t="shared" si="45"/>
        <v/>
      </c>
      <c r="AH216" s="115" t="str">
        <f t="shared" si="46"/>
        <v/>
      </c>
      <c r="AI216" s="115" t="str">
        <f t="shared" si="47"/>
        <v/>
      </c>
      <c r="AJ216" s="115" t="str">
        <f t="shared" si="48"/>
        <v/>
      </c>
      <c r="AK216" s="115" t="str">
        <f t="shared" si="49"/>
        <v/>
      </c>
      <c r="AL216" s="115" t="str">
        <f t="shared" si="50"/>
        <v/>
      </c>
      <c r="AM216" s="115" t="str">
        <f t="shared" si="51"/>
        <v/>
      </c>
      <c r="AN216" s="115" t="str">
        <f t="shared" si="52"/>
        <v/>
      </c>
      <c r="AO216" s="115" t="str">
        <f t="shared" si="53"/>
        <v/>
      </c>
      <c r="AP216" s="115" t="str">
        <f t="shared" si="54"/>
        <v/>
      </c>
      <c r="AQ216" s="115" t="str">
        <f t="shared" si="55"/>
        <v/>
      </c>
      <c r="AR216" s="115" t="str">
        <f t="shared" si="56"/>
        <v/>
      </c>
      <c r="AS216" s="115" t="str">
        <f t="shared" si="57"/>
        <v/>
      </c>
    </row>
    <row r="217" spans="1:45" ht="42.75" outlineLevel="1">
      <c r="A217" s="138" t="s">
        <v>1643</v>
      </c>
      <c r="B217" s="139" t="s">
        <v>1642</v>
      </c>
      <c r="C217" s="118"/>
      <c r="D217" s="119" t="s">
        <v>753</v>
      </c>
      <c r="E217" s="119" t="s">
        <v>1124</v>
      </c>
      <c r="F217" s="119" t="s">
        <v>1123</v>
      </c>
      <c r="G217" s="119" t="s">
        <v>1122</v>
      </c>
      <c r="H217" s="119" t="s">
        <v>1121</v>
      </c>
      <c r="I217" s="119" t="s">
        <v>1120</v>
      </c>
      <c r="J217" s="119">
        <v>40</v>
      </c>
      <c r="K217" s="119" t="s">
        <v>371</v>
      </c>
      <c r="L217" s="119" t="s">
        <v>371</v>
      </c>
      <c r="M217" s="132" t="s">
        <v>1641</v>
      </c>
      <c r="N217" s="118" t="s">
        <v>1640</v>
      </c>
      <c r="O217" s="118" t="s">
        <v>1639</v>
      </c>
      <c r="P217" s="118" t="s">
        <v>1638</v>
      </c>
      <c r="Q217" s="118" t="s">
        <v>1637</v>
      </c>
      <c r="R217" s="118" t="s">
        <v>1636</v>
      </c>
      <c r="S217" s="118" t="s">
        <v>1635</v>
      </c>
      <c r="T217" s="118"/>
      <c r="U217" s="118"/>
      <c r="V217" s="118" t="s">
        <v>1634</v>
      </c>
      <c r="W217" s="118" t="s">
        <v>1633</v>
      </c>
      <c r="X217" s="118" t="s">
        <v>1632</v>
      </c>
      <c r="Y217" s="118" t="s">
        <v>1631</v>
      </c>
      <c r="Z217" s="118" t="s">
        <v>1630</v>
      </c>
      <c r="AA217" s="118"/>
      <c r="AB217" s="118"/>
      <c r="AC217" s="118"/>
      <c r="AD217" s="116" t="str">
        <f t="array" ref="AD217">IF(ISBLANK(AA217),,AA217&amp;("/"))&amp;IF(ISBLANK(Z217),,Z217&amp;("/"))&amp;IF(ISBLANK(Y217),,Y217&amp;("/"))&amp;IF(ISBLANK(X217),,X217&amp;("/"))&amp;IF(ISBLANK(W217),,W217&amp;("/"))&amp;IF(ISBLANK(V217),,V217&amp;("/"))&amp;IF(ISBLANK(U217),,U217&amp;("/"))&amp;IF(ISBLANK(T217),,T217&amp;("/"))&amp;IF(ISBLANK(S217),,S217&amp;("/"))&amp;IF(ISBLANK(R217),,R217&amp;("/"))&amp;IF(ISBLANK(Q217),,Q217&amp;("/"))&amp;IF(ISBLANK(P217),,P217&amp;("/"))&amp;IF(ISBLANK(O217),,O217&amp;("/"))&amp;IF(ISBLANK(N217),,N217&amp;("/"))&amp;IF(G217="-",M217,M217&amp;("_")&amp;MID(G217,1,1))</f>
        <v>ISP_PRELIGHT_TRIG_M0/UART11_RX_M2/I2C9_SCL_M2/SPI1_CSN1_M1/UART10_RTSN_M1/VI_CIF_D4/PDM_CLK1_M3/SAI0_MCLK_M0/SDMMC0_D3_M1/FSPI1_D4_M1/ETH0_RXCTL/GPIO2_C7_d</v>
      </c>
      <c r="AE217" s="115" t="str">
        <f t="shared" si="43"/>
        <v>y</v>
      </c>
      <c r="AF217" s="115" t="str">
        <f t="shared" si="44"/>
        <v/>
      </c>
      <c r="AG217" s="115" t="str">
        <f t="shared" si="45"/>
        <v/>
      </c>
      <c r="AH217" s="115" t="str">
        <f t="shared" si="46"/>
        <v/>
      </c>
      <c r="AI217" s="115" t="str">
        <f t="shared" si="47"/>
        <v/>
      </c>
      <c r="AJ217" s="115" t="str">
        <f t="shared" si="48"/>
        <v/>
      </c>
      <c r="AK217" s="115" t="str">
        <f t="shared" si="49"/>
        <v/>
      </c>
      <c r="AL217" s="115" t="str">
        <f t="shared" si="50"/>
        <v/>
      </c>
      <c r="AM217" s="115" t="str">
        <f t="shared" si="51"/>
        <v/>
      </c>
      <c r="AN217" s="115" t="str">
        <f t="shared" si="52"/>
        <v/>
      </c>
      <c r="AO217" s="115" t="str">
        <f t="shared" si="53"/>
        <v/>
      </c>
      <c r="AP217" s="115" t="str">
        <f t="shared" si="54"/>
        <v/>
      </c>
      <c r="AQ217" s="115" t="str">
        <f t="shared" si="55"/>
        <v/>
      </c>
      <c r="AR217" s="115" t="str">
        <f t="shared" si="56"/>
        <v/>
      </c>
      <c r="AS217" s="115" t="str">
        <f t="shared" si="57"/>
        <v/>
      </c>
    </row>
    <row r="218" spans="1:45" ht="42.75" outlineLevel="1">
      <c r="A218" s="138" t="s">
        <v>1629</v>
      </c>
      <c r="B218" s="139" t="s">
        <v>1628</v>
      </c>
      <c r="C218" s="118"/>
      <c r="D218" s="119" t="s">
        <v>753</v>
      </c>
      <c r="E218" s="119" t="s">
        <v>1124</v>
      </c>
      <c r="F218" s="119" t="s">
        <v>1123</v>
      </c>
      <c r="G218" s="119" t="s">
        <v>1122</v>
      </c>
      <c r="H218" s="119" t="s">
        <v>1121</v>
      </c>
      <c r="I218" s="119" t="s">
        <v>1120</v>
      </c>
      <c r="J218" s="119">
        <v>40</v>
      </c>
      <c r="K218" s="119" t="s">
        <v>371</v>
      </c>
      <c r="L218" s="119" t="s">
        <v>371</v>
      </c>
      <c r="M218" s="132" t="s">
        <v>1627</v>
      </c>
      <c r="N218" s="118" t="s">
        <v>1626</v>
      </c>
      <c r="O218" s="118" t="s">
        <v>1625</v>
      </c>
      <c r="P218" s="118" t="s">
        <v>1624</v>
      </c>
      <c r="Q218" s="118" t="s">
        <v>1623</v>
      </c>
      <c r="R218" s="118" t="s">
        <v>1622</v>
      </c>
      <c r="S218" s="118" t="s">
        <v>1621</v>
      </c>
      <c r="T218" s="118"/>
      <c r="U218" s="118"/>
      <c r="V218" s="118" t="s">
        <v>1620</v>
      </c>
      <c r="W218" s="118" t="s">
        <v>1619</v>
      </c>
      <c r="X218" s="118" t="s">
        <v>1618</v>
      </c>
      <c r="Y218" s="118" t="s">
        <v>1617</v>
      </c>
      <c r="Z218" s="118" t="s">
        <v>1616</v>
      </c>
      <c r="AA218" s="118" t="s">
        <v>1615</v>
      </c>
      <c r="AB218" s="118"/>
      <c r="AC218" s="118"/>
      <c r="AD218" s="116" t="str">
        <f t="array" ref="AD218">IF(ISBLANK(AA218),,AA218&amp;("/"))&amp;IF(ISBLANK(Z218),,Z218&amp;("/"))&amp;IF(ISBLANK(Y218),,Y218&amp;("/"))&amp;IF(ISBLANK(X218),,X218&amp;("/"))&amp;IF(ISBLANK(W218),,W218&amp;("/"))&amp;IF(ISBLANK(V218),,V218&amp;("/"))&amp;IF(ISBLANK(U218),,U218&amp;("/"))&amp;IF(ISBLANK(T218),,T218&amp;("/"))&amp;IF(ISBLANK(S218),,S218&amp;("/"))&amp;IF(ISBLANK(R218),,R218&amp;("/"))&amp;IF(ISBLANK(Q218),,Q218&amp;("/"))&amp;IF(ISBLANK(P218),,P218&amp;("/"))&amp;IF(ISBLANK(O218),,O218&amp;("/"))&amp;IF(ISBLANK(N218),,N218&amp;("/"))&amp;IF(G218="-",M218,M218&amp;("_")&amp;MID(G218,1,1))</f>
        <v>PCIE0_CLKREQN_M0/ISP_FLASH_TRIGOUT_M0/PWM1_CH2_M2/I2C7_SCL_M1/SPI1_MOSI_M1/UART1_CTSN_M1/VI_CIF_D3/PDM_SDI2_M3/SAI0_SCLK_M0/SDMMC0_CMD_M1/FSPI1_D3_M1/ETH0_MCLK/GPIO2_D0_d</v>
      </c>
      <c r="AE218" s="115" t="str">
        <f t="shared" si="43"/>
        <v>y</v>
      </c>
      <c r="AF218" s="115" t="str">
        <f t="shared" si="44"/>
        <v/>
      </c>
      <c r="AG218" s="115" t="str">
        <f t="shared" si="45"/>
        <v/>
      </c>
      <c r="AH218" s="115" t="str">
        <f t="shared" si="46"/>
        <v/>
      </c>
      <c r="AI218" s="115" t="str">
        <f t="shared" si="47"/>
        <v/>
      </c>
      <c r="AJ218" s="115" t="str">
        <f t="shared" si="48"/>
        <v/>
      </c>
      <c r="AK218" s="115" t="str">
        <f t="shared" si="49"/>
        <v/>
      </c>
      <c r="AL218" s="115" t="str">
        <f t="shared" si="50"/>
        <v/>
      </c>
      <c r="AM218" s="115" t="str">
        <f t="shared" si="51"/>
        <v/>
      </c>
      <c r="AN218" s="115" t="str">
        <f t="shared" si="52"/>
        <v/>
      </c>
      <c r="AO218" s="115" t="str">
        <f t="shared" si="53"/>
        <v/>
      </c>
      <c r="AP218" s="115" t="str">
        <f t="shared" si="54"/>
        <v/>
      </c>
      <c r="AQ218" s="115" t="str">
        <f t="shared" si="55"/>
        <v/>
      </c>
      <c r="AR218" s="115" t="str">
        <f t="shared" si="56"/>
        <v/>
      </c>
      <c r="AS218" s="115" t="str">
        <f t="shared" si="57"/>
        <v/>
      </c>
    </row>
    <row r="219" spans="1:45" ht="42.75" outlineLevel="1">
      <c r="A219" s="138" t="s">
        <v>1614</v>
      </c>
      <c r="B219" s="139" t="s">
        <v>1613</v>
      </c>
      <c r="C219" s="118"/>
      <c r="D219" s="119" t="s">
        <v>753</v>
      </c>
      <c r="E219" s="119" t="s">
        <v>1124</v>
      </c>
      <c r="F219" s="119" t="s">
        <v>1123</v>
      </c>
      <c r="G219" s="119" t="s">
        <v>1122</v>
      </c>
      <c r="H219" s="119" t="s">
        <v>1121</v>
      </c>
      <c r="I219" s="119" t="s">
        <v>1120</v>
      </c>
      <c r="J219" s="119">
        <v>40</v>
      </c>
      <c r="K219" s="119" t="s">
        <v>371</v>
      </c>
      <c r="L219" s="119" t="s">
        <v>371</v>
      </c>
      <c r="M219" s="132" t="s">
        <v>1612</v>
      </c>
      <c r="N219" s="118" t="s">
        <v>1611</v>
      </c>
      <c r="O219" s="118" t="s">
        <v>1610</v>
      </c>
      <c r="P219" s="118" t="s">
        <v>1609</v>
      </c>
      <c r="Q219" s="118" t="s">
        <v>1608</v>
      </c>
      <c r="R219" s="118" t="s">
        <v>1607</v>
      </c>
      <c r="S219" s="118" t="s">
        <v>1606</v>
      </c>
      <c r="T219" s="118"/>
      <c r="U219" s="118"/>
      <c r="V219" s="118" t="s">
        <v>1605</v>
      </c>
      <c r="W219" s="118" t="s">
        <v>1604</v>
      </c>
      <c r="X219" s="118" t="s">
        <v>1603</v>
      </c>
      <c r="Y219" s="118" t="s">
        <v>1602</v>
      </c>
      <c r="Z219" s="118" t="s">
        <v>1601</v>
      </c>
      <c r="AA219" s="118" t="s">
        <v>1600</v>
      </c>
      <c r="AB219" s="118"/>
      <c r="AC219" s="118"/>
      <c r="AD219" s="116" t="str">
        <f t="array" ref="AD219">IF(ISBLANK(AA219),,AA219&amp;("/"))&amp;IF(ISBLANK(Z219),,Z219&amp;("/"))&amp;IF(ISBLANK(Y219),,Y219&amp;("/"))&amp;IF(ISBLANK(X219),,X219&amp;("/"))&amp;IF(ISBLANK(W219),,W219&amp;("/"))&amp;IF(ISBLANK(V219),,V219&amp;("/"))&amp;IF(ISBLANK(U219),,U219&amp;("/"))&amp;IF(ISBLANK(T219),,T219&amp;("/"))&amp;IF(ISBLANK(S219),,S219&amp;("/"))&amp;IF(ISBLANK(R219),,R219&amp;("/"))&amp;IF(ISBLANK(Q219),,Q219&amp;("/"))&amp;IF(ISBLANK(P219),,P219&amp;("/"))&amp;IF(ISBLANK(O219),,O219&amp;("/"))&amp;IF(ISBLANK(N219),,N219&amp;("/"))&amp;IF(G219="-",M219,M219&amp;("_")&amp;MID(G219,1,1))</f>
        <v>PCIE1_CLKREQN_M0/SATA30_PORT1_ACTLED_M0/PWM0_CH0_M2/I2C7_SDA_M1/SPI1_MISO_M1/UART1_RTSN_M1/VI_CIF_D2/PDM_SDI3_M3/SAI0_LRCK_M0/SDMMC0_CLK_M1/FSPI1_D2_M1/ETH0_RXD1/GPIO2_D1_d</v>
      </c>
      <c r="AE219" s="115" t="str">
        <f t="shared" si="43"/>
        <v>y</v>
      </c>
      <c r="AF219" s="115" t="str">
        <f t="shared" si="44"/>
        <v/>
      </c>
      <c r="AG219" s="115" t="str">
        <f t="shared" si="45"/>
        <v/>
      </c>
      <c r="AH219" s="115" t="str">
        <f t="shared" si="46"/>
        <v/>
      </c>
      <c r="AI219" s="115" t="str">
        <f t="shared" si="47"/>
        <v/>
      </c>
      <c r="AJ219" s="115" t="str">
        <f t="shared" si="48"/>
        <v/>
      </c>
      <c r="AK219" s="115" t="str">
        <f t="shared" si="49"/>
        <v/>
      </c>
      <c r="AL219" s="115" t="str">
        <f t="shared" si="50"/>
        <v/>
      </c>
      <c r="AM219" s="115" t="str">
        <f t="shared" si="51"/>
        <v/>
      </c>
      <c r="AN219" s="115" t="str">
        <f t="shared" si="52"/>
        <v/>
      </c>
      <c r="AO219" s="115" t="str">
        <f t="shared" si="53"/>
        <v/>
      </c>
      <c r="AP219" s="115" t="str">
        <f t="shared" si="54"/>
        <v/>
      </c>
      <c r="AQ219" s="115" t="str">
        <f t="shared" si="55"/>
        <v/>
      </c>
      <c r="AR219" s="115" t="str">
        <f t="shared" si="56"/>
        <v/>
      </c>
      <c r="AS219" s="115" t="str">
        <f t="shared" si="57"/>
        <v/>
      </c>
    </row>
    <row r="220" spans="1:45" ht="42.75" outlineLevel="1">
      <c r="A220" s="138" t="s">
        <v>1599</v>
      </c>
      <c r="B220" s="137" t="s">
        <v>1598</v>
      </c>
      <c r="C220" s="118"/>
      <c r="D220" s="119" t="s">
        <v>753</v>
      </c>
      <c r="E220" s="119" t="s">
        <v>1124</v>
      </c>
      <c r="F220" s="119" t="s">
        <v>1123</v>
      </c>
      <c r="G220" s="119" t="s">
        <v>1122</v>
      </c>
      <c r="H220" s="119" t="s">
        <v>1121</v>
      </c>
      <c r="I220" s="119" t="s">
        <v>1120</v>
      </c>
      <c r="J220" s="119">
        <v>40</v>
      </c>
      <c r="K220" s="119" t="s">
        <v>371</v>
      </c>
      <c r="L220" s="119" t="s">
        <v>371</v>
      </c>
      <c r="M220" s="132" t="s">
        <v>1597</v>
      </c>
      <c r="N220" s="118" t="s">
        <v>1596</v>
      </c>
      <c r="O220" s="118" t="s">
        <v>1595</v>
      </c>
      <c r="P220" s="118" t="s">
        <v>1594</v>
      </c>
      <c r="Q220" s="118" t="s">
        <v>1593</v>
      </c>
      <c r="R220" s="118"/>
      <c r="S220" s="118" t="s">
        <v>1592</v>
      </c>
      <c r="T220" s="118"/>
      <c r="U220" s="118"/>
      <c r="V220" s="118" t="s">
        <v>1591</v>
      </c>
      <c r="W220" s="118" t="s">
        <v>1590</v>
      </c>
      <c r="X220" s="118" t="s">
        <v>1589</v>
      </c>
      <c r="Y220" s="118" t="s">
        <v>1588</v>
      </c>
      <c r="Z220" s="118" t="s">
        <v>1587</v>
      </c>
      <c r="AA220" s="118"/>
      <c r="AB220" s="118"/>
      <c r="AC220" s="118"/>
      <c r="AD220" s="116" t="str">
        <f t="array" ref="AD220">IF(ISBLANK(AA220),,AA220&amp;("/"))&amp;IF(ISBLANK(Z220),,Z220&amp;("/"))&amp;IF(ISBLANK(Y220),,Y220&amp;("/"))&amp;IF(ISBLANK(X220),,X220&amp;("/"))&amp;IF(ISBLANK(W220),,W220&amp;("/"))&amp;IF(ISBLANK(V220),,V220&amp;("/"))&amp;IF(ISBLANK(U220),,U220&amp;("/"))&amp;IF(ISBLANK(T220),,T220&amp;("/"))&amp;IF(ISBLANK(S220),,S220&amp;("/"))&amp;IF(ISBLANK(R220),,R220&amp;("/"))&amp;IF(ISBLANK(Q220),,Q220&amp;("/"))&amp;IF(ISBLANK(P220),,P220&amp;("/"))&amp;IF(ISBLANK(O220),,O220&amp;("/"))&amp;IF(ISBLANK(N220),,N220&amp;("/"))&amp;IF(G220="-",M220,M220&amp;("_")&amp;MID(G220,1,1))</f>
        <v>SATA30_PORT0_ACTLED_M0/PWM1_CH3_M2/I2C6_SCL_M2/SPI1_CSN0_M1/UART1_TX_M1/VI_CIF_D1/SAI0_SDO0_M0/SDMMC0_PWREN_M1/FSPI1_D1_M1/ETH0_RXD0/GPIO2_D2_d</v>
      </c>
      <c r="AE220" s="115" t="str">
        <f t="shared" si="43"/>
        <v>y</v>
      </c>
      <c r="AF220" s="115" t="str">
        <f t="shared" si="44"/>
        <v/>
      </c>
      <c r="AG220" s="115" t="str">
        <f t="shared" si="45"/>
        <v/>
      </c>
      <c r="AH220" s="115" t="str">
        <f t="shared" si="46"/>
        <v/>
      </c>
      <c r="AI220" s="115" t="str">
        <f t="shared" si="47"/>
        <v/>
      </c>
      <c r="AJ220" s="115" t="str">
        <f t="shared" si="48"/>
        <v/>
      </c>
      <c r="AK220" s="115" t="str">
        <f t="shared" si="49"/>
        <v/>
      </c>
      <c r="AL220" s="115" t="str">
        <f t="shared" si="50"/>
        <v/>
      </c>
      <c r="AM220" s="115" t="str">
        <f t="shared" si="51"/>
        <v/>
      </c>
      <c r="AN220" s="115" t="str">
        <f t="shared" si="52"/>
        <v/>
      </c>
      <c r="AO220" s="115" t="str">
        <f t="shared" si="53"/>
        <v/>
      </c>
      <c r="AP220" s="115" t="str">
        <f t="shared" si="54"/>
        <v/>
      </c>
      <c r="AQ220" s="115" t="str">
        <f t="shared" si="55"/>
        <v/>
      </c>
      <c r="AR220" s="115" t="str">
        <f t="shared" si="56"/>
        <v/>
      </c>
      <c r="AS220" s="115" t="str">
        <f t="shared" si="57"/>
        <v/>
      </c>
    </row>
    <row r="221" spans="1:45" ht="28.5" outlineLevel="1">
      <c r="A221" s="138" t="s">
        <v>1586</v>
      </c>
      <c r="B221" s="232" t="s">
        <v>1585</v>
      </c>
      <c r="C221" s="118"/>
      <c r="D221" s="119" t="s">
        <v>753</v>
      </c>
      <c r="E221" s="119" t="s">
        <v>1124</v>
      </c>
      <c r="F221" s="119" t="s">
        <v>1123</v>
      </c>
      <c r="G221" s="119" t="s">
        <v>1122</v>
      </c>
      <c r="H221" s="119" t="s">
        <v>1121</v>
      </c>
      <c r="I221" s="119" t="s">
        <v>1120</v>
      </c>
      <c r="J221" s="119">
        <v>40</v>
      </c>
      <c r="K221" s="119" t="s">
        <v>371</v>
      </c>
      <c r="L221" s="119" t="s">
        <v>371</v>
      </c>
      <c r="M221" s="132" t="s">
        <v>1584</v>
      </c>
      <c r="N221" s="118" t="s">
        <v>1583</v>
      </c>
      <c r="O221" s="118" t="s">
        <v>1582</v>
      </c>
      <c r="P221" s="118" t="s">
        <v>1581</v>
      </c>
      <c r="Q221" s="118" t="s">
        <v>1580</v>
      </c>
      <c r="R221" s="118"/>
      <c r="S221" s="118" t="s">
        <v>1579</v>
      </c>
      <c r="T221" s="118"/>
      <c r="U221" s="118"/>
      <c r="V221" s="118" t="s">
        <v>1578</v>
      </c>
      <c r="W221" s="118" t="s">
        <v>1577</v>
      </c>
      <c r="X221" s="118" t="s">
        <v>1576</v>
      </c>
      <c r="Y221" s="118" t="s">
        <v>1575</v>
      </c>
      <c r="Z221" s="118"/>
      <c r="AA221" s="118"/>
      <c r="AB221" s="118"/>
      <c r="AC221" s="118"/>
      <c r="AD221" s="116" t="str">
        <f t="array" ref="AD221">IF(ISBLANK(AA221),,AA221&amp;("/"))&amp;IF(ISBLANK(Z221),,Z221&amp;("/"))&amp;IF(ISBLANK(Y221),,Y221&amp;("/"))&amp;IF(ISBLANK(X221),,X221&amp;("/"))&amp;IF(ISBLANK(W221),,W221&amp;("/"))&amp;IF(ISBLANK(V221),,V221&amp;("/"))&amp;IF(ISBLANK(U221),,U221&amp;("/"))&amp;IF(ISBLANK(T221),,T221&amp;("/"))&amp;IF(ISBLANK(S221),,S221&amp;("/"))&amp;IF(ISBLANK(R221),,R221&amp;("/"))&amp;IF(ISBLANK(Q221),,Q221&amp;("/"))&amp;IF(ISBLANK(P221),,P221&amp;("/"))&amp;IF(ISBLANK(O221),,O221&amp;("/"))&amp;IF(ISBLANK(N221),,N221&amp;("/"))&amp;IF(G221="-",M221,M221&amp;("_")&amp;MID(G221,1,1))</f>
        <v>PWM1_CH4_M2/I2C6_SDA_M2/SPI1_CLK_M1/UART1_RX_M1/VI_CIF_D0/SAI0_SDI0_M0/SDMMC0_DETN_M1/FSPI1_D0_M1/ETH0_TXCTL/GPIO2_D3_d</v>
      </c>
      <c r="AE221" s="115" t="str">
        <f t="shared" si="43"/>
        <v>y</v>
      </c>
      <c r="AF221" s="115" t="str">
        <f t="shared" si="44"/>
        <v/>
      </c>
      <c r="AG221" s="115" t="str">
        <f t="shared" si="45"/>
        <v/>
      </c>
      <c r="AH221" s="115" t="str">
        <f t="shared" si="46"/>
        <v/>
      </c>
      <c r="AI221" s="115" t="str">
        <f t="shared" si="47"/>
        <v/>
      </c>
      <c r="AJ221" s="115" t="str">
        <f t="shared" si="48"/>
        <v/>
      </c>
      <c r="AK221" s="115" t="str">
        <f t="shared" si="49"/>
        <v/>
      </c>
      <c r="AL221" s="115" t="str">
        <f t="shared" si="50"/>
        <v/>
      </c>
      <c r="AM221" s="115" t="str">
        <f t="shared" si="51"/>
        <v/>
      </c>
      <c r="AN221" s="115" t="str">
        <f t="shared" si="52"/>
        <v/>
      </c>
      <c r="AO221" s="115" t="str">
        <f t="shared" si="53"/>
        <v/>
      </c>
      <c r="AP221" s="115" t="str">
        <f t="shared" si="54"/>
        <v/>
      </c>
      <c r="AQ221" s="115" t="str">
        <f t="shared" si="55"/>
        <v/>
      </c>
      <c r="AR221" s="115" t="str">
        <f t="shared" si="56"/>
        <v/>
      </c>
      <c r="AS221" s="115" t="str">
        <f t="shared" si="57"/>
        <v/>
      </c>
    </row>
    <row r="222" spans="1:45" ht="28.5" outlineLevel="1">
      <c r="A222" s="138" t="s">
        <v>1574</v>
      </c>
      <c r="B222" s="139" t="s">
        <v>3482</v>
      </c>
      <c r="C222" s="118"/>
      <c r="D222" s="119" t="s">
        <v>753</v>
      </c>
      <c r="E222" s="119" t="s">
        <v>1124</v>
      </c>
      <c r="F222" s="119" t="s">
        <v>1123</v>
      </c>
      <c r="G222" s="123" t="s">
        <v>1122</v>
      </c>
      <c r="H222" s="123" t="s">
        <v>1121</v>
      </c>
      <c r="I222" s="123" t="s">
        <v>1120</v>
      </c>
      <c r="J222" s="123">
        <v>40</v>
      </c>
      <c r="K222" s="123" t="s">
        <v>371</v>
      </c>
      <c r="L222" s="123" t="s">
        <v>371</v>
      </c>
      <c r="M222" s="118" t="s">
        <v>1573</v>
      </c>
      <c r="N222" s="118" t="s">
        <v>1572</v>
      </c>
      <c r="O222" s="118" t="s">
        <v>1571</v>
      </c>
      <c r="P222" s="118" t="s">
        <v>1570</v>
      </c>
      <c r="Q222" s="118" t="s">
        <v>1569</v>
      </c>
      <c r="R222" s="118"/>
      <c r="S222" s="118" t="s">
        <v>1568</v>
      </c>
      <c r="T222" s="118"/>
      <c r="U222" s="118"/>
      <c r="V222" s="118" t="s">
        <v>1567</v>
      </c>
      <c r="W222" s="169" t="s">
        <v>3480</v>
      </c>
      <c r="X222" s="118" t="s">
        <v>1566</v>
      </c>
      <c r="Y222" s="118"/>
      <c r="Z222" s="118" t="s">
        <v>1565</v>
      </c>
      <c r="AA222" s="118"/>
      <c r="AB222" s="118"/>
      <c r="AC222" s="118"/>
      <c r="AD222" s="116" t="str">
        <f t="array" ref="AD222">IF(ISBLANK(AA222),,AA222&amp;("/"))&amp;IF(ISBLANK(Z222),,Z222&amp;("/"))&amp;IF(ISBLANK(Y222),,Y222&amp;("/"))&amp;IF(ISBLANK(X222),,X222&amp;("/"))&amp;IF(ISBLANK(W222),,W222&amp;("/"))&amp;IF(ISBLANK(V222),,V222&amp;("/"))&amp;IF(ISBLANK(U222),,U222&amp;("/"))&amp;IF(ISBLANK(T222),,T222&amp;("/"))&amp;IF(ISBLANK(S222),,S222&amp;("/"))&amp;IF(ISBLANK(R222),,R222&amp;("/"))&amp;IF(ISBLANK(Q222),,Q222&amp;("/"))&amp;IF(ISBLANK(P222),,P222&amp;("/"))&amp;IF(ISBLANK(O222),,O222&amp;("/"))&amp;IF(ISBLANK(N222),,N222&amp;("/"))&amp;IF(G222="-",M222,M222&amp;("_")&amp;MID(G222,1,1))</f>
        <v>CAN3_TX_M1/I2C5_SCL_M2/SPI3_CLK_M0/UART3_TX_M0/VI_CIF_HREF/SAI0_SDO2_M0/CAM_CLK0_OUT_M1/FSPI1_DQS_M1/ETH0_TXD0/GPIO2_D4_d</v>
      </c>
      <c r="AE222" s="115" t="str">
        <f t="shared" si="43"/>
        <v>y</v>
      </c>
      <c r="AF222" s="115" t="str">
        <f t="shared" si="44"/>
        <v/>
      </c>
      <c r="AG222" s="115" t="str">
        <f t="shared" si="45"/>
        <v/>
      </c>
      <c r="AH222" s="115" t="str">
        <f t="shared" si="46"/>
        <v/>
      </c>
      <c r="AI222" s="115" t="str">
        <f t="shared" si="47"/>
        <v/>
      </c>
      <c r="AJ222" s="115" t="str">
        <f t="shared" si="48"/>
        <v/>
      </c>
      <c r="AK222" s="115" t="str">
        <f t="shared" si="49"/>
        <v/>
      </c>
      <c r="AL222" s="115" t="str">
        <f t="shared" si="50"/>
        <v/>
      </c>
      <c r="AM222" s="115" t="str">
        <f t="shared" si="51"/>
        <v/>
      </c>
      <c r="AN222" s="115" t="str">
        <f t="shared" si="52"/>
        <v/>
      </c>
      <c r="AO222" s="115" t="str">
        <f t="shared" si="53"/>
        <v/>
      </c>
      <c r="AP222" s="115" t="str">
        <f t="shared" si="54"/>
        <v/>
      </c>
      <c r="AQ222" s="115" t="str">
        <f t="shared" si="55"/>
        <v/>
      </c>
      <c r="AR222" s="115" t="str">
        <f t="shared" si="56"/>
        <v/>
      </c>
      <c r="AS222" s="115" t="str">
        <f t="shared" si="57"/>
        <v/>
      </c>
    </row>
    <row r="223" spans="1:45" s="134" customFormat="1" ht="42.75" outlineLevel="1">
      <c r="A223" s="138" t="s">
        <v>1564</v>
      </c>
      <c r="B223" s="139" t="s">
        <v>3483</v>
      </c>
      <c r="C223" s="118"/>
      <c r="D223" s="119" t="s">
        <v>753</v>
      </c>
      <c r="E223" s="119" t="s">
        <v>1124</v>
      </c>
      <c r="F223" s="119" t="s">
        <v>1123</v>
      </c>
      <c r="G223" s="119" t="s">
        <v>1122</v>
      </c>
      <c r="H223" s="119" t="s">
        <v>1121</v>
      </c>
      <c r="I223" s="119" t="s">
        <v>1120</v>
      </c>
      <c r="J223" s="119">
        <v>40</v>
      </c>
      <c r="K223" s="119" t="s">
        <v>371</v>
      </c>
      <c r="L223" s="119" t="s">
        <v>371</v>
      </c>
      <c r="M223" s="132" t="s">
        <v>1563</v>
      </c>
      <c r="N223" s="132" t="s">
        <v>1562</v>
      </c>
      <c r="O223" s="132" t="s">
        <v>1561</v>
      </c>
      <c r="P223" s="118" t="s">
        <v>1560</v>
      </c>
      <c r="Q223" s="132" t="s">
        <v>1559</v>
      </c>
      <c r="R223" s="132" t="s">
        <v>1558</v>
      </c>
      <c r="S223" s="118" t="s">
        <v>1557</v>
      </c>
      <c r="T223" s="118"/>
      <c r="U223" s="132"/>
      <c r="V223" s="118" t="s">
        <v>1556</v>
      </c>
      <c r="W223" s="169" t="s">
        <v>3481</v>
      </c>
      <c r="X223" s="132" t="s">
        <v>1555</v>
      </c>
      <c r="Y223" s="118"/>
      <c r="Z223" s="118" t="s">
        <v>1554</v>
      </c>
      <c r="AA223" s="132"/>
      <c r="AB223" s="118"/>
      <c r="AC223" s="118"/>
      <c r="AD223" s="116" t="str">
        <f t="array" ref="AD223">IF(ISBLANK(AA223),,AA223&amp;("/"))&amp;IF(ISBLANK(Z223),,Z223&amp;("/"))&amp;IF(ISBLANK(Y223),,Y223&amp;("/"))&amp;IF(ISBLANK(X223),,X223&amp;("/"))&amp;IF(ISBLANK(W223),,W223&amp;("/"))&amp;IF(ISBLANK(V223),,V223&amp;("/"))&amp;IF(ISBLANK(U223),,U223&amp;("/"))&amp;IF(ISBLANK(T223),,T223&amp;("/"))&amp;IF(ISBLANK(S223),,S223&amp;("/"))&amp;IF(ISBLANK(R223),,R223&amp;("/"))&amp;IF(ISBLANK(Q223),,Q223&amp;("/"))&amp;IF(ISBLANK(P223),,P223&amp;("/"))&amp;IF(ISBLANK(O223),,O223&amp;("/"))&amp;IF(ISBLANK(N223),,N223&amp;("/"))&amp;IF(G223="-",M223,M223&amp;("_")&amp;MID(G223,1,1))</f>
        <v>CAN3_RX_M1/I2C5_SDA_M2/SPI3_MOSI_M0/UART3_RX_M0/VI_CIF_VSYNC/SPDIF_TX1_M2/SAI0_SDO3_M0/CAM_CLK1_OUT_M1/FSPI1_CLK_M1/ETH0_TXD1/GPIO2_D5_d</v>
      </c>
      <c r="AE223" s="115" t="str">
        <f t="shared" si="43"/>
        <v>y</v>
      </c>
      <c r="AF223" s="115" t="str">
        <f t="shared" si="44"/>
        <v/>
      </c>
      <c r="AG223" s="115" t="str">
        <f t="shared" si="45"/>
        <v/>
      </c>
      <c r="AH223" s="115" t="str">
        <f t="shared" si="46"/>
        <v/>
      </c>
      <c r="AI223" s="115" t="str">
        <f t="shared" si="47"/>
        <v/>
      </c>
      <c r="AJ223" s="115" t="str">
        <f t="shared" si="48"/>
        <v/>
      </c>
      <c r="AK223" s="115" t="str">
        <f t="shared" si="49"/>
        <v/>
      </c>
      <c r="AL223" s="115" t="str">
        <f t="shared" si="50"/>
        <v/>
      </c>
      <c r="AM223" s="115" t="str">
        <f t="shared" si="51"/>
        <v/>
      </c>
      <c r="AN223" s="115" t="str">
        <f t="shared" si="52"/>
        <v/>
      </c>
      <c r="AO223" s="115" t="str">
        <f t="shared" si="53"/>
        <v/>
      </c>
      <c r="AP223" s="115" t="str">
        <f t="shared" si="54"/>
        <v/>
      </c>
      <c r="AQ223" s="115" t="str">
        <f t="shared" si="55"/>
        <v/>
      </c>
      <c r="AR223" s="115" t="str">
        <f t="shared" si="56"/>
        <v/>
      </c>
      <c r="AS223" s="115" t="str">
        <f t="shared" si="57"/>
        <v/>
      </c>
    </row>
    <row r="224" spans="1:45" s="134" customFormat="1" ht="42.75" outlineLevel="1">
      <c r="A224" s="138" t="s">
        <v>1553</v>
      </c>
      <c r="B224" s="139" t="s">
        <v>1552</v>
      </c>
      <c r="C224" s="118"/>
      <c r="D224" s="119" t="s">
        <v>753</v>
      </c>
      <c r="E224" s="119" t="s">
        <v>1124</v>
      </c>
      <c r="F224" s="119" t="s">
        <v>1123</v>
      </c>
      <c r="G224" s="119" t="s">
        <v>2092</v>
      </c>
      <c r="H224" s="119" t="s">
        <v>1121</v>
      </c>
      <c r="I224" s="119" t="s">
        <v>1120</v>
      </c>
      <c r="J224" s="119">
        <v>40</v>
      </c>
      <c r="K224" s="119" t="s">
        <v>371</v>
      </c>
      <c r="L224" s="119" t="s">
        <v>371</v>
      </c>
      <c r="M224" s="132" t="s">
        <v>1551</v>
      </c>
      <c r="N224" s="132" t="s">
        <v>1550</v>
      </c>
      <c r="O224" s="132" t="s">
        <v>1549</v>
      </c>
      <c r="P224" s="118" t="s">
        <v>1548</v>
      </c>
      <c r="Q224" s="132" t="s">
        <v>1547</v>
      </c>
      <c r="R224" s="132" t="s">
        <v>1546</v>
      </c>
      <c r="S224" s="118" t="s">
        <v>1545</v>
      </c>
      <c r="T224" s="118"/>
      <c r="U224" s="132"/>
      <c r="V224" s="118" t="s">
        <v>1544</v>
      </c>
      <c r="W224" s="132" t="s">
        <v>1543</v>
      </c>
      <c r="X224" s="132" t="s">
        <v>1542</v>
      </c>
      <c r="Y224" s="118" t="s">
        <v>1541</v>
      </c>
      <c r="Z224" s="118" t="s">
        <v>1540</v>
      </c>
      <c r="AA224" s="132" t="s">
        <v>1539</v>
      </c>
      <c r="AB224" s="118"/>
      <c r="AC224" s="118"/>
      <c r="AD224" s="116" t="str">
        <f>IF(ISBLANK(AA224),,AA224&amp;("/"))&amp;IF(ISBLANK(Z224),,Z224&amp;("/"))&amp;IF(ISBLANK(Y224),,Y224&amp;("/"))&amp;IF(ISBLANK(X224),,X224&amp;("/"))&amp;IF(ISBLANK(W224),,W224&amp;("/"))&amp;IF(ISBLANK(V224),,V224&amp;("/"))&amp;IF(ISBLANK(U224),,U224&amp;("/"))&amp;IF(ISBLANK(T224),,T224&amp;("/"))&amp;IF(ISBLANK(S224),,S224&amp;("/"))&amp;IF(ISBLANK(R224),,R224&amp;("/"))&amp;IF(ISBLANK(Q224),,Q224&amp;("/"))&amp;IF(ISBLANK(P224),,P224&amp;("/"))&amp;IF(ISBLANK(O224),,O224&amp;("/"))&amp;IF(ISBLANK(N224),,N224&amp;("/"))&amp;IF(G224="-",M224,M224&amp;("_")&amp;MID(G224,6,6))</f>
        <v>MIPI_TE_M1/CAN1_TX_M3/PWM2_CH2_M2/I2C4_SCL_M2/SPI3_MISO_M0/UART3_CTSN_M0/VI_CIF_CLKO/SPDIF_RX0_M2/SAI0_SDI3_M0/CAM_CLK2_OUT_M1/FSPI1_CSN0_M1/ETH0_TXCLK/GPIO2_D6_z</v>
      </c>
      <c r="AE224" s="115" t="str">
        <f t="shared" si="43"/>
        <v>y</v>
      </c>
      <c r="AF224" s="115" t="str">
        <f t="shared" si="44"/>
        <v/>
      </c>
      <c r="AG224" s="115" t="str">
        <f t="shared" si="45"/>
        <v/>
      </c>
      <c r="AH224" s="115" t="str">
        <f t="shared" si="46"/>
        <v/>
      </c>
      <c r="AI224" s="115" t="str">
        <f t="shared" si="47"/>
        <v/>
      </c>
      <c r="AJ224" s="115" t="str">
        <f t="shared" si="48"/>
        <v/>
      </c>
      <c r="AK224" s="115" t="str">
        <f t="shared" si="49"/>
        <v/>
      </c>
      <c r="AL224" s="115" t="str">
        <f t="shared" si="50"/>
        <v/>
      </c>
      <c r="AM224" s="115" t="str">
        <f t="shared" si="51"/>
        <v/>
      </c>
      <c r="AN224" s="115" t="str">
        <f t="shared" si="52"/>
        <v/>
      </c>
      <c r="AO224" s="115" t="str">
        <f t="shared" si="53"/>
        <v/>
      </c>
      <c r="AP224" s="115" t="str">
        <f t="shared" si="54"/>
        <v/>
      </c>
      <c r="AQ224" s="115" t="str">
        <f t="shared" si="55"/>
        <v/>
      </c>
      <c r="AR224" s="115" t="str">
        <f t="shared" si="56"/>
        <v/>
      </c>
      <c r="AS224" s="115" t="str">
        <f t="shared" si="57"/>
        <v/>
      </c>
    </row>
    <row r="225" spans="1:45" s="134" customFormat="1" ht="28.5" outlineLevel="1">
      <c r="A225" s="138" t="s">
        <v>1538</v>
      </c>
      <c r="B225" s="139" t="s">
        <v>1537</v>
      </c>
      <c r="C225" s="118"/>
      <c r="D225" s="119" t="s">
        <v>753</v>
      </c>
      <c r="E225" s="119" t="s">
        <v>1124</v>
      </c>
      <c r="F225" s="119" t="s">
        <v>1123</v>
      </c>
      <c r="G225" s="119" t="s">
        <v>2092</v>
      </c>
      <c r="H225" s="119" t="s">
        <v>1121</v>
      </c>
      <c r="I225" s="119" t="s">
        <v>1120</v>
      </c>
      <c r="J225" s="119">
        <v>40</v>
      </c>
      <c r="K225" s="119" t="s">
        <v>371</v>
      </c>
      <c r="L225" s="119" t="s">
        <v>371</v>
      </c>
      <c r="M225" s="132" t="s">
        <v>1536</v>
      </c>
      <c r="N225" s="132" t="s">
        <v>1535</v>
      </c>
      <c r="O225" s="132" t="s">
        <v>1534</v>
      </c>
      <c r="P225" s="132" t="s">
        <v>1533</v>
      </c>
      <c r="Q225" s="132"/>
      <c r="R225" s="132" t="s">
        <v>1532</v>
      </c>
      <c r="S225" s="132" t="s">
        <v>1531</v>
      </c>
      <c r="T225" s="132"/>
      <c r="U225" s="118"/>
      <c r="V225" s="132" t="s">
        <v>1530</v>
      </c>
      <c r="W225" s="132" t="s">
        <v>1529</v>
      </c>
      <c r="X225" s="132" t="s">
        <v>1528</v>
      </c>
      <c r="Y225" s="132" t="s">
        <v>1527</v>
      </c>
      <c r="Z225" s="132" t="s">
        <v>1526</v>
      </c>
      <c r="AA225" s="118"/>
      <c r="AB225" s="118"/>
      <c r="AC225" s="118"/>
      <c r="AD225" s="116" t="str">
        <f>IF(ISBLANK(AA225),,AA225&amp;("/"))&amp;IF(ISBLANK(Z225),,Z225&amp;("/"))&amp;IF(ISBLANK(Y225),,Y225&amp;("/"))&amp;IF(ISBLANK(X225),,X225&amp;("/"))&amp;IF(ISBLANK(W225),,W225&amp;("/"))&amp;IF(ISBLANK(V225),,V225&amp;("/"))&amp;IF(ISBLANK(U225),,U225&amp;("/"))&amp;IF(ISBLANK(T225),,T225&amp;("/"))&amp;IF(ISBLANK(S225),,S225&amp;("/"))&amp;IF(ISBLANK(R225),,R225&amp;("/"))&amp;IF(ISBLANK(Q225),,Q225&amp;("/"))&amp;IF(ISBLANK(P225),,P225&amp;("/"))&amp;IF(ISBLANK(O225),,O225&amp;("/"))&amp;IF(ISBLANK(N225),,N225&amp;("/"))&amp;IF(G225="-",M225,M225&amp;("_")&amp;MID(G225,6,6))</f>
        <v>CAN1_RX_M3/PWM2_CH3_M2/I2C4_SDA_M2/SPI3_CSN0_M0/UART3_RTSN_M0/VI_CIF_CLKI/SPDIF_TX0_M2/FSPI1_RST/FSPI1_CSN1_M1/ETH0_RXCLK/GPIO2_D7_z</v>
      </c>
      <c r="AE225" s="115" t="str">
        <f t="shared" si="43"/>
        <v>y</v>
      </c>
      <c r="AF225" s="115" t="str">
        <f t="shared" si="44"/>
        <v/>
      </c>
      <c r="AG225" s="115" t="str">
        <f t="shared" si="45"/>
        <v/>
      </c>
      <c r="AH225" s="115" t="str">
        <f t="shared" si="46"/>
        <v/>
      </c>
      <c r="AI225" s="115" t="str">
        <f t="shared" si="47"/>
        <v/>
      </c>
      <c r="AJ225" s="115" t="str">
        <f t="shared" si="48"/>
        <v/>
      </c>
      <c r="AK225" s="115" t="str">
        <f t="shared" si="49"/>
        <v/>
      </c>
      <c r="AL225" s="115" t="str">
        <f t="shared" si="50"/>
        <v/>
      </c>
      <c r="AM225" s="115" t="str">
        <f t="shared" si="51"/>
        <v/>
      </c>
      <c r="AN225" s="115" t="str">
        <f t="shared" si="52"/>
        <v/>
      </c>
      <c r="AO225" s="115" t="str">
        <f t="shared" si="53"/>
        <v/>
      </c>
      <c r="AP225" s="115" t="str">
        <f t="shared" si="54"/>
        <v/>
      </c>
      <c r="AQ225" s="115" t="str">
        <f t="shared" si="55"/>
        <v/>
      </c>
      <c r="AR225" s="115" t="str">
        <f t="shared" si="56"/>
        <v/>
      </c>
      <c r="AS225" s="115" t="str">
        <f t="shared" si="57"/>
        <v/>
      </c>
    </row>
    <row r="226" spans="1:45" s="134" customFormat="1" outlineLevel="1">
      <c r="A226" s="120" t="s">
        <v>1525</v>
      </c>
      <c r="B226" s="126" t="s">
        <v>518</v>
      </c>
      <c r="C226" s="167"/>
      <c r="D226" s="120" t="s">
        <v>1111</v>
      </c>
      <c r="E226" s="120" t="s">
        <v>1524</v>
      </c>
      <c r="F226" s="120" t="s">
        <v>753</v>
      </c>
      <c r="G226" s="120" t="s">
        <v>753</v>
      </c>
      <c r="H226" s="120" t="s">
        <v>753</v>
      </c>
      <c r="I226" s="120" t="s">
        <v>753</v>
      </c>
      <c r="J226" s="120" t="s">
        <v>753</v>
      </c>
      <c r="K226" s="120" t="s">
        <v>753</v>
      </c>
      <c r="L226" s="120" t="s">
        <v>753</v>
      </c>
      <c r="M226" s="126"/>
      <c r="N226" s="126"/>
      <c r="O226" s="126"/>
      <c r="P226" s="126"/>
      <c r="Q226" s="126"/>
      <c r="R226" s="125"/>
      <c r="S226" s="126"/>
      <c r="T226" s="126"/>
      <c r="U226" s="125"/>
      <c r="V226" s="126"/>
      <c r="W226" s="126"/>
      <c r="X226" s="125"/>
      <c r="Y226" s="126"/>
      <c r="Z226" s="126"/>
      <c r="AA226" s="125"/>
      <c r="AB226" s="125"/>
      <c r="AC226" s="125"/>
      <c r="AD226" s="116"/>
      <c r="AE226" s="115"/>
      <c r="AF226" s="115" t="str">
        <f t="shared" si="44"/>
        <v/>
      </c>
      <c r="AG226" s="115" t="str">
        <f t="shared" si="45"/>
        <v/>
      </c>
      <c r="AH226" s="115" t="str">
        <f t="shared" si="46"/>
        <v/>
      </c>
      <c r="AI226" s="115" t="str">
        <f t="shared" si="47"/>
        <v/>
      </c>
      <c r="AJ226" s="115" t="str">
        <f t="shared" si="48"/>
        <v/>
      </c>
      <c r="AK226" s="115" t="str">
        <f t="shared" si="49"/>
        <v/>
      </c>
      <c r="AL226" s="115" t="str">
        <f t="shared" si="50"/>
        <v/>
      </c>
      <c r="AM226" s="115" t="str">
        <f t="shared" si="51"/>
        <v/>
      </c>
      <c r="AN226" s="115" t="str">
        <f t="shared" si="52"/>
        <v/>
      </c>
      <c r="AO226" s="115" t="str">
        <f t="shared" si="53"/>
        <v/>
      </c>
      <c r="AP226" s="115" t="str">
        <f t="shared" si="54"/>
        <v/>
      </c>
      <c r="AQ226" s="115" t="str">
        <f t="shared" si="55"/>
        <v/>
      </c>
      <c r="AR226" s="115" t="str">
        <f t="shared" si="56"/>
        <v/>
      </c>
      <c r="AS226" s="115" t="str">
        <f t="shared" si="57"/>
        <v/>
      </c>
    </row>
    <row r="227" spans="1:45" s="134" customFormat="1">
      <c r="A227" s="131" t="s">
        <v>1523</v>
      </c>
      <c r="B227" s="130"/>
      <c r="C227" s="136"/>
      <c r="D227" s="129"/>
      <c r="E227" s="129"/>
      <c r="F227" s="129"/>
      <c r="G227" s="129"/>
      <c r="H227" s="129"/>
      <c r="I227" s="129"/>
      <c r="J227" s="129"/>
      <c r="K227" s="129"/>
      <c r="L227" s="129"/>
      <c r="M227" s="133"/>
      <c r="N227" s="133"/>
      <c r="O227" s="133"/>
      <c r="P227" s="133"/>
      <c r="Q227" s="133"/>
      <c r="R227" s="127"/>
      <c r="S227" s="133"/>
      <c r="T227" s="133"/>
      <c r="U227" s="127"/>
      <c r="V227" s="133"/>
      <c r="W227" s="133"/>
      <c r="X227" s="127"/>
      <c r="Y227" s="133"/>
      <c r="Z227" s="133"/>
      <c r="AA227" s="127"/>
      <c r="AB227" s="127"/>
      <c r="AC227" s="127"/>
      <c r="AD227" s="116"/>
      <c r="AE227" s="115"/>
      <c r="AF227" s="115" t="str">
        <f t="shared" si="44"/>
        <v/>
      </c>
      <c r="AG227" s="115" t="str">
        <f t="shared" si="45"/>
        <v/>
      </c>
      <c r="AH227" s="115" t="str">
        <f t="shared" si="46"/>
        <v/>
      </c>
      <c r="AI227" s="115" t="str">
        <f t="shared" si="47"/>
        <v/>
      </c>
      <c r="AJ227" s="115" t="str">
        <f t="shared" si="48"/>
        <v/>
      </c>
      <c r="AK227" s="115" t="str">
        <f t="shared" si="49"/>
        <v/>
      </c>
      <c r="AL227" s="115" t="str">
        <f t="shared" si="50"/>
        <v/>
      </c>
      <c r="AM227" s="115" t="str">
        <f t="shared" si="51"/>
        <v/>
      </c>
      <c r="AN227" s="115" t="str">
        <f t="shared" si="52"/>
        <v/>
      </c>
      <c r="AO227" s="115" t="str">
        <f t="shared" si="53"/>
        <v/>
      </c>
      <c r="AP227" s="115" t="str">
        <f t="shared" si="54"/>
        <v/>
      </c>
      <c r="AQ227" s="115" t="str">
        <f t="shared" si="55"/>
        <v/>
      </c>
      <c r="AR227" s="115" t="str">
        <f t="shared" si="56"/>
        <v/>
      </c>
      <c r="AS227" s="115" t="str">
        <f t="shared" si="57"/>
        <v/>
      </c>
    </row>
    <row r="228" spans="1:45" s="134" customFormat="1" ht="28.5" outlineLevel="1">
      <c r="A228" s="138" t="s">
        <v>1522</v>
      </c>
      <c r="B228" s="139" t="s">
        <v>1521</v>
      </c>
      <c r="C228" s="118"/>
      <c r="D228" s="119" t="s">
        <v>753</v>
      </c>
      <c r="E228" s="119" t="s">
        <v>1124</v>
      </c>
      <c r="F228" s="119" t="s">
        <v>1123</v>
      </c>
      <c r="G228" s="119" t="s">
        <v>1122</v>
      </c>
      <c r="H228" s="119" t="s">
        <v>1121</v>
      </c>
      <c r="I228" s="119" t="s">
        <v>1120</v>
      </c>
      <c r="J228" s="119">
        <v>40</v>
      </c>
      <c r="K228" s="119" t="s">
        <v>371</v>
      </c>
      <c r="L228" s="119" t="s">
        <v>371</v>
      </c>
      <c r="M228" s="132" t="s">
        <v>1520</v>
      </c>
      <c r="N228" s="132" t="s">
        <v>1519</v>
      </c>
      <c r="O228" s="132" t="s">
        <v>1518</v>
      </c>
      <c r="P228" s="132" t="s">
        <v>1517</v>
      </c>
      <c r="Q228" s="132" t="s">
        <v>1516</v>
      </c>
      <c r="R228" s="132" t="s">
        <v>1515</v>
      </c>
      <c r="S228" s="132"/>
      <c r="T228" s="132"/>
      <c r="U228" s="122"/>
      <c r="V228" s="132" t="s">
        <v>1514</v>
      </c>
      <c r="W228" s="132" t="s">
        <v>1513</v>
      </c>
      <c r="X228" s="132"/>
      <c r="Y228" s="132" t="s">
        <v>1512</v>
      </c>
      <c r="Z228" s="132"/>
      <c r="AA228" s="122"/>
      <c r="AB228" s="122"/>
      <c r="AC228" s="122"/>
      <c r="AD228" s="116" t="str">
        <f t="array" ref="AD228">IF(ISBLANK(AA228),,AA228&amp;("/"))&amp;IF(ISBLANK(Z228),,Z228&amp;("/"))&amp;IF(ISBLANK(Y228),,Y228&amp;("/"))&amp;IF(ISBLANK(X228),,X228&amp;("/"))&amp;IF(ISBLANK(W228),,W228&amp;("/"))&amp;IF(ISBLANK(V228),,V228&amp;("/"))&amp;IF(ISBLANK(U228),,U228&amp;("/"))&amp;IF(ISBLANK(T228),,T228&amp;("/"))&amp;IF(ISBLANK(S228),,S228&amp;("/"))&amp;IF(ISBLANK(R228),,R228&amp;("/"))&amp;IF(ISBLANK(Q228),,Q228&amp;("/"))&amp;IF(ISBLANK(P228),,P228&amp;("/"))&amp;IF(ISBLANK(O228),,O228&amp;("/"))&amp;IF(ISBLANK(N228),,N228&amp;("/"))&amp;IF(G228="-",M228,M228&amp;("_")&amp;MID(G228,1,1))</f>
        <v>PWM1_CH0_M2/SPI2_CLK_M2/UART1_CTSN_M2/SAI1_SCLK_M1/VO_EBC_SDSHR/VO_LCDC_D23/DSMC_RDYN/ETH_CLK1_25M_OUT_M0/GPIO3_A4_d</v>
      </c>
      <c r="AE228" s="115" t="str">
        <f t="shared" si="43"/>
        <v>y</v>
      </c>
      <c r="AF228" s="115" t="str">
        <f t="shared" si="44"/>
        <v/>
      </c>
      <c r="AG228" s="115" t="str">
        <f t="shared" si="45"/>
        <v/>
      </c>
      <c r="AH228" s="115" t="str">
        <f t="shared" si="46"/>
        <v/>
      </c>
      <c r="AI228" s="115" t="str">
        <f t="shared" si="47"/>
        <v/>
      </c>
      <c r="AJ228" s="115" t="str">
        <f t="shared" si="48"/>
        <v/>
      </c>
      <c r="AK228" s="115" t="str">
        <f t="shared" si="49"/>
        <v/>
      </c>
      <c r="AL228" s="115" t="str">
        <f t="shared" si="50"/>
        <v/>
      </c>
      <c r="AM228" s="115" t="str">
        <f t="shared" si="51"/>
        <v/>
      </c>
      <c r="AN228" s="115" t="str">
        <f t="shared" si="52"/>
        <v/>
      </c>
      <c r="AO228" s="115" t="str">
        <f t="shared" si="53"/>
        <v/>
      </c>
      <c r="AP228" s="115" t="str">
        <f t="shared" si="54"/>
        <v/>
      </c>
      <c r="AQ228" s="115" t="str">
        <f t="shared" si="55"/>
        <v/>
      </c>
      <c r="AR228" s="115" t="str">
        <f t="shared" si="56"/>
        <v/>
      </c>
      <c r="AS228" s="115" t="str">
        <f t="shared" si="57"/>
        <v/>
      </c>
    </row>
    <row r="229" spans="1:45" s="134" customFormat="1" ht="28.5" outlineLevel="1">
      <c r="A229" s="138" t="s">
        <v>1511</v>
      </c>
      <c r="B229" s="139" t="s">
        <v>1510</v>
      </c>
      <c r="C229" s="118"/>
      <c r="D229" s="119" t="s">
        <v>753</v>
      </c>
      <c r="E229" s="119" t="s">
        <v>1124</v>
      </c>
      <c r="F229" s="119" t="s">
        <v>1123</v>
      </c>
      <c r="G229" s="119" t="s">
        <v>1122</v>
      </c>
      <c r="H229" s="119" t="s">
        <v>1121</v>
      </c>
      <c r="I229" s="119" t="s">
        <v>1120</v>
      </c>
      <c r="J229" s="119">
        <v>40</v>
      </c>
      <c r="K229" s="119" t="s">
        <v>371</v>
      </c>
      <c r="L229" s="119" t="s">
        <v>371</v>
      </c>
      <c r="M229" s="132" t="s">
        <v>1509</v>
      </c>
      <c r="N229" s="132" t="s">
        <v>1508</v>
      </c>
      <c r="O229" s="132" t="s">
        <v>1507</v>
      </c>
      <c r="P229" s="132" t="s">
        <v>1506</v>
      </c>
      <c r="Q229" s="132" t="s">
        <v>1505</v>
      </c>
      <c r="R229" s="132" t="s">
        <v>1504</v>
      </c>
      <c r="S229" s="132"/>
      <c r="T229" s="132"/>
      <c r="U229" s="118"/>
      <c r="V229" s="132" t="s">
        <v>1503</v>
      </c>
      <c r="W229" s="132" t="s">
        <v>1502</v>
      </c>
      <c r="X229" s="132"/>
      <c r="Y229" s="132" t="s">
        <v>1501</v>
      </c>
      <c r="Z229" s="132"/>
      <c r="AA229" s="118"/>
      <c r="AB229" s="118"/>
      <c r="AC229" s="118"/>
      <c r="AD229" s="116" t="str">
        <f t="array" ref="AD229">IF(ISBLANK(AA229),,AA229&amp;("/"))&amp;IF(ISBLANK(Z229),,Z229&amp;("/"))&amp;IF(ISBLANK(Y229),,Y229&amp;("/"))&amp;IF(ISBLANK(X229),,X229&amp;("/"))&amp;IF(ISBLANK(W229),,W229&amp;("/"))&amp;IF(ISBLANK(V229),,V229&amp;("/"))&amp;IF(ISBLANK(U229),,U229&amp;("/"))&amp;IF(ISBLANK(T229),,T229&amp;("/"))&amp;IF(ISBLANK(S229),,S229&amp;("/"))&amp;IF(ISBLANK(R229),,R229&amp;("/"))&amp;IF(ISBLANK(Q229),,Q229&amp;("/"))&amp;IF(ISBLANK(P229),,P229&amp;("/"))&amp;IF(ISBLANK(O229),,O229&amp;("/"))&amp;IF(ISBLANK(N229),,N229&amp;("/"))&amp;IF(G229="-",M229,M229&amp;("_")&amp;MID(G229,1,1))</f>
        <v>PWM1_CH1_M2/SPI2_CSN1_M2/UART1_RTSN_M2/PDM_SDI3_M4/VO_EBC_GDSP/VO_LCDC_D22/DSMC_DATA15/ETH1_MDIO_M0/GPIO3_A5_d</v>
      </c>
      <c r="AE229" s="115" t="str">
        <f t="shared" si="43"/>
        <v>y</v>
      </c>
      <c r="AF229" s="115" t="str">
        <f t="shared" si="44"/>
        <v/>
      </c>
      <c r="AG229" s="115" t="str">
        <f t="shared" si="45"/>
        <v/>
      </c>
      <c r="AH229" s="115" t="str">
        <f t="shared" si="46"/>
        <v/>
      </c>
      <c r="AI229" s="115" t="str">
        <f t="shared" si="47"/>
        <v/>
      </c>
      <c r="AJ229" s="115" t="str">
        <f t="shared" si="48"/>
        <v/>
      </c>
      <c r="AK229" s="115" t="str">
        <f t="shared" si="49"/>
        <v/>
      </c>
      <c r="AL229" s="115" t="str">
        <f t="shared" si="50"/>
        <v/>
      </c>
      <c r="AM229" s="115" t="str">
        <f t="shared" si="51"/>
        <v/>
      </c>
      <c r="AN229" s="115" t="str">
        <f t="shared" si="52"/>
        <v/>
      </c>
      <c r="AO229" s="115" t="str">
        <f t="shared" si="53"/>
        <v/>
      </c>
      <c r="AP229" s="115" t="str">
        <f t="shared" si="54"/>
        <v/>
      </c>
      <c r="AQ229" s="115" t="str">
        <f t="shared" si="55"/>
        <v/>
      </c>
      <c r="AR229" s="115" t="str">
        <f t="shared" si="56"/>
        <v/>
      </c>
      <c r="AS229" s="115" t="str">
        <f t="shared" si="57"/>
        <v/>
      </c>
    </row>
    <row r="230" spans="1:45" s="134" customFormat="1" ht="28.5" outlineLevel="1">
      <c r="A230" s="138" t="s">
        <v>1500</v>
      </c>
      <c r="B230" s="139" t="s">
        <v>1499</v>
      </c>
      <c r="C230" s="118"/>
      <c r="D230" s="119" t="s">
        <v>753</v>
      </c>
      <c r="E230" s="119" t="s">
        <v>1124</v>
      </c>
      <c r="F230" s="119" t="s">
        <v>1123</v>
      </c>
      <c r="G230" s="119" t="s">
        <v>1122</v>
      </c>
      <c r="H230" s="119" t="s">
        <v>1121</v>
      </c>
      <c r="I230" s="119" t="s">
        <v>1120</v>
      </c>
      <c r="J230" s="119">
        <v>40</v>
      </c>
      <c r="K230" s="119" t="s">
        <v>371</v>
      </c>
      <c r="L230" s="119" t="s">
        <v>371</v>
      </c>
      <c r="M230" s="132" t="s">
        <v>1498</v>
      </c>
      <c r="N230" s="132" t="s">
        <v>1497</v>
      </c>
      <c r="O230" s="132" t="s">
        <v>1496</v>
      </c>
      <c r="P230" s="132" t="s">
        <v>1495</v>
      </c>
      <c r="Q230" s="132" t="s">
        <v>1494</v>
      </c>
      <c r="R230" s="132" t="s">
        <v>1493</v>
      </c>
      <c r="S230" s="132"/>
      <c r="T230" s="118"/>
      <c r="U230" s="118"/>
      <c r="V230" s="132" t="s">
        <v>1492</v>
      </c>
      <c r="W230" s="132" t="s">
        <v>1491</v>
      </c>
      <c r="X230" s="132"/>
      <c r="Y230" s="132" t="s">
        <v>1490</v>
      </c>
      <c r="Z230" s="118"/>
      <c r="AA230" s="118"/>
      <c r="AB230" s="118"/>
      <c r="AC230" s="118"/>
      <c r="AD230" s="116" t="str">
        <f t="array" ref="AD230">IF(ISBLANK(AA230),,AA230&amp;("/"))&amp;IF(ISBLANK(Z230),,Z230&amp;("/"))&amp;IF(ISBLANK(Y230),,Y230&amp;("/"))&amp;IF(ISBLANK(X230),,X230&amp;("/"))&amp;IF(ISBLANK(W230),,W230&amp;("/"))&amp;IF(ISBLANK(V230),,V230&amp;("/"))&amp;IF(ISBLANK(U230),,U230&amp;("/"))&amp;IF(ISBLANK(T230),,T230&amp;("/"))&amp;IF(ISBLANK(S230),,S230&amp;("/"))&amp;IF(ISBLANK(R230),,R230&amp;("/"))&amp;IF(ISBLANK(Q230),,Q230&amp;("/"))&amp;IF(ISBLANK(P230),,P230&amp;("/"))&amp;IF(ISBLANK(O230),,O230&amp;("/"))&amp;IF(ISBLANK(N230),,N230&amp;("/"))&amp;IF(G230="-",M230,M230&amp;("_")&amp;MID(G230,1,1))</f>
        <v>PWM1_CH2_M3/UART10_CTSN_M0/UART1_RX_M2/PDM_SDI2_M4/VO_EBC_GDOE/VO_LCDC_D21/DSMC_DATA14/ETH1_MDC_M0/GPIO3_A6_d</v>
      </c>
      <c r="AE230" s="115" t="str">
        <f t="shared" si="43"/>
        <v>y</v>
      </c>
      <c r="AF230" s="115" t="str">
        <f t="shared" si="44"/>
        <v/>
      </c>
      <c r="AG230" s="115" t="str">
        <f t="shared" si="45"/>
        <v/>
      </c>
      <c r="AH230" s="115" t="str">
        <f t="shared" si="46"/>
        <v/>
      </c>
      <c r="AI230" s="115" t="str">
        <f t="shared" si="47"/>
        <v/>
      </c>
      <c r="AJ230" s="115" t="str">
        <f t="shared" si="48"/>
        <v/>
      </c>
      <c r="AK230" s="115" t="str">
        <f t="shared" si="49"/>
        <v/>
      </c>
      <c r="AL230" s="115" t="str">
        <f t="shared" si="50"/>
        <v/>
      </c>
      <c r="AM230" s="115" t="str">
        <f t="shared" si="51"/>
        <v/>
      </c>
      <c r="AN230" s="115" t="str">
        <f t="shared" si="52"/>
        <v/>
      </c>
      <c r="AO230" s="115" t="str">
        <f t="shared" si="53"/>
        <v/>
      </c>
      <c r="AP230" s="115" t="str">
        <f t="shared" si="54"/>
        <v/>
      </c>
      <c r="AQ230" s="115" t="str">
        <f t="shared" si="55"/>
        <v/>
      </c>
      <c r="AR230" s="115" t="str">
        <f t="shared" si="56"/>
        <v/>
      </c>
      <c r="AS230" s="115" t="str">
        <f t="shared" si="57"/>
        <v/>
      </c>
    </row>
    <row r="231" spans="1:45" s="134" customFormat="1" ht="28.5" outlineLevel="1">
      <c r="A231" s="138" t="s">
        <v>1489</v>
      </c>
      <c r="B231" s="139" t="s">
        <v>1488</v>
      </c>
      <c r="C231" s="118"/>
      <c r="D231" s="119" t="s">
        <v>753</v>
      </c>
      <c r="E231" s="119" t="s">
        <v>1124</v>
      </c>
      <c r="F231" s="119" t="s">
        <v>1123</v>
      </c>
      <c r="G231" s="119" t="s">
        <v>1122</v>
      </c>
      <c r="H231" s="119" t="s">
        <v>1121</v>
      </c>
      <c r="I231" s="119" t="s">
        <v>1120</v>
      </c>
      <c r="J231" s="119">
        <v>40</v>
      </c>
      <c r="K231" s="119" t="s">
        <v>371</v>
      </c>
      <c r="L231" s="119" t="s">
        <v>371</v>
      </c>
      <c r="M231" s="132" t="s">
        <v>1487</v>
      </c>
      <c r="N231" s="132" t="s">
        <v>1486</v>
      </c>
      <c r="O231" s="132" t="s">
        <v>1485</v>
      </c>
      <c r="P231" s="132" t="s">
        <v>1484</v>
      </c>
      <c r="Q231" s="132" t="s">
        <v>1483</v>
      </c>
      <c r="R231" s="132" t="s">
        <v>1482</v>
      </c>
      <c r="S231" s="118"/>
      <c r="T231" s="118"/>
      <c r="U231" s="118"/>
      <c r="V231" s="132" t="s">
        <v>1481</v>
      </c>
      <c r="W231" s="132" t="s">
        <v>1480</v>
      </c>
      <c r="X231" s="132"/>
      <c r="Y231" s="118"/>
      <c r="Z231" s="118"/>
      <c r="AA231" s="118"/>
      <c r="AB231" s="118"/>
      <c r="AC231" s="118"/>
      <c r="AD231" s="116" t="str">
        <f t="array" ref="AD231">IF(ISBLANK(AA231),,AA231&amp;("/"))&amp;IF(ISBLANK(Z231),,Z231&amp;("/"))&amp;IF(ISBLANK(Y231),,Y231&amp;("/"))&amp;IF(ISBLANK(X231),,X231&amp;("/"))&amp;IF(ISBLANK(W231),,W231&amp;("/"))&amp;IF(ISBLANK(V231),,V231&amp;("/"))&amp;IF(ISBLANK(U231),,U231&amp;("/"))&amp;IF(ISBLANK(T231),,T231&amp;("/"))&amp;IF(ISBLANK(S231),,S231&amp;("/"))&amp;IF(ISBLANK(R231),,R231&amp;("/"))&amp;IF(ISBLANK(Q231),,Q231&amp;("/"))&amp;IF(ISBLANK(P231),,P231&amp;("/"))&amp;IF(ISBLANK(O231),,O231&amp;("/"))&amp;IF(ISBLANK(N231),,N231&amp;("/"))&amp;IF(G231="-",M231,M231&amp;("_")&amp;MID(G231,1,1))</f>
        <v>UART10_RTSN_M0/UART1_TX_M2/PDM_CLK1_M4/VO_EBC_VCOM/VO_LCDC_D20/DSMC_DATA13/ETH1_RXCTL_M0/GPIO3_A7_d</v>
      </c>
      <c r="AE231" s="115" t="str">
        <f t="shared" si="43"/>
        <v>y</v>
      </c>
      <c r="AF231" s="115" t="str">
        <f t="shared" si="44"/>
        <v/>
      </c>
      <c r="AG231" s="115" t="str">
        <f t="shared" si="45"/>
        <v/>
      </c>
      <c r="AH231" s="115" t="str">
        <f t="shared" si="46"/>
        <v/>
      </c>
      <c r="AI231" s="115" t="str">
        <f t="shared" si="47"/>
        <v/>
      </c>
      <c r="AJ231" s="115" t="str">
        <f t="shared" si="48"/>
        <v/>
      </c>
      <c r="AK231" s="115" t="str">
        <f t="shared" si="49"/>
        <v/>
      </c>
      <c r="AL231" s="115" t="str">
        <f t="shared" si="50"/>
        <v/>
      </c>
      <c r="AM231" s="115" t="str">
        <f t="shared" si="51"/>
        <v/>
      </c>
      <c r="AN231" s="115" t="str">
        <f t="shared" si="52"/>
        <v/>
      </c>
      <c r="AO231" s="115" t="str">
        <f t="shared" si="53"/>
        <v/>
      </c>
      <c r="AP231" s="115" t="str">
        <f t="shared" si="54"/>
        <v/>
      </c>
      <c r="AQ231" s="115" t="str">
        <f t="shared" si="55"/>
        <v/>
      </c>
      <c r="AR231" s="115" t="str">
        <f t="shared" si="56"/>
        <v/>
      </c>
      <c r="AS231" s="115" t="str">
        <f t="shared" si="57"/>
        <v/>
      </c>
    </row>
    <row r="232" spans="1:45" s="134" customFormat="1" ht="28.5" outlineLevel="1">
      <c r="A232" s="138" t="s">
        <v>1479</v>
      </c>
      <c r="B232" s="139" t="s">
        <v>1478</v>
      </c>
      <c r="C232" s="118"/>
      <c r="D232" s="119" t="s">
        <v>753</v>
      </c>
      <c r="E232" s="119" t="s">
        <v>1124</v>
      </c>
      <c r="F232" s="119" t="s">
        <v>1123</v>
      </c>
      <c r="G232" s="119" t="s">
        <v>2092</v>
      </c>
      <c r="H232" s="119" t="s">
        <v>1121</v>
      </c>
      <c r="I232" s="119" t="s">
        <v>1120</v>
      </c>
      <c r="J232" s="119">
        <v>40</v>
      </c>
      <c r="K232" s="119" t="s">
        <v>371</v>
      </c>
      <c r="L232" s="119" t="s">
        <v>371</v>
      </c>
      <c r="M232" s="132" t="s">
        <v>1477</v>
      </c>
      <c r="N232" s="132" t="s">
        <v>1476</v>
      </c>
      <c r="O232" s="132" t="s">
        <v>1475</v>
      </c>
      <c r="P232" s="132" t="s">
        <v>1474</v>
      </c>
      <c r="Q232" s="132" t="s">
        <v>1473</v>
      </c>
      <c r="R232" s="132" t="s">
        <v>1472</v>
      </c>
      <c r="S232" s="132"/>
      <c r="T232" s="118"/>
      <c r="U232" s="118"/>
      <c r="V232" s="132" t="s">
        <v>1471</v>
      </c>
      <c r="W232" s="132" t="s">
        <v>1470</v>
      </c>
      <c r="X232" s="132"/>
      <c r="Y232" s="132" t="s">
        <v>1469</v>
      </c>
      <c r="Z232" s="118"/>
      <c r="AA232" s="118"/>
      <c r="AB232" s="118"/>
      <c r="AC232" s="118"/>
      <c r="AD232" s="116" t="str">
        <f>IF(ISBLANK(AA232),,AA232&amp;("/"))&amp;IF(ISBLANK(Z232),,Z232&amp;("/"))&amp;IF(ISBLANK(Y232),,Y232&amp;("/"))&amp;IF(ISBLANK(X232),,X232&amp;("/"))&amp;IF(ISBLANK(W232),,W232&amp;("/"))&amp;IF(ISBLANK(V232),,V232&amp;("/"))&amp;IF(ISBLANK(U232),,U232&amp;("/"))&amp;IF(ISBLANK(T232),,T232&amp;("/"))&amp;IF(ISBLANK(S232),,S232&amp;("/"))&amp;IF(ISBLANK(R232),,R232&amp;("/"))&amp;IF(ISBLANK(Q232),,Q232&amp;("/"))&amp;IF(ISBLANK(P232),,P232&amp;("/"))&amp;IF(ISBLANK(O232),,O232&amp;("/"))&amp;IF(ISBLANK(N232),,N232&amp;("/"))&amp;IF(G232="-",M232,M232&amp;("_")&amp;MID(G232,6,6))</f>
        <v>PWM0_CH0_M3/SPI2_MOSI_M2/UART10_RX_M0/SAI1_MCLK_M1/VO_EBC_SDCE3/VO_LCDC_D19/DSMC_CSN1/ETH1_MCLK_M0/GPIO3_B0_z</v>
      </c>
      <c r="AE232" s="115" t="str">
        <f t="shared" si="43"/>
        <v>y</v>
      </c>
      <c r="AF232" s="115" t="str">
        <f t="shared" si="44"/>
        <v/>
      </c>
      <c r="AG232" s="115" t="str">
        <f t="shared" si="45"/>
        <v/>
      </c>
      <c r="AH232" s="115" t="str">
        <f t="shared" si="46"/>
        <v/>
      </c>
      <c r="AI232" s="115" t="str">
        <f t="shared" si="47"/>
        <v/>
      </c>
      <c r="AJ232" s="115" t="str">
        <f t="shared" si="48"/>
        <v/>
      </c>
      <c r="AK232" s="115" t="str">
        <f t="shared" si="49"/>
        <v/>
      </c>
      <c r="AL232" s="115" t="str">
        <f t="shared" si="50"/>
        <v/>
      </c>
      <c r="AM232" s="115" t="str">
        <f t="shared" si="51"/>
        <v/>
      </c>
      <c r="AN232" s="115" t="str">
        <f t="shared" si="52"/>
        <v/>
      </c>
      <c r="AO232" s="115" t="str">
        <f t="shared" si="53"/>
        <v/>
      </c>
      <c r="AP232" s="115" t="str">
        <f t="shared" si="54"/>
        <v/>
      </c>
      <c r="AQ232" s="115" t="str">
        <f t="shared" si="55"/>
        <v/>
      </c>
      <c r="AR232" s="115" t="str">
        <f t="shared" si="56"/>
        <v/>
      </c>
      <c r="AS232" s="115" t="str">
        <f t="shared" si="57"/>
        <v/>
      </c>
    </row>
    <row r="233" spans="1:45" s="134" customFormat="1" ht="28.5" outlineLevel="1">
      <c r="A233" s="138" t="s">
        <v>1468</v>
      </c>
      <c r="B233" s="139" t="s">
        <v>1467</v>
      </c>
      <c r="C233" s="118"/>
      <c r="D233" s="119" t="s">
        <v>753</v>
      </c>
      <c r="E233" s="119" t="s">
        <v>1124</v>
      </c>
      <c r="F233" s="119" t="s">
        <v>1123</v>
      </c>
      <c r="G233" s="119" t="s">
        <v>1122</v>
      </c>
      <c r="H233" s="119" t="s">
        <v>1121</v>
      </c>
      <c r="I233" s="119" t="s">
        <v>1120</v>
      </c>
      <c r="J233" s="119">
        <v>40</v>
      </c>
      <c r="K233" s="119" t="s">
        <v>371</v>
      </c>
      <c r="L233" s="119" t="s">
        <v>371</v>
      </c>
      <c r="M233" s="132" t="s">
        <v>1466</v>
      </c>
      <c r="N233" s="132" t="s">
        <v>1465</v>
      </c>
      <c r="O233" s="132" t="s">
        <v>1464</v>
      </c>
      <c r="P233" s="132" t="s">
        <v>1463</v>
      </c>
      <c r="Q233" s="132" t="s">
        <v>1462</v>
      </c>
      <c r="R233" s="132" t="s">
        <v>1461</v>
      </c>
      <c r="S233" s="132"/>
      <c r="T233" s="132"/>
      <c r="U233" s="118"/>
      <c r="V233" s="132" t="s">
        <v>1460</v>
      </c>
      <c r="W233" s="132" t="s">
        <v>1459</v>
      </c>
      <c r="X233" s="132"/>
      <c r="Y233" s="132" t="s">
        <v>1458</v>
      </c>
      <c r="Z233" s="132"/>
      <c r="AA233" s="118"/>
      <c r="AB233" s="118"/>
      <c r="AC233" s="118"/>
      <c r="AD233" s="116" t="str">
        <f t="array" ref="AD233">IF(ISBLANK(AA233),,AA233&amp;("/"))&amp;IF(ISBLANK(Z233),,Z233&amp;("/"))&amp;IF(ISBLANK(Y233),,Y233&amp;("/"))&amp;IF(ISBLANK(X233),,X233&amp;("/"))&amp;IF(ISBLANK(W233),,W233&amp;("/"))&amp;IF(ISBLANK(V233),,V233&amp;("/"))&amp;IF(ISBLANK(U233),,U233&amp;("/"))&amp;IF(ISBLANK(T233),,T233&amp;("/"))&amp;IF(ISBLANK(S233),,S233&amp;("/"))&amp;IF(ISBLANK(R233),,R233&amp;("/"))&amp;IF(ISBLANK(Q233),,Q233&amp;("/"))&amp;IF(ISBLANK(P233),,P233&amp;("/"))&amp;IF(ISBLANK(O233),,O233&amp;("/"))&amp;IF(ISBLANK(N233),,N233&amp;("/"))&amp;IF(G233="-",M233,M233&amp;("_")&amp;MID(G233,1,1))</f>
        <v>PWM1_CH3_M3/SPI4_CSN0_M1/UART10_TX_M0/PDM_CLK0_M4/VO_EBC_SDCE2/VO_LCDC_D18/DSMC_DATA12/ETH1_RXD1_M0/GPIO3_B1_d</v>
      </c>
      <c r="AE233" s="115" t="str">
        <f t="shared" si="43"/>
        <v>y</v>
      </c>
      <c r="AF233" s="115" t="str">
        <f t="shared" si="44"/>
        <v/>
      </c>
      <c r="AG233" s="115" t="str">
        <f t="shared" si="45"/>
        <v/>
      </c>
      <c r="AH233" s="115" t="str">
        <f t="shared" si="46"/>
        <v/>
      </c>
      <c r="AI233" s="115" t="str">
        <f t="shared" si="47"/>
        <v/>
      </c>
      <c r="AJ233" s="115" t="str">
        <f t="shared" si="48"/>
        <v/>
      </c>
      <c r="AK233" s="115" t="str">
        <f t="shared" si="49"/>
        <v/>
      </c>
      <c r="AL233" s="115" t="str">
        <f t="shared" si="50"/>
        <v/>
      </c>
      <c r="AM233" s="115" t="str">
        <f t="shared" si="51"/>
        <v/>
      </c>
      <c r="AN233" s="115" t="str">
        <f t="shared" si="52"/>
        <v/>
      </c>
      <c r="AO233" s="115" t="str">
        <f t="shared" si="53"/>
        <v/>
      </c>
      <c r="AP233" s="115" t="str">
        <f t="shared" si="54"/>
        <v/>
      </c>
      <c r="AQ233" s="115" t="str">
        <f t="shared" si="55"/>
        <v/>
      </c>
      <c r="AR233" s="115" t="str">
        <f t="shared" si="56"/>
        <v/>
      </c>
      <c r="AS233" s="115" t="str">
        <f t="shared" si="57"/>
        <v/>
      </c>
    </row>
    <row r="234" spans="1:45" s="134" customFormat="1" ht="28.5" outlineLevel="1">
      <c r="A234" s="138" t="s">
        <v>1457</v>
      </c>
      <c r="B234" s="139" t="s">
        <v>3474</v>
      </c>
      <c r="C234" s="118"/>
      <c r="D234" s="119" t="s">
        <v>753</v>
      </c>
      <c r="E234" s="119" t="s">
        <v>1124</v>
      </c>
      <c r="F234" s="119" t="s">
        <v>1123</v>
      </c>
      <c r="G234" s="119" t="s">
        <v>1122</v>
      </c>
      <c r="H234" s="119" t="s">
        <v>1121</v>
      </c>
      <c r="I234" s="119" t="s">
        <v>1120</v>
      </c>
      <c r="J234" s="119">
        <v>40</v>
      </c>
      <c r="K234" s="119" t="s">
        <v>371</v>
      </c>
      <c r="L234" s="119" t="s">
        <v>371</v>
      </c>
      <c r="M234" s="132" t="s">
        <v>1456</v>
      </c>
      <c r="N234" s="132" t="s">
        <v>1455</v>
      </c>
      <c r="O234" s="118" t="s">
        <v>1454</v>
      </c>
      <c r="P234" s="118" t="s">
        <v>1453</v>
      </c>
      <c r="Q234" s="118" t="s">
        <v>1452</v>
      </c>
      <c r="R234" s="118" t="s">
        <v>1451</v>
      </c>
      <c r="S234" s="118"/>
      <c r="T234" s="118"/>
      <c r="U234" s="118"/>
      <c r="V234" s="118" t="s">
        <v>1450</v>
      </c>
      <c r="W234" s="118"/>
      <c r="X234" s="118" t="s">
        <v>1449</v>
      </c>
      <c r="Y234" s="118"/>
      <c r="Z234" s="118"/>
      <c r="AA234" s="118"/>
      <c r="AB234" s="118"/>
      <c r="AC234" s="118"/>
      <c r="AD234" s="116" t="str">
        <f t="array" ref="AD234">IF(ISBLANK(AA234),,AA234&amp;("/"))&amp;IF(ISBLANK(Z234),,Z234&amp;("/"))&amp;IF(ISBLANK(Y234),,Y234&amp;("/"))&amp;IF(ISBLANK(X234),,X234&amp;("/"))&amp;IF(ISBLANK(W234),,W234&amp;("/"))&amp;IF(ISBLANK(V234),,V234&amp;("/"))&amp;IF(ISBLANK(U234),,U234&amp;("/"))&amp;IF(ISBLANK(T234),,T234&amp;("/"))&amp;IF(ISBLANK(S234),,S234&amp;("/"))&amp;IF(ISBLANK(R234),,R234&amp;("/"))&amp;IF(ISBLANK(Q234),,Q234&amp;("/"))&amp;IF(ISBLANK(P234),,P234&amp;("/"))&amp;IF(ISBLANK(O234),,O234&amp;("/"))&amp;IF(ISBLANK(N234),,N234&amp;("/"))&amp;IF(G234="-",M234,M234&amp;("_")&amp;MID(G234,1,1))</f>
        <v>I2C8_SDA_M3/UART3_RX_M1/PDM_SDI1_M4/VO_EBC_SDCE1/VO_LCDC_D17/DSMC_DATA11/ETH1_RXD0_M0/GPIO3_B2_d</v>
      </c>
      <c r="AE234" s="115" t="str">
        <f t="shared" si="43"/>
        <v>y</v>
      </c>
      <c r="AF234" s="115" t="str">
        <f t="shared" si="44"/>
        <v/>
      </c>
      <c r="AG234" s="115" t="str">
        <f t="shared" si="45"/>
        <v/>
      </c>
      <c r="AH234" s="115" t="str">
        <f t="shared" si="46"/>
        <v/>
      </c>
      <c r="AI234" s="115" t="str">
        <f t="shared" si="47"/>
        <v/>
      </c>
      <c r="AJ234" s="115" t="str">
        <f t="shared" si="48"/>
        <v/>
      </c>
      <c r="AK234" s="115" t="str">
        <f t="shared" si="49"/>
        <v/>
      </c>
      <c r="AL234" s="115" t="str">
        <f t="shared" si="50"/>
        <v/>
      </c>
      <c r="AM234" s="115" t="str">
        <f t="shared" si="51"/>
        <v/>
      </c>
      <c r="AN234" s="115" t="str">
        <f t="shared" si="52"/>
        <v/>
      </c>
      <c r="AO234" s="115" t="str">
        <f t="shared" si="53"/>
        <v/>
      </c>
      <c r="AP234" s="115" t="str">
        <f t="shared" si="54"/>
        <v/>
      </c>
      <c r="AQ234" s="115" t="str">
        <f t="shared" si="55"/>
        <v/>
      </c>
      <c r="AR234" s="115" t="str">
        <f t="shared" si="56"/>
        <v/>
      </c>
      <c r="AS234" s="115" t="str">
        <f t="shared" si="57"/>
        <v/>
      </c>
    </row>
    <row r="235" spans="1:45" s="134" customFormat="1" ht="28.5" outlineLevel="1">
      <c r="A235" s="138" t="s">
        <v>1448</v>
      </c>
      <c r="B235" s="139" t="s">
        <v>3475</v>
      </c>
      <c r="C235" s="118"/>
      <c r="D235" s="119" t="s">
        <v>753</v>
      </c>
      <c r="E235" s="119" t="s">
        <v>1124</v>
      </c>
      <c r="F235" s="119" t="s">
        <v>1123</v>
      </c>
      <c r="G235" s="119" t="s">
        <v>1122</v>
      </c>
      <c r="H235" s="119" t="s">
        <v>1121</v>
      </c>
      <c r="I235" s="119" t="s">
        <v>1120</v>
      </c>
      <c r="J235" s="119">
        <v>40</v>
      </c>
      <c r="K235" s="119" t="s">
        <v>371</v>
      </c>
      <c r="L235" s="119" t="s">
        <v>371</v>
      </c>
      <c r="M235" s="132" t="s">
        <v>1447</v>
      </c>
      <c r="N235" s="132" t="s">
        <v>1446</v>
      </c>
      <c r="O235" s="132" t="s">
        <v>1445</v>
      </c>
      <c r="P235" s="132" t="s">
        <v>1444</v>
      </c>
      <c r="Q235" s="132" t="s">
        <v>1443</v>
      </c>
      <c r="R235" s="132" t="s">
        <v>1442</v>
      </c>
      <c r="S235" s="132"/>
      <c r="T235" s="132"/>
      <c r="U235" s="118"/>
      <c r="V235" s="132" t="s">
        <v>1441</v>
      </c>
      <c r="W235" s="132"/>
      <c r="X235" s="132" t="s">
        <v>1440</v>
      </c>
      <c r="Y235" s="132"/>
      <c r="Z235" s="132"/>
      <c r="AA235" s="118"/>
      <c r="AB235" s="118"/>
      <c r="AC235" s="118"/>
      <c r="AD235" s="116" t="str">
        <f t="array" ref="AD235">IF(ISBLANK(AA235),,AA235&amp;("/"))&amp;IF(ISBLANK(Z235),,Z235&amp;("/"))&amp;IF(ISBLANK(Y235),,Y235&amp;("/"))&amp;IF(ISBLANK(X235),,X235&amp;("/"))&amp;IF(ISBLANK(W235),,W235&amp;("/"))&amp;IF(ISBLANK(V235),,V235&amp;("/"))&amp;IF(ISBLANK(U235),,U235&amp;("/"))&amp;IF(ISBLANK(T235),,T235&amp;("/"))&amp;IF(ISBLANK(S235),,S235&amp;("/"))&amp;IF(ISBLANK(R235),,R235&amp;("/"))&amp;IF(ISBLANK(Q235),,Q235&amp;("/"))&amp;IF(ISBLANK(P235),,P235&amp;("/"))&amp;IF(ISBLANK(O235),,O235&amp;("/"))&amp;IF(ISBLANK(N235),,N235&amp;("/"))&amp;IF(G235="-",M235,M235&amp;("_")&amp;MID(G235,1,1))</f>
        <v>I2C8_SCL_M3/UART3_TX_M1/PDM_SDI0_M4/VO_EBC_SDCE0/VO_LCDC_D16/DSMC_DATA10/ETH1_TXCTL_M0/GPIO3_B3_d</v>
      </c>
      <c r="AE235" s="115" t="str">
        <f t="shared" si="43"/>
        <v>y</v>
      </c>
      <c r="AF235" s="115" t="str">
        <f t="shared" si="44"/>
        <v/>
      </c>
      <c r="AG235" s="115" t="str">
        <f t="shared" si="45"/>
        <v/>
      </c>
      <c r="AH235" s="115" t="str">
        <f t="shared" si="46"/>
        <v/>
      </c>
      <c r="AI235" s="115" t="str">
        <f t="shared" si="47"/>
        <v/>
      </c>
      <c r="AJ235" s="115" t="str">
        <f t="shared" si="48"/>
        <v/>
      </c>
      <c r="AK235" s="115" t="str">
        <f t="shared" si="49"/>
        <v/>
      </c>
      <c r="AL235" s="115" t="str">
        <f t="shared" si="50"/>
        <v/>
      </c>
      <c r="AM235" s="115" t="str">
        <f t="shared" si="51"/>
        <v/>
      </c>
      <c r="AN235" s="115" t="str">
        <f t="shared" si="52"/>
        <v/>
      </c>
      <c r="AO235" s="115" t="str">
        <f t="shared" si="53"/>
        <v/>
      </c>
      <c r="AP235" s="115" t="str">
        <f t="shared" si="54"/>
        <v/>
      </c>
      <c r="AQ235" s="115" t="str">
        <f t="shared" si="55"/>
        <v/>
      </c>
      <c r="AR235" s="115" t="str">
        <f t="shared" si="56"/>
        <v/>
      </c>
      <c r="AS235" s="115" t="str">
        <f t="shared" si="57"/>
        <v/>
      </c>
    </row>
    <row r="236" spans="1:45" s="134" customFormat="1" ht="28.5" outlineLevel="1">
      <c r="A236" s="138" t="s">
        <v>1439</v>
      </c>
      <c r="B236" s="139" t="s">
        <v>1438</v>
      </c>
      <c r="C236" s="118"/>
      <c r="D236" s="119" t="s">
        <v>753</v>
      </c>
      <c r="E236" s="119" t="s">
        <v>1124</v>
      </c>
      <c r="F236" s="119" t="s">
        <v>1123</v>
      </c>
      <c r="G236" s="119" t="s">
        <v>1122</v>
      </c>
      <c r="H236" s="119" t="s">
        <v>1121</v>
      </c>
      <c r="I236" s="119" t="s">
        <v>1120</v>
      </c>
      <c r="J236" s="119">
        <v>40</v>
      </c>
      <c r="K236" s="119" t="s">
        <v>371</v>
      </c>
      <c r="L236" s="119" t="s">
        <v>371</v>
      </c>
      <c r="M236" s="132" t="s">
        <v>1437</v>
      </c>
      <c r="N236" s="132" t="s">
        <v>1436</v>
      </c>
      <c r="O236" s="132" t="s">
        <v>1435</v>
      </c>
      <c r="P236" s="132" t="s">
        <v>1434</v>
      </c>
      <c r="Q236" s="132" t="s">
        <v>1433</v>
      </c>
      <c r="R236" s="122" t="s">
        <v>1432</v>
      </c>
      <c r="S236" s="132"/>
      <c r="T236" s="132"/>
      <c r="U236" s="122"/>
      <c r="V236" s="132" t="s">
        <v>1431</v>
      </c>
      <c r="W236" s="132"/>
      <c r="X236" s="122"/>
      <c r="Y236" s="132" t="s">
        <v>1430</v>
      </c>
      <c r="Z236" s="132"/>
      <c r="AA236" s="122"/>
      <c r="AB236" s="122"/>
      <c r="AC236" s="122"/>
      <c r="AD236" s="116" t="str">
        <f t="array" ref="AD236">IF(ISBLANK(AA236),,AA236&amp;("/"))&amp;IF(ISBLANK(Z236),,Z236&amp;("/"))&amp;IF(ISBLANK(Y236),,Y236&amp;("/"))&amp;IF(ISBLANK(X236),,X236&amp;("/"))&amp;IF(ISBLANK(W236),,W236&amp;("/"))&amp;IF(ISBLANK(V236),,V236&amp;("/"))&amp;IF(ISBLANK(U236),,U236&amp;("/"))&amp;IF(ISBLANK(T236),,T236&amp;("/"))&amp;IF(ISBLANK(S236),,S236&amp;("/"))&amp;IF(ISBLANK(R236),,R236&amp;("/"))&amp;IF(ISBLANK(Q236),,Q236&amp;("/"))&amp;IF(ISBLANK(P236),,P236&amp;("/"))&amp;IF(ISBLANK(O236),,O236&amp;("/"))&amp;IF(ISBLANK(N236),,N236&amp;("/"))&amp;IF(G236="-",M236,M236&amp;("_")&amp;MID(G236,1,1))</f>
        <v>PWM1_CH4_M3/UART3_RTSN_M1/SPDIF_RX0_M3/VO_EBC_SDDO15/VO_LCDC_D15/DSMC_DATA9/ETH1_TXD1_M0/GPIO3_B4_d</v>
      </c>
      <c r="AE236" s="115" t="str">
        <f t="shared" si="43"/>
        <v>y</v>
      </c>
      <c r="AF236" s="115" t="str">
        <f t="shared" si="44"/>
        <v/>
      </c>
      <c r="AG236" s="115" t="str">
        <f t="shared" si="45"/>
        <v/>
      </c>
      <c r="AH236" s="115" t="str">
        <f t="shared" si="46"/>
        <v/>
      </c>
      <c r="AI236" s="115" t="str">
        <f t="shared" si="47"/>
        <v/>
      </c>
      <c r="AJ236" s="115" t="str">
        <f t="shared" si="48"/>
        <v/>
      </c>
      <c r="AK236" s="115" t="str">
        <f t="shared" si="49"/>
        <v/>
      </c>
      <c r="AL236" s="115" t="str">
        <f t="shared" si="50"/>
        <v/>
      </c>
      <c r="AM236" s="115" t="str">
        <f t="shared" si="51"/>
        <v/>
      </c>
      <c r="AN236" s="115" t="str">
        <f t="shared" si="52"/>
        <v/>
      </c>
      <c r="AO236" s="115" t="str">
        <f t="shared" si="53"/>
        <v/>
      </c>
      <c r="AP236" s="115" t="str">
        <f t="shared" si="54"/>
        <v/>
      </c>
      <c r="AQ236" s="115" t="str">
        <f t="shared" si="55"/>
        <v/>
      </c>
      <c r="AR236" s="115" t="str">
        <f t="shared" si="56"/>
        <v/>
      </c>
      <c r="AS236" s="115" t="str">
        <f t="shared" si="57"/>
        <v/>
      </c>
    </row>
    <row r="237" spans="1:45" s="134" customFormat="1" ht="28.5" outlineLevel="1">
      <c r="A237" s="138" t="s">
        <v>1429</v>
      </c>
      <c r="B237" s="139" t="s">
        <v>1428</v>
      </c>
      <c r="C237" s="118"/>
      <c r="D237" s="119" t="s">
        <v>753</v>
      </c>
      <c r="E237" s="119" t="s">
        <v>1124</v>
      </c>
      <c r="F237" s="119" t="s">
        <v>1123</v>
      </c>
      <c r="G237" s="119" t="s">
        <v>1122</v>
      </c>
      <c r="H237" s="119" t="s">
        <v>1121</v>
      </c>
      <c r="I237" s="119" t="s">
        <v>1120</v>
      </c>
      <c r="J237" s="119">
        <v>40</v>
      </c>
      <c r="K237" s="119" t="s">
        <v>371</v>
      </c>
      <c r="L237" s="119" t="s">
        <v>371</v>
      </c>
      <c r="M237" s="132" t="s">
        <v>1427</v>
      </c>
      <c r="N237" s="132" t="s">
        <v>1426</v>
      </c>
      <c r="O237" s="132" t="s">
        <v>1425</v>
      </c>
      <c r="P237" s="132" t="s">
        <v>1424</v>
      </c>
      <c r="Q237" s="132" t="s">
        <v>1423</v>
      </c>
      <c r="R237" s="132" t="s">
        <v>1422</v>
      </c>
      <c r="S237" s="132"/>
      <c r="T237" s="132"/>
      <c r="U237" s="132"/>
      <c r="V237" s="132" t="s">
        <v>1421</v>
      </c>
      <c r="W237" s="132"/>
      <c r="X237" s="132"/>
      <c r="Y237" s="132" t="s">
        <v>1420</v>
      </c>
      <c r="Z237" s="132"/>
      <c r="AA237" s="132"/>
      <c r="AB237" s="118"/>
      <c r="AC237" s="118"/>
      <c r="AD237" s="116" t="str">
        <f t="array" ref="AD237">IF(ISBLANK(AA237),,AA237&amp;("/"))&amp;IF(ISBLANK(Z237),,Z237&amp;("/"))&amp;IF(ISBLANK(Y237),,Y237&amp;("/"))&amp;IF(ISBLANK(X237),,X237&amp;("/"))&amp;IF(ISBLANK(W237),,W237&amp;("/"))&amp;IF(ISBLANK(V237),,V237&amp;("/"))&amp;IF(ISBLANK(U237),,U237&amp;("/"))&amp;IF(ISBLANK(T237),,T237&amp;("/"))&amp;IF(ISBLANK(S237),,S237&amp;("/"))&amp;IF(ISBLANK(R237),,R237&amp;("/"))&amp;IF(ISBLANK(Q237),,Q237&amp;("/"))&amp;IF(ISBLANK(P237),,P237&amp;("/"))&amp;IF(ISBLANK(O237),,O237&amp;("/"))&amp;IF(ISBLANK(N237),,N237&amp;("/"))&amp;IF(G237="-",M237,M237&amp;("_")&amp;MID(G237,1,1))</f>
        <v>PWM1_CH5_M2/UART3_CTSN_M1/SPDIF_TX0_M3/VO_EBC_SDDO14/VO_LCDC_D14/DSMC_DATA8/ETH1_TXD0_M0/GPIO3_B5_d</v>
      </c>
      <c r="AE237" s="115" t="str">
        <f t="shared" si="43"/>
        <v>y</v>
      </c>
      <c r="AF237" s="115" t="str">
        <f t="shared" si="44"/>
        <v/>
      </c>
      <c r="AG237" s="115" t="str">
        <f t="shared" si="45"/>
        <v/>
      </c>
      <c r="AH237" s="115" t="str">
        <f t="shared" si="46"/>
        <v/>
      </c>
      <c r="AI237" s="115" t="str">
        <f t="shared" si="47"/>
        <v/>
      </c>
      <c r="AJ237" s="115" t="str">
        <f t="shared" si="48"/>
        <v/>
      </c>
      <c r="AK237" s="115" t="str">
        <f t="shared" si="49"/>
        <v/>
      </c>
      <c r="AL237" s="115" t="str">
        <f t="shared" si="50"/>
        <v/>
      </c>
      <c r="AM237" s="115" t="str">
        <f t="shared" si="51"/>
        <v/>
      </c>
      <c r="AN237" s="115" t="str">
        <f t="shared" si="52"/>
        <v/>
      </c>
      <c r="AO237" s="115" t="str">
        <f t="shared" si="53"/>
        <v/>
      </c>
      <c r="AP237" s="115" t="str">
        <f t="shared" si="54"/>
        <v/>
      </c>
      <c r="AQ237" s="115" t="str">
        <f t="shared" si="55"/>
        <v/>
      </c>
      <c r="AR237" s="115" t="str">
        <f t="shared" si="56"/>
        <v/>
      </c>
      <c r="AS237" s="115" t="str">
        <f t="shared" si="57"/>
        <v/>
      </c>
    </row>
    <row r="238" spans="1:45" s="134" customFormat="1" ht="28.5" outlineLevel="1">
      <c r="A238" s="138" t="s">
        <v>1419</v>
      </c>
      <c r="B238" s="139" t="s">
        <v>1418</v>
      </c>
      <c r="C238" s="118"/>
      <c r="D238" s="119" t="s">
        <v>753</v>
      </c>
      <c r="E238" s="119" t="s">
        <v>1124</v>
      </c>
      <c r="F238" s="119" t="s">
        <v>1123</v>
      </c>
      <c r="G238" s="119" t="s">
        <v>1122</v>
      </c>
      <c r="H238" s="119" t="s">
        <v>1121</v>
      </c>
      <c r="I238" s="119" t="s">
        <v>1120</v>
      </c>
      <c r="J238" s="119">
        <v>40</v>
      </c>
      <c r="K238" s="119" t="s">
        <v>371</v>
      </c>
      <c r="L238" s="119" t="s">
        <v>371</v>
      </c>
      <c r="M238" s="132" t="s">
        <v>1417</v>
      </c>
      <c r="N238" s="132" t="s">
        <v>1416</v>
      </c>
      <c r="O238" s="132" t="s">
        <v>1415</v>
      </c>
      <c r="P238" s="132" t="s">
        <v>1414</v>
      </c>
      <c r="Q238" s="132" t="s">
        <v>1413</v>
      </c>
      <c r="R238" s="132" t="s">
        <v>1412</v>
      </c>
      <c r="S238" s="132"/>
      <c r="T238" s="132"/>
      <c r="U238" s="118"/>
      <c r="V238" s="132"/>
      <c r="W238" s="132" t="s">
        <v>1411</v>
      </c>
      <c r="X238" s="132"/>
      <c r="Y238" s="132" t="s">
        <v>1410</v>
      </c>
      <c r="Z238" s="132"/>
      <c r="AA238" s="118"/>
      <c r="AB238" s="118"/>
      <c r="AC238" s="118"/>
      <c r="AD238" s="116" t="str">
        <f t="array" ref="AD238">IF(ISBLANK(AA238),,AA238&amp;("/"))&amp;IF(ISBLANK(Z238),,Z238&amp;("/"))&amp;IF(ISBLANK(Y238),,Y238&amp;("/"))&amp;IF(ISBLANK(X238),,X238&amp;("/"))&amp;IF(ISBLANK(W238),,W238&amp;("/"))&amp;IF(ISBLANK(V238),,V238&amp;("/"))&amp;IF(ISBLANK(U238),,U238&amp;("/"))&amp;IF(ISBLANK(T238),,T238&amp;("/"))&amp;IF(ISBLANK(S238),,S238&amp;("/"))&amp;IF(ISBLANK(R238),,R238&amp;("/"))&amp;IF(ISBLANK(Q238),,Q238&amp;("/"))&amp;IF(ISBLANK(P238),,P238&amp;("/"))&amp;IF(ISBLANK(O238),,O238&amp;("/"))&amp;IF(ISBLANK(N238),,N238&amp;("/"))&amp;IF(G238="-",M238,M238&amp;("_")&amp;MID(G238,1,1))</f>
        <v>PWM0_CH1_M2/SPI3_CSN0_M1/SPDIF_TX1_M3/VO_EBC_SDDO13/VO_LCDC_D13/DSMC_DQS1/ETH1_TXCLK_M0/GPIO3_B6_d</v>
      </c>
      <c r="AE238" s="115" t="str">
        <f t="shared" si="43"/>
        <v>y</v>
      </c>
      <c r="AF238" s="115" t="str">
        <f t="shared" si="44"/>
        <v/>
      </c>
      <c r="AG238" s="115" t="str">
        <f t="shared" si="45"/>
        <v/>
      </c>
      <c r="AH238" s="115" t="str">
        <f t="shared" si="46"/>
        <v/>
      </c>
      <c r="AI238" s="115" t="str">
        <f t="shared" si="47"/>
        <v/>
      </c>
      <c r="AJ238" s="115" t="str">
        <f t="shared" si="48"/>
        <v/>
      </c>
      <c r="AK238" s="115" t="str">
        <f t="shared" si="49"/>
        <v/>
      </c>
      <c r="AL238" s="115" t="str">
        <f t="shared" si="50"/>
        <v/>
      </c>
      <c r="AM238" s="115" t="str">
        <f t="shared" si="51"/>
        <v/>
      </c>
      <c r="AN238" s="115" t="str">
        <f t="shared" si="52"/>
        <v/>
      </c>
      <c r="AO238" s="115" t="str">
        <f t="shared" si="53"/>
        <v/>
      </c>
      <c r="AP238" s="115" t="str">
        <f t="shared" si="54"/>
        <v/>
      </c>
      <c r="AQ238" s="115" t="str">
        <f t="shared" si="55"/>
        <v/>
      </c>
      <c r="AR238" s="115" t="str">
        <f t="shared" si="56"/>
        <v/>
      </c>
      <c r="AS238" s="115" t="str">
        <f t="shared" si="57"/>
        <v/>
      </c>
    </row>
    <row r="239" spans="1:45" s="134" customFormat="1" ht="28.5" outlineLevel="1">
      <c r="A239" s="138" t="s">
        <v>1409</v>
      </c>
      <c r="B239" s="139" t="s">
        <v>1408</v>
      </c>
      <c r="C239" s="118"/>
      <c r="D239" s="119" t="s">
        <v>753</v>
      </c>
      <c r="E239" s="119" t="s">
        <v>1124</v>
      </c>
      <c r="F239" s="119" t="s">
        <v>1123</v>
      </c>
      <c r="G239" s="119" t="s">
        <v>1122</v>
      </c>
      <c r="H239" s="119" t="s">
        <v>1121</v>
      </c>
      <c r="I239" s="119" t="s">
        <v>1120</v>
      </c>
      <c r="J239" s="119">
        <v>40</v>
      </c>
      <c r="K239" s="119" t="s">
        <v>371</v>
      </c>
      <c r="L239" s="119" t="s">
        <v>371</v>
      </c>
      <c r="M239" s="132" t="s">
        <v>1407</v>
      </c>
      <c r="N239" s="132" t="s">
        <v>1406</v>
      </c>
      <c r="O239" s="132" t="s">
        <v>1405</v>
      </c>
      <c r="P239" s="132" t="s">
        <v>1404</v>
      </c>
      <c r="Q239" s="118" t="s">
        <v>1403</v>
      </c>
      <c r="R239" s="118" t="s">
        <v>1402</v>
      </c>
      <c r="S239" s="118"/>
      <c r="T239" s="132"/>
      <c r="U239" s="118"/>
      <c r="V239" s="132" t="s">
        <v>1401</v>
      </c>
      <c r="W239" s="118" t="s">
        <v>1400</v>
      </c>
      <c r="X239" s="118" t="s">
        <v>1399</v>
      </c>
      <c r="Y239" s="118"/>
      <c r="Z239" s="132"/>
      <c r="AA239" s="118" t="s">
        <v>1398</v>
      </c>
      <c r="AB239" s="118"/>
      <c r="AC239" s="118"/>
      <c r="AD239" s="116" t="str">
        <f t="array" ref="AD239">IF(ISBLANK(AA239),,AA239&amp;("/"))&amp;IF(ISBLANK(Z239),,Z239&amp;("/"))&amp;IF(ISBLANK(Y239),,Y239&amp;("/"))&amp;IF(ISBLANK(X239),,X239&amp;("/"))&amp;IF(ISBLANK(W239),,W239&amp;("/"))&amp;IF(ISBLANK(V239),,V239&amp;("/"))&amp;IF(ISBLANK(U239),,U239&amp;("/"))&amp;IF(ISBLANK(T239),,T239&amp;("/"))&amp;IF(ISBLANK(S239),,S239&amp;("/"))&amp;IF(ISBLANK(R239),,R239&amp;("/"))&amp;IF(ISBLANK(Q239),,Q239&amp;("/"))&amp;IF(ISBLANK(P239),,P239&amp;("/"))&amp;IF(ISBLANK(O239),,O239&amp;("/"))&amp;IF(ISBLANK(N239),,N239&amp;("/"))&amp;IF(G239="-",M239,M239&amp;("_")&amp;MID(G239,1,1))</f>
        <v>CAN2_RX_M2/I2C4_SDA_M3/UART9_CTSN_M1/UART2_RX_M2/SAI1_SDI0_M1/VO_EBC_SDDO12/VO_LCDC_D12/DSMC_DQS0/ETH1_PPSTRIG_M0/GPIO3_B7_d</v>
      </c>
      <c r="AE239" s="115" t="str">
        <f t="shared" si="43"/>
        <v>y</v>
      </c>
      <c r="AF239" s="115" t="str">
        <f t="shared" si="44"/>
        <v/>
      </c>
      <c r="AG239" s="115" t="str">
        <f t="shared" si="45"/>
        <v/>
      </c>
      <c r="AH239" s="115" t="str">
        <f t="shared" si="46"/>
        <v/>
      </c>
      <c r="AI239" s="115" t="str">
        <f t="shared" si="47"/>
        <v/>
      </c>
      <c r="AJ239" s="115" t="str">
        <f t="shared" si="48"/>
        <v/>
      </c>
      <c r="AK239" s="115" t="str">
        <f t="shared" si="49"/>
        <v/>
      </c>
      <c r="AL239" s="115" t="str">
        <f t="shared" si="50"/>
        <v/>
      </c>
      <c r="AM239" s="115" t="str">
        <f t="shared" si="51"/>
        <v/>
      </c>
      <c r="AN239" s="115" t="str">
        <f t="shared" si="52"/>
        <v/>
      </c>
      <c r="AO239" s="115" t="str">
        <f t="shared" si="53"/>
        <v/>
      </c>
      <c r="AP239" s="115" t="str">
        <f t="shared" si="54"/>
        <v/>
      </c>
      <c r="AQ239" s="115" t="str">
        <f t="shared" si="55"/>
        <v/>
      </c>
      <c r="AR239" s="115" t="str">
        <f t="shared" si="56"/>
        <v/>
      </c>
      <c r="AS239" s="115" t="str">
        <f t="shared" si="57"/>
        <v/>
      </c>
    </row>
    <row r="240" spans="1:45" s="134" customFormat="1" ht="28.5" outlineLevel="1">
      <c r="A240" s="138" t="s">
        <v>1397</v>
      </c>
      <c r="B240" s="139" t="s">
        <v>1396</v>
      </c>
      <c r="C240" s="118"/>
      <c r="D240" s="119" t="s">
        <v>753</v>
      </c>
      <c r="E240" s="119" t="s">
        <v>1124</v>
      </c>
      <c r="F240" s="119" t="s">
        <v>1123</v>
      </c>
      <c r="G240" s="119" t="s">
        <v>1122</v>
      </c>
      <c r="H240" s="119" t="s">
        <v>1121</v>
      </c>
      <c r="I240" s="119" t="s">
        <v>1120</v>
      </c>
      <c r="J240" s="119">
        <v>40</v>
      </c>
      <c r="K240" s="119" t="s">
        <v>371</v>
      </c>
      <c r="L240" s="119" t="s">
        <v>371</v>
      </c>
      <c r="M240" s="132" t="s">
        <v>1395</v>
      </c>
      <c r="N240" s="118" t="s">
        <v>1394</v>
      </c>
      <c r="O240" s="118" t="s">
        <v>1393</v>
      </c>
      <c r="P240" s="118" t="s">
        <v>1392</v>
      </c>
      <c r="Q240" s="118" t="s">
        <v>1391</v>
      </c>
      <c r="R240" s="118" t="s">
        <v>1390</v>
      </c>
      <c r="S240" s="118"/>
      <c r="T240" s="118"/>
      <c r="U240" s="118"/>
      <c r="V240" s="118" t="s">
        <v>1389</v>
      </c>
      <c r="W240" s="118" t="s">
        <v>1388</v>
      </c>
      <c r="X240" s="118" t="s">
        <v>1387</v>
      </c>
      <c r="Y240" s="118"/>
      <c r="Z240" s="118"/>
      <c r="AA240" s="118" t="s">
        <v>1386</v>
      </c>
      <c r="AB240" s="118"/>
      <c r="AC240" s="118"/>
      <c r="AD240" s="116" t="str">
        <f t="array" ref="AD240">IF(ISBLANK(AA240),,AA240&amp;("/"))&amp;IF(ISBLANK(Z240),,Z240&amp;("/"))&amp;IF(ISBLANK(Y240),,Y240&amp;("/"))&amp;IF(ISBLANK(X240),,X240&amp;("/"))&amp;IF(ISBLANK(W240),,W240&amp;("/"))&amp;IF(ISBLANK(V240),,V240&amp;("/"))&amp;IF(ISBLANK(U240),,U240&amp;("/"))&amp;IF(ISBLANK(T240),,T240&amp;("/"))&amp;IF(ISBLANK(S240),,S240&amp;("/"))&amp;IF(ISBLANK(R240),,R240&amp;("/"))&amp;IF(ISBLANK(Q240),,Q240&amp;("/"))&amp;IF(ISBLANK(P240),,P240&amp;("/"))&amp;IF(ISBLANK(O240),,O240&amp;("/"))&amp;IF(ISBLANK(N240),,N240&amp;("/"))&amp;IF(G240="-",M240,M240&amp;("_")&amp;MID(G240,1,1))</f>
        <v>CAN2_TX_M2/I2C4_SCL_M3/UART9_RTSN_M1/UART2_TX_M2/SAI1_SDO3_M1/VO_EBC_SDDO11/VO_LCDC_D11/DSMC_DATA7/ETH1_PPSCLK_M0/GPIO3_C0_d</v>
      </c>
      <c r="AE240" s="115" t="str">
        <f t="shared" si="43"/>
        <v>y</v>
      </c>
      <c r="AF240" s="115" t="str">
        <f t="shared" si="44"/>
        <v/>
      </c>
      <c r="AG240" s="115" t="str">
        <f t="shared" si="45"/>
        <v/>
      </c>
      <c r="AH240" s="115" t="str">
        <f t="shared" si="46"/>
        <v/>
      </c>
      <c r="AI240" s="115" t="str">
        <f t="shared" si="47"/>
        <v/>
      </c>
      <c r="AJ240" s="115" t="str">
        <f t="shared" si="48"/>
        <v/>
      </c>
      <c r="AK240" s="115" t="str">
        <f t="shared" si="49"/>
        <v/>
      </c>
      <c r="AL240" s="115" t="str">
        <f t="shared" si="50"/>
        <v/>
      </c>
      <c r="AM240" s="115" t="str">
        <f t="shared" si="51"/>
        <v/>
      </c>
      <c r="AN240" s="115" t="str">
        <f t="shared" si="52"/>
        <v/>
      </c>
      <c r="AO240" s="115" t="str">
        <f t="shared" si="53"/>
        <v/>
      </c>
      <c r="AP240" s="115" t="str">
        <f t="shared" si="54"/>
        <v/>
      </c>
      <c r="AQ240" s="115" t="str">
        <f t="shared" si="55"/>
        <v/>
      </c>
      <c r="AR240" s="115" t="str">
        <f t="shared" si="56"/>
        <v/>
      </c>
      <c r="AS240" s="115" t="str">
        <f t="shared" si="57"/>
        <v/>
      </c>
    </row>
    <row r="241" spans="1:45" s="134" customFormat="1" ht="28.5" outlineLevel="1">
      <c r="A241" s="138" t="s">
        <v>1385</v>
      </c>
      <c r="B241" s="139" t="s">
        <v>1384</v>
      </c>
      <c r="C241" s="118"/>
      <c r="D241" s="119" t="s">
        <v>753</v>
      </c>
      <c r="E241" s="119" t="s">
        <v>1124</v>
      </c>
      <c r="F241" s="119" t="s">
        <v>1123</v>
      </c>
      <c r="G241" s="119" t="s">
        <v>1122</v>
      </c>
      <c r="H241" s="119" t="s">
        <v>1121</v>
      </c>
      <c r="I241" s="119" t="s">
        <v>1120</v>
      </c>
      <c r="J241" s="119">
        <v>40</v>
      </c>
      <c r="K241" s="140" t="s">
        <v>371</v>
      </c>
      <c r="L241" s="140" t="s">
        <v>371</v>
      </c>
      <c r="M241" s="118" t="s">
        <v>1383</v>
      </c>
      <c r="N241" s="118" t="s">
        <v>1382</v>
      </c>
      <c r="O241" s="118" t="s">
        <v>1381</v>
      </c>
      <c r="P241" s="118" t="s">
        <v>1380</v>
      </c>
      <c r="Q241" s="118" t="s">
        <v>1379</v>
      </c>
      <c r="R241" s="118" t="s">
        <v>1378</v>
      </c>
      <c r="S241" s="118"/>
      <c r="T241" s="118"/>
      <c r="U241" s="118"/>
      <c r="V241" s="118" t="s">
        <v>1377</v>
      </c>
      <c r="W241" s="118" t="s">
        <v>1376</v>
      </c>
      <c r="X241" s="118" t="s">
        <v>1375</v>
      </c>
      <c r="Y241" s="118"/>
      <c r="Z241" s="118"/>
      <c r="AA241" s="118" t="s">
        <v>1374</v>
      </c>
      <c r="AB241" s="118"/>
      <c r="AC241" s="118"/>
      <c r="AD241" s="116" t="str">
        <f t="array" ref="AD241">IF(ISBLANK(AA241),,AA241&amp;("/"))&amp;IF(ISBLANK(Z241),,Z241&amp;("/"))&amp;IF(ISBLANK(Y241),,Y241&amp;("/"))&amp;IF(ISBLANK(X241),,X241&amp;("/"))&amp;IF(ISBLANK(W241),,W241&amp;("/"))&amp;IF(ISBLANK(V241),,V241&amp;("/"))&amp;IF(ISBLANK(U241),,U241&amp;("/"))&amp;IF(ISBLANK(T241),,T241&amp;("/"))&amp;IF(ISBLANK(S241),,S241&amp;("/"))&amp;IF(ISBLANK(R241),,R241&amp;("/"))&amp;IF(ISBLANK(Q241),,Q241&amp;("/"))&amp;IF(ISBLANK(P241),,P241&amp;("/"))&amp;IF(ISBLANK(O241),,O241&amp;("/"))&amp;IF(ISBLANK(N241),,N241&amp;("/"))&amp;IF(G241="-",M241,M241&amp;("_")&amp;MID(G241,1,1))</f>
        <v>CAN0_RX_M3/I2C5_SDA_M3/SPI2_MISO_M2/UART4_RX_M0/SAI1_SDO2_M1/VO_EBC_SDDO10/VO_LCDC_D10/DSMC_DATA6/ETH1_PTP_REFCLK_M0/GPIO3_C1_d</v>
      </c>
      <c r="AE241" s="115" t="str">
        <f t="shared" si="43"/>
        <v>y</v>
      </c>
      <c r="AF241" s="115" t="str">
        <f t="shared" si="44"/>
        <v/>
      </c>
      <c r="AG241" s="115" t="str">
        <f t="shared" si="45"/>
        <v/>
      </c>
      <c r="AH241" s="115" t="str">
        <f t="shared" si="46"/>
        <v/>
      </c>
      <c r="AI241" s="115" t="str">
        <f t="shared" si="47"/>
        <v/>
      </c>
      <c r="AJ241" s="115" t="str">
        <f t="shared" si="48"/>
        <v/>
      </c>
      <c r="AK241" s="115" t="str">
        <f t="shared" si="49"/>
        <v/>
      </c>
      <c r="AL241" s="115" t="str">
        <f t="shared" si="50"/>
        <v/>
      </c>
      <c r="AM241" s="115" t="str">
        <f t="shared" si="51"/>
        <v/>
      </c>
      <c r="AN241" s="115" t="str">
        <f t="shared" si="52"/>
        <v/>
      </c>
      <c r="AO241" s="115" t="str">
        <f t="shared" si="53"/>
        <v/>
      </c>
      <c r="AP241" s="115" t="str">
        <f t="shared" si="54"/>
        <v/>
      </c>
      <c r="AQ241" s="115" t="str">
        <f t="shared" si="55"/>
        <v/>
      </c>
      <c r="AR241" s="115" t="str">
        <f t="shared" si="56"/>
        <v/>
      </c>
      <c r="AS241" s="115" t="str">
        <f t="shared" si="57"/>
        <v/>
      </c>
    </row>
    <row r="242" spans="1:45" s="134" customFormat="1" ht="42.75" outlineLevel="1">
      <c r="A242" s="138" t="s">
        <v>1373</v>
      </c>
      <c r="B242" s="139" t="s">
        <v>1372</v>
      </c>
      <c r="C242" s="132"/>
      <c r="D242" s="119" t="s">
        <v>753</v>
      </c>
      <c r="E242" s="119" t="s">
        <v>1124</v>
      </c>
      <c r="F242" s="119" t="s">
        <v>1123</v>
      </c>
      <c r="G242" s="119" t="s">
        <v>1122</v>
      </c>
      <c r="H242" s="119" t="s">
        <v>1121</v>
      </c>
      <c r="I242" s="119" t="s">
        <v>1120</v>
      </c>
      <c r="J242" s="119">
        <v>40</v>
      </c>
      <c r="K242" s="119" t="s">
        <v>371</v>
      </c>
      <c r="L242" s="119" t="s">
        <v>371</v>
      </c>
      <c r="M242" s="132" t="s">
        <v>1371</v>
      </c>
      <c r="N242" s="132" t="s">
        <v>1370</v>
      </c>
      <c r="O242" s="132" t="s">
        <v>1369</v>
      </c>
      <c r="P242" s="132" t="s">
        <v>1368</v>
      </c>
      <c r="Q242" s="132" t="s">
        <v>1367</v>
      </c>
      <c r="R242" s="132" t="s">
        <v>1366</v>
      </c>
      <c r="S242" s="132"/>
      <c r="T242" s="118"/>
      <c r="U242" s="118"/>
      <c r="V242" s="132" t="s">
        <v>1365</v>
      </c>
      <c r="W242" s="132" t="s">
        <v>1364</v>
      </c>
      <c r="X242" s="132" t="s">
        <v>1363</v>
      </c>
      <c r="Y242" s="132" t="s">
        <v>1362</v>
      </c>
      <c r="Z242" s="118"/>
      <c r="AA242" s="118" t="s">
        <v>1361</v>
      </c>
      <c r="AB242" s="118"/>
      <c r="AC242" s="118"/>
      <c r="AD242" s="116" t="str">
        <f t="array" ref="AD242">IF(ISBLANK(AA242),,AA242&amp;("/"))&amp;IF(ISBLANK(Z242),,Z242&amp;("/"))&amp;IF(ISBLANK(Y242),,Y242&amp;("/"))&amp;IF(ISBLANK(X242),,X242&amp;("/"))&amp;IF(ISBLANK(W242),,W242&amp;("/"))&amp;IF(ISBLANK(V242),,V242&amp;("/"))&amp;IF(ISBLANK(U242),,U242&amp;("/"))&amp;IF(ISBLANK(T242),,T242&amp;("/"))&amp;IF(ISBLANK(S242),,S242&amp;("/"))&amp;IF(ISBLANK(R242),,R242&amp;("/"))&amp;IF(ISBLANK(Q242),,Q242&amp;("/"))&amp;IF(ISBLANK(P242),,P242&amp;("/"))&amp;IF(ISBLANK(O242),,O242&amp;("/"))&amp;IF(ISBLANK(N242),,N242&amp;("/"))&amp;IF(G242="-",M242,M242&amp;("_")&amp;MID(G242,1,1))</f>
        <v>CAN3_RX_M2/PWM2_CH0_M2/I2C9_SCL_M3/SPI4_MISO_M1/UART4_RTSN_M0/SAI2_SCLK_M1/VO_EBC_SDDO9/VO_LCDC_D9/DSMC_INT1/ETH1_TXD3_M0/GPIO3_C2_d</v>
      </c>
      <c r="AE242" s="115" t="str">
        <f t="shared" si="43"/>
        <v>y</v>
      </c>
      <c r="AF242" s="115" t="str">
        <f t="shared" si="44"/>
        <v/>
      </c>
      <c r="AG242" s="115" t="str">
        <f t="shared" si="45"/>
        <v/>
      </c>
      <c r="AH242" s="115" t="str">
        <f t="shared" si="46"/>
        <v/>
      </c>
      <c r="AI242" s="115" t="str">
        <f t="shared" si="47"/>
        <v/>
      </c>
      <c r="AJ242" s="115" t="str">
        <f t="shared" si="48"/>
        <v/>
      </c>
      <c r="AK242" s="115" t="str">
        <f t="shared" si="49"/>
        <v/>
      </c>
      <c r="AL242" s="115" t="str">
        <f t="shared" si="50"/>
        <v/>
      </c>
      <c r="AM242" s="115" t="str">
        <f t="shared" si="51"/>
        <v/>
      </c>
      <c r="AN242" s="115" t="str">
        <f t="shared" si="52"/>
        <v/>
      </c>
      <c r="AO242" s="115" t="str">
        <f t="shared" si="53"/>
        <v/>
      </c>
      <c r="AP242" s="115" t="str">
        <f t="shared" si="54"/>
        <v/>
      </c>
      <c r="AQ242" s="115" t="str">
        <f t="shared" si="55"/>
        <v/>
      </c>
      <c r="AR242" s="115" t="str">
        <f t="shared" si="56"/>
        <v/>
      </c>
      <c r="AS242" s="115" t="str">
        <f t="shared" si="57"/>
        <v/>
      </c>
    </row>
    <row r="243" spans="1:45" s="134" customFormat="1" ht="42.75" outlineLevel="1">
      <c r="A243" s="138" t="s">
        <v>1360</v>
      </c>
      <c r="B243" s="139" t="s">
        <v>1359</v>
      </c>
      <c r="C243" s="132"/>
      <c r="D243" s="119" t="s">
        <v>753</v>
      </c>
      <c r="E243" s="119" t="s">
        <v>1124</v>
      </c>
      <c r="F243" s="119" t="s">
        <v>1123</v>
      </c>
      <c r="G243" s="119" t="s">
        <v>1122</v>
      </c>
      <c r="H243" s="119" t="s">
        <v>1121</v>
      </c>
      <c r="I243" s="119" t="s">
        <v>1120</v>
      </c>
      <c r="J243" s="119">
        <v>40</v>
      </c>
      <c r="K243" s="119" t="s">
        <v>371</v>
      </c>
      <c r="L243" s="119" t="s">
        <v>371</v>
      </c>
      <c r="M243" s="132" t="s">
        <v>1358</v>
      </c>
      <c r="N243" s="132" t="s">
        <v>1357</v>
      </c>
      <c r="O243" s="132" t="s">
        <v>1356</v>
      </c>
      <c r="P243" s="132" t="s">
        <v>1355</v>
      </c>
      <c r="Q243" s="132" t="s">
        <v>1354</v>
      </c>
      <c r="R243" s="132" t="s">
        <v>1353</v>
      </c>
      <c r="S243" s="118"/>
      <c r="T243" s="118"/>
      <c r="U243" s="118"/>
      <c r="V243" s="132" t="s">
        <v>1352</v>
      </c>
      <c r="W243" s="132" t="s">
        <v>1351</v>
      </c>
      <c r="X243" s="132" t="s">
        <v>1350</v>
      </c>
      <c r="Y243" s="118" t="s">
        <v>1349</v>
      </c>
      <c r="Z243" s="118"/>
      <c r="AA243" s="118" t="s">
        <v>1348</v>
      </c>
      <c r="AB243" s="118"/>
      <c r="AC243" s="118"/>
      <c r="AD243" s="116" t="str">
        <f t="array" ref="AD243">IF(ISBLANK(AA243),,AA243&amp;("/"))&amp;IF(ISBLANK(Z243),,Z243&amp;("/"))&amp;IF(ISBLANK(Y243),,Y243&amp;("/"))&amp;IF(ISBLANK(X243),,X243&amp;("/"))&amp;IF(ISBLANK(W243),,W243&amp;("/"))&amp;IF(ISBLANK(V243),,V243&amp;("/"))&amp;IF(ISBLANK(U243),,U243&amp;("/"))&amp;IF(ISBLANK(T243),,T243&amp;("/"))&amp;IF(ISBLANK(S243),,S243&amp;("/"))&amp;IF(ISBLANK(R243),,R243&amp;("/"))&amp;IF(ISBLANK(Q243),,Q243&amp;("/"))&amp;IF(ISBLANK(P243),,P243&amp;("/"))&amp;IF(ISBLANK(O243),,O243&amp;("/"))&amp;IF(ISBLANK(N243),,N243&amp;("/"))&amp;IF(G243="-",M243,M243&amp;("_")&amp;MID(G243,1,1))</f>
        <v>CAN3_TX_M2/PWM2_CH1_M2/I2C9_SDA_M3/SPI4_MOSI_M1/UART4_CTSN_M0/SAI2_LRCK_M1/VO_EBC_SDDO8/VO_LCDC_D8/DSMC_INT3/ETH1_TXD2_M0/GPIO3_C3_d</v>
      </c>
      <c r="AE243" s="115" t="str">
        <f t="shared" ref="AE243:AE268" si="58">IF(AD243=B243,"y","n")</f>
        <v>y</v>
      </c>
      <c r="AF243" s="115" t="str">
        <f t="shared" si="44"/>
        <v/>
      </c>
      <c r="AG243" s="115" t="str">
        <f t="shared" si="45"/>
        <v/>
      </c>
      <c r="AH243" s="115" t="str">
        <f t="shared" si="46"/>
        <v/>
      </c>
      <c r="AI243" s="115" t="str">
        <f t="shared" si="47"/>
        <v/>
      </c>
      <c r="AJ243" s="115" t="str">
        <f t="shared" si="48"/>
        <v/>
      </c>
      <c r="AK243" s="115" t="str">
        <f t="shared" si="49"/>
        <v/>
      </c>
      <c r="AL243" s="115" t="str">
        <f t="shared" si="50"/>
        <v/>
      </c>
      <c r="AM243" s="115" t="str">
        <f t="shared" si="51"/>
        <v/>
      </c>
      <c r="AN243" s="115" t="str">
        <f t="shared" si="52"/>
        <v/>
      </c>
      <c r="AO243" s="115" t="str">
        <f t="shared" si="53"/>
        <v/>
      </c>
      <c r="AP243" s="115" t="str">
        <f t="shared" si="54"/>
        <v/>
      </c>
      <c r="AQ243" s="115" t="str">
        <f t="shared" si="55"/>
        <v/>
      </c>
      <c r="AR243" s="115" t="str">
        <f t="shared" si="56"/>
        <v/>
      </c>
      <c r="AS243" s="115" t="str">
        <f t="shared" si="57"/>
        <v/>
      </c>
    </row>
    <row r="244" spans="1:45" s="134" customFormat="1" ht="28.5" outlineLevel="1" collapsed="1">
      <c r="A244" s="138" t="s">
        <v>1347</v>
      </c>
      <c r="B244" s="139" t="s">
        <v>1346</v>
      </c>
      <c r="C244" s="132"/>
      <c r="D244" s="119" t="s">
        <v>753</v>
      </c>
      <c r="E244" s="119" t="s">
        <v>1124</v>
      </c>
      <c r="F244" s="119" t="s">
        <v>1123</v>
      </c>
      <c r="G244" s="119" t="s">
        <v>1122</v>
      </c>
      <c r="H244" s="119" t="s">
        <v>1121</v>
      </c>
      <c r="I244" s="119" t="s">
        <v>1120</v>
      </c>
      <c r="J244" s="119">
        <v>40</v>
      </c>
      <c r="K244" s="119" t="s">
        <v>371</v>
      </c>
      <c r="L244" s="119" t="s">
        <v>371</v>
      </c>
      <c r="M244" s="132" t="s">
        <v>1345</v>
      </c>
      <c r="N244" s="132"/>
      <c r="O244" s="132" t="s">
        <v>1344</v>
      </c>
      <c r="P244" s="132" t="s">
        <v>1343</v>
      </c>
      <c r="Q244" s="132" t="s">
        <v>1342</v>
      </c>
      <c r="R244" s="118" t="s">
        <v>1341</v>
      </c>
      <c r="S244" s="122"/>
      <c r="T244" s="122"/>
      <c r="U244" s="122"/>
      <c r="V244" s="132" t="s">
        <v>1340</v>
      </c>
      <c r="W244" s="132" t="s">
        <v>1339</v>
      </c>
      <c r="X244" s="118" t="s">
        <v>1338</v>
      </c>
      <c r="Y244" s="122" t="s">
        <v>1337</v>
      </c>
      <c r="Z244" s="122"/>
      <c r="AA244" s="122" t="s">
        <v>1336</v>
      </c>
      <c r="AB244" s="122"/>
      <c r="AC244" s="122"/>
      <c r="AD244" s="116" t="str">
        <f t="array" ref="AD244">IF(ISBLANK(AA244),,AA244&amp;("/"))&amp;IF(ISBLANK(Z244),,Z244&amp;("/"))&amp;IF(ISBLANK(Y244),,Y244&amp;("/"))&amp;IF(ISBLANK(X244),,X244&amp;("/"))&amp;IF(ISBLANK(W244),,W244&amp;("/"))&amp;IF(ISBLANK(V244),,V244&amp;("/"))&amp;IF(ISBLANK(U244),,U244&amp;("/"))&amp;IF(ISBLANK(T244),,T244&amp;("/"))&amp;IF(ISBLANK(S244),,S244&amp;("/"))&amp;IF(ISBLANK(R244),,R244&amp;("/"))&amp;IF(ISBLANK(Q244),,Q244&amp;("/"))&amp;IF(ISBLANK(P244),,P244&amp;("/"))&amp;IF(ISBLANK(O244),,O244&amp;("/"))&amp;IF(ISBLANK(N244),,N244&amp;("/"))&amp;IF(G244="-",M244,M244&amp;("_")&amp;MID(G244,1,1))</f>
        <v>SATA0_MPSWIT_M1/CAN0_TX_M3/I2C5_SCL_M3/SPI2_CSN0_M2/UART4_TX_M0/SAI2_MCLK_M1/VO_EBC_SDDO7/VO_LCDC_D7/DSMC_DATA5/GPIO3_C4_d</v>
      </c>
      <c r="AE244" s="115" t="str">
        <f t="shared" si="58"/>
        <v>y</v>
      </c>
      <c r="AF244" s="115" t="str">
        <f t="shared" ref="AF244:AF269" si="59">IF(ISNUMBER(FIND(N244,$B244)),"",N244)</f>
        <v/>
      </c>
      <c r="AG244" s="115" t="str">
        <f t="shared" ref="AG244:AG269" si="60">IF(ISNUMBER(FIND(O244,$B244)),"",O244)</f>
        <v/>
      </c>
      <c r="AH244" s="115" t="str">
        <f t="shared" ref="AH244:AH269" si="61">IF(ISNUMBER(FIND(P244,$B244)),"",P244)</f>
        <v/>
      </c>
      <c r="AI244" s="115" t="str">
        <f t="shared" ref="AI244:AI269" si="62">IF(ISNUMBER(FIND(Q244,$B244)),"",Q244)</f>
        <v/>
      </c>
      <c r="AJ244" s="115" t="str">
        <f t="shared" ref="AJ244:AJ269" si="63">IF(ISNUMBER(FIND(R244,$B244)),"",R244)</f>
        <v/>
      </c>
      <c r="AK244" s="115" t="str">
        <f t="shared" ref="AK244:AK269" si="64">IF(ISNUMBER(FIND(S244,$B244)),"",S244)</f>
        <v/>
      </c>
      <c r="AL244" s="115" t="str">
        <f t="shared" ref="AL244:AL269" si="65">IF(ISNUMBER(FIND(T244,$B244)),"",T244)</f>
        <v/>
      </c>
      <c r="AM244" s="115" t="str">
        <f t="shared" ref="AM244:AM269" si="66">IF(ISNUMBER(FIND(U244,$B244)),"",U244)</f>
        <v/>
      </c>
      <c r="AN244" s="115" t="str">
        <f t="shared" ref="AN244:AN269" si="67">IF(ISNUMBER(FIND(V244,$B244)),"",V244)</f>
        <v/>
      </c>
      <c r="AO244" s="115" t="str">
        <f t="shared" ref="AO244:AO269" si="68">IF(ISNUMBER(FIND(W244,$B244)),"",W244)</f>
        <v/>
      </c>
      <c r="AP244" s="115" t="str">
        <f t="shared" ref="AP244:AP269" si="69">IF(ISNUMBER(FIND(X244,$B244)),"",X244)</f>
        <v/>
      </c>
      <c r="AQ244" s="115" t="str">
        <f t="shared" ref="AQ244:AQ269" si="70">IF(ISNUMBER(FIND(Y244,$B244)),"",Y244)</f>
        <v/>
      </c>
      <c r="AR244" s="115" t="str">
        <f t="shared" ref="AR244:AR269" si="71">IF(ISNUMBER(FIND(Z244,$B244)),"",Z244)</f>
        <v/>
      </c>
      <c r="AS244" s="115" t="str">
        <f t="shared" ref="AS244:AS269" si="72">IF(ISNUMBER(FIND(AA244,$B244)),"",AA244)</f>
        <v/>
      </c>
    </row>
    <row r="245" spans="1:45" s="134" customFormat="1" ht="28.5" outlineLevel="1">
      <c r="A245" s="138" t="s">
        <v>1335</v>
      </c>
      <c r="B245" s="139" t="s">
        <v>1334</v>
      </c>
      <c r="C245" s="132"/>
      <c r="D245" s="119" t="s">
        <v>753</v>
      </c>
      <c r="E245" s="119" t="s">
        <v>1124</v>
      </c>
      <c r="F245" s="119" t="s">
        <v>1123</v>
      </c>
      <c r="G245" s="119" t="s">
        <v>1122</v>
      </c>
      <c r="H245" s="119" t="s">
        <v>1121</v>
      </c>
      <c r="I245" s="119" t="s">
        <v>1120</v>
      </c>
      <c r="J245" s="119">
        <v>40</v>
      </c>
      <c r="K245" s="119" t="s">
        <v>371</v>
      </c>
      <c r="L245" s="119" t="s">
        <v>371</v>
      </c>
      <c r="M245" s="132" t="s">
        <v>1333</v>
      </c>
      <c r="N245" s="132"/>
      <c r="O245" s="132" t="s">
        <v>1332</v>
      </c>
      <c r="P245" s="132" t="s">
        <v>1331</v>
      </c>
      <c r="Q245" s="132" t="s">
        <v>1330</v>
      </c>
      <c r="R245" s="118"/>
      <c r="S245" s="132"/>
      <c r="T245" s="118"/>
      <c r="U245" s="118"/>
      <c r="V245" s="132" t="s">
        <v>1329</v>
      </c>
      <c r="W245" s="132" t="s">
        <v>1328</v>
      </c>
      <c r="X245" s="118"/>
      <c r="Y245" s="132" t="s">
        <v>1327</v>
      </c>
      <c r="Z245" s="118"/>
      <c r="AA245" s="118"/>
      <c r="AB245" s="118"/>
      <c r="AC245" s="118"/>
      <c r="AD245" s="116" t="str">
        <f t="array" ref="AD245">IF(ISBLANK(AA245),,AA245&amp;("/"))&amp;IF(ISBLANK(Z245),,Z245&amp;("/"))&amp;IF(ISBLANK(Y245),,Y245&amp;("/"))&amp;IF(ISBLANK(X245),,X245&amp;("/"))&amp;IF(ISBLANK(W245),,W245&amp;("/"))&amp;IF(ISBLANK(V245),,V245&amp;("/"))&amp;IF(ISBLANK(U245),,U245&amp;("/"))&amp;IF(ISBLANK(T245),,T245&amp;("/"))&amp;IF(ISBLANK(S245),,S245&amp;("/"))&amp;IF(ISBLANK(R245),,R245&amp;("/"))&amp;IF(ISBLANK(Q245),,Q245&amp;("/"))&amp;IF(ISBLANK(P245),,P245&amp;("/"))&amp;IF(ISBLANK(O245),,O245&amp;("/"))&amp;IF(ISBLANK(N245),,N245&amp;("/"))&amp;IF(G245="-",M245,M245&amp;("_")&amp;MID(G245,1,1))</f>
        <v>PWM2_CH2_M3/SPI1_MISO_M2/UART8_RX_M0/VO_EBC_SDDO6/VO_LCDC_D6/DSMC_DATA4/GPIO3_C5_d</v>
      </c>
      <c r="AE245" s="115" t="str">
        <f t="shared" si="58"/>
        <v>y</v>
      </c>
      <c r="AF245" s="115" t="str">
        <f t="shared" si="59"/>
        <v/>
      </c>
      <c r="AG245" s="115" t="str">
        <f t="shared" si="60"/>
        <v/>
      </c>
      <c r="AH245" s="115" t="str">
        <f t="shared" si="61"/>
        <v/>
      </c>
      <c r="AI245" s="115" t="str">
        <f t="shared" si="62"/>
        <v/>
      </c>
      <c r="AJ245" s="115" t="str">
        <f t="shared" si="63"/>
        <v/>
      </c>
      <c r="AK245" s="115" t="str">
        <f t="shared" si="64"/>
        <v/>
      </c>
      <c r="AL245" s="115" t="str">
        <f t="shared" si="65"/>
        <v/>
      </c>
      <c r="AM245" s="115" t="str">
        <f t="shared" si="66"/>
        <v/>
      </c>
      <c r="AN245" s="115" t="str">
        <f t="shared" si="67"/>
        <v/>
      </c>
      <c r="AO245" s="115" t="str">
        <f t="shared" si="68"/>
        <v/>
      </c>
      <c r="AP245" s="115" t="str">
        <f t="shared" si="69"/>
        <v/>
      </c>
      <c r="AQ245" s="115" t="str">
        <f t="shared" si="70"/>
        <v/>
      </c>
      <c r="AR245" s="115" t="str">
        <f t="shared" si="71"/>
        <v/>
      </c>
      <c r="AS245" s="115" t="str">
        <f t="shared" si="72"/>
        <v/>
      </c>
    </row>
    <row r="246" spans="1:45" s="134" customFormat="1" ht="28.5" outlineLevel="1">
      <c r="A246" s="138" t="s">
        <v>1326</v>
      </c>
      <c r="B246" s="139" t="s">
        <v>1325</v>
      </c>
      <c r="C246" s="132"/>
      <c r="D246" s="119" t="s">
        <v>753</v>
      </c>
      <c r="E246" s="119" t="s">
        <v>1124</v>
      </c>
      <c r="F246" s="119" t="s">
        <v>1123</v>
      </c>
      <c r="G246" s="119" t="s">
        <v>1122</v>
      </c>
      <c r="H246" s="119" t="s">
        <v>1121</v>
      </c>
      <c r="I246" s="119" t="s">
        <v>1120</v>
      </c>
      <c r="J246" s="119">
        <v>40</v>
      </c>
      <c r="K246" s="119" t="s">
        <v>371</v>
      </c>
      <c r="L246" s="119" t="s">
        <v>371</v>
      </c>
      <c r="M246" s="132" t="s">
        <v>1324</v>
      </c>
      <c r="N246" s="132"/>
      <c r="O246" s="132" t="s">
        <v>1323</v>
      </c>
      <c r="P246" s="132" t="s">
        <v>1322</v>
      </c>
      <c r="Q246" s="132" t="s">
        <v>1321</v>
      </c>
      <c r="R246" s="132"/>
      <c r="S246" s="132"/>
      <c r="T246" s="118"/>
      <c r="U246" s="118"/>
      <c r="V246" s="132" t="s">
        <v>1320</v>
      </c>
      <c r="W246" s="132" t="s">
        <v>1319</v>
      </c>
      <c r="X246" s="132"/>
      <c r="Y246" s="132"/>
      <c r="Z246" s="118"/>
      <c r="AA246" s="118"/>
      <c r="AB246" s="118"/>
      <c r="AC246" s="118"/>
      <c r="AD246" s="116" t="str">
        <f t="array" ref="AD246">IF(ISBLANK(AA246),,AA246&amp;("/"))&amp;IF(ISBLANK(Z246),,Z246&amp;("/"))&amp;IF(ISBLANK(Y246),,Y246&amp;("/"))&amp;IF(ISBLANK(X246),,X246&amp;("/"))&amp;IF(ISBLANK(W246),,W246&amp;("/"))&amp;IF(ISBLANK(V246),,V246&amp;("/"))&amp;IF(ISBLANK(U246),,U246&amp;("/"))&amp;IF(ISBLANK(T246),,T246&amp;("/"))&amp;IF(ISBLANK(S246),,S246&amp;("/"))&amp;IF(ISBLANK(R246),,R246&amp;("/"))&amp;IF(ISBLANK(Q246),,Q246&amp;("/"))&amp;IF(ISBLANK(P246),,P246&amp;("/"))&amp;IF(ISBLANK(O246),,O246&amp;("/"))&amp;IF(ISBLANK(N246),,N246&amp;("/"))&amp;IF(G246="-",M246,M246&amp;("_")&amp;MID(G246,1,1))</f>
        <v>SPI1_MOSI_M2/UART8_TX_M0/VO_EBC_SDDO5/VO_LCDC_D5/DSMC_DATA3/GPIO3_C6_d</v>
      </c>
      <c r="AE246" s="115" t="str">
        <f t="shared" si="58"/>
        <v>y</v>
      </c>
      <c r="AF246" s="115" t="str">
        <f t="shared" si="59"/>
        <v/>
      </c>
      <c r="AG246" s="115" t="str">
        <f t="shared" si="60"/>
        <v/>
      </c>
      <c r="AH246" s="115" t="str">
        <f t="shared" si="61"/>
        <v/>
      </c>
      <c r="AI246" s="115" t="str">
        <f t="shared" si="62"/>
        <v/>
      </c>
      <c r="AJ246" s="115" t="str">
        <f t="shared" si="63"/>
        <v/>
      </c>
      <c r="AK246" s="115" t="str">
        <f t="shared" si="64"/>
        <v/>
      </c>
      <c r="AL246" s="115" t="str">
        <f t="shared" si="65"/>
        <v/>
      </c>
      <c r="AM246" s="115" t="str">
        <f t="shared" si="66"/>
        <v/>
      </c>
      <c r="AN246" s="115" t="str">
        <f t="shared" si="67"/>
        <v/>
      </c>
      <c r="AO246" s="115" t="str">
        <f t="shared" si="68"/>
        <v/>
      </c>
      <c r="AP246" s="115" t="str">
        <f t="shared" si="69"/>
        <v/>
      </c>
      <c r="AQ246" s="115" t="str">
        <f t="shared" si="70"/>
        <v/>
      </c>
      <c r="AR246" s="115" t="str">
        <f t="shared" si="71"/>
        <v/>
      </c>
      <c r="AS246" s="115" t="str">
        <f t="shared" si="72"/>
        <v/>
      </c>
    </row>
    <row r="247" spans="1:45" s="134" customFormat="1" ht="28.5" outlineLevel="1">
      <c r="A247" s="138" t="s">
        <v>1318</v>
      </c>
      <c r="B247" s="139" t="s">
        <v>1317</v>
      </c>
      <c r="C247" s="132"/>
      <c r="D247" s="119" t="s">
        <v>753</v>
      </c>
      <c r="E247" s="119" t="s">
        <v>1124</v>
      </c>
      <c r="F247" s="119" t="s">
        <v>1123</v>
      </c>
      <c r="G247" s="119" t="s">
        <v>1122</v>
      </c>
      <c r="H247" s="119" t="s">
        <v>1121</v>
      </c>
      <c r="I247" s="119" t="s">
        <v>1120</v>
      </c>
      <c r="J247" s="119">
        <v>40</v>
      </c>
      <c r="K247" s="119" t="s">
        <v>371</v>
      </c>
      <c r="L247" s="119" t="s">
        <v>371</v>
      </c>
      <c r="M247" s="132" t="s">
        <v>1316</v>
      </c>
      <c r="N247" s="132"/>
      <c r="O247" s="132" t="s">
        <v>1315</v>
      </c>
      <c r="P247" s="132" t="s">
        <v>1314</v>
      </c>
      <c r="Q247" s="132" t="s">
        <v>1313</v>
      </c>
      <c r="R247" s="132"/>
      <c r="S247" s="118"/>
      <c r="T247" s="118"/>
      <c r="U247" s="118"/>
      <c r="V247" s="132" t="s">
        <v>1312</v>
      </c>
      <c r="W247" s="132" t="s">
        <v>1311</v>
      </c>
      <c r="X247" s="132"/>
      <c r="Y247" s="118"/>
      <c r="Z247" s="118"/>
      <c r="AA247" s="118" t="s">
        <v>1310</v>
      </c>
      <c r="AB247" s="118"/>
      <c r="AC247" s="118"/>
      <c r="AD247" s="116" t="str">
        <f t="array" ref="AD247">IF(ISBLANK(AA247),,AA247&amp;("/"))&amp;IF(ISBLANK(Z247),,Z247&amp;("/"))&amp;IF(ISBLANK(Y247),,Y247&amp;("/"))&amp;IF(ISBLANK(X247),,X247&amp;("/"))&amp;IF(ISBLANK(W247),,W247&amp;("/"))&amp;IF(ISBLANK(V247),,V247&amp;("/"))&amp;IF(ISBLANK(U247),,U247&amp;("/"))&amp;IF(ISBLANK(T247),,T247&amp;("/"))&amp;IF(ISBLANK(S247),,S247&amp;("/"))&amp;IF(ISBLANK(R247),,R247&amp;("/"))&amp;IF(ISBLANK(Q247),,Q247&amp;("/"))&amp;IF(ISBLANK(P247),,P247&amp;("/"))&amp;IF(ISBLANK(O247),,O247&amp;("/"))&amp;IF(ISBLANK(N247),,N247&amp;("/"))&amp;IF(G247="-",M247,M247&amp;("_")&amp;MID(G247,1,1))</f>
        <v>SATA0_CPPOD_M1/SPI1_CLK_M2/UART8_RTSN_M0/VO_EBC_SDDO4/VO_LCDC_D4/DSMC_DATA2/GPIO3_C7_d</v>
      </c>
      <c r="AE247" s="115" t="str">
        <f t="shared" si="58"/>
        <v>y</v>
      </c>
      <c r="AF247" s="115" t="str">
        <f t="shared" si="59"/>
        <v/>
      </c>
      <c r="AG247" s="115" t="str">
        <f t="shared" si="60"/>
        <v/>
      </c>
      <c r="AH247" s="115" t="str">
        <f t="shared" si="61"/>
        <v/>
      </c>
      <c r="AI247" s="115" t="str">
        <f t="shared" si="62"/>
        <v/>
      </c>
      <c r="AJ247" s="115" t="str">
        <f t="shared" si="63"/>
        <v/>
      </c>
      <c r="AK247" s="115" t="str">
        <f t="shared" si="64"/>
        <v/>
      </c>
      <c r="AL247" s="115" t="str">
        <f t="shared" si="65"/>
        <v/>
      </c>
      <c r="AM247" s="115" t="str">
        <f t="shared" si="66"/>
        <v/>
      </c>
      <c r="AN247" s="115" t="str">
        <f t="shared" si="67"/>
        <v/>
      </c>
      <c r="AO247" s="115" t="str">
        <f t="shared" si="68"/>
        <v/>
      </c>
      <c r="AP247" s="115" t="str">
        <f t="shared" si="69"/>
        <v/>
      </c>
      <c r="AQ247" s="115" t="str">
        <f t="shared" si="70"/>
        <v/>
      </c>
      <c r="AR247" s="115" t="str">
        <f t="shared" si="71"/>
        <v/>
      </c>
      <c r="AS247" s="115" t="str">
        <f t="shared" si="72"/>
        <v/>
      </c>
    </row>
    <row r="248" spans="1:45" s="134" customFormat="1" ht="28.5" outlineLevel="1">
      <c r="A248" s="138" t="s">
        <v>1309</v>
      </c>
      <c r="B248" s="139" t="s">
        <v>1308</v>
      </c>
      <c r="C248" s="132"/>
      <c r="D248" s="119" t="s">
        <v>753</v>
      </c>
      <c r="E248" s="119" t="s">
        <v>1124</v>
      </c>
      <c r="F248" s="119" t="s">
        <v>1123</v>
      </c>
      <c r="G248" s="119" t="s">
        <v>1122</v>
      </c>
      <c r="H248" s="119" t="s">
        <v>1121</v>
      </c>
      <c r="I248" s="119" t="s">
        <v>1120</v>
      </c>
      <c r="J248" s="119">
        <v>40</v>
      </c>
      <c r="K248" s="119" t="s">
        <v>371</v>
      </c>
      <c r="L248" s="119" t="s">
        <v>371</v>
      </c>
      <c r="M248" s="132" t="s">
        <v>1307</v>
      </c>
      <c r="N248" s="132"/>
      <c r="O248" s="132" t="s">
        <v>1306</v>
      </c>
      <c r="P248" s="132" t="s">
        <v>1305</v>
      </c>
      <c r="Q248" s="132" t="s">
        <v>1304</v>
      </c>
      <c r="R248" s="132"/>
      <c r="S248" s="132"/>
      <c r="T248" s="118"/>
      <c r="U248" s="118"/>
      <c r="V248" s="132" t="s">
        <v>1303</v>
      </c>
      <c r="W248" s="132" t="s">
        <v>1302</v>
      </c>
      <c r="X248" s="132"/>
      <c r="Y248" s="132" t="s">
        <v>1301</v>
      </c>
      <c r="Z248" s="118"/>
      <c r="AA248" s="118" t="s">
        <v>1300</v>
      </c>
      <c r="AB248" s="118"/>
      <c r="AC248" s="118"/>
      <c r="AD248" s="116" t="str">
        <f t="array" ref="AD248">IF(ISBLANK(AA248),,AA248&amp;("/"))&amp;IF(ISBLANK(Z248),,Z248&amp;("/"))&amp;IF(ISBLANK(Y248),,Y248&amp;("/"))&amp;IF(ISBLANK(X248),,X248&amp;("/"))&amp;IF(ISBLANK(W248),,W248&amp;("/"))&amp;IF(ISBLANK(V248),,V248&amp;("/"))&amp;IF(ISBLANK(U248),,U248&amp;("/"))&amp;IF(ISBLANK(T248),,T248&amp;("/"))&amp;IF(ISBLANK(S248),,S248&amp;("/"))&amp;IF(ISBLANK(R248),,R248&amp;("/"))&amp;IF(ISBLANK(Q248),,Q248&amp;("/"))&amp;IF(ISBLANK(P248),,P248&amp;("/"))&amp;IF(ISBLANK(O248),,O248&amp;("/"))&amp;IF(ISBLANK(N248),,N248&amp;("/"))&amp;IF(G248="-",M248,M248&amp;("_")&amp;MID(G248,1,1))</f>
        <v>SATA0_CPDET_M1/PWM2_CH3_M3/SPI1_CSN0_M2/UART8_CTSN_M0/VO_EBC_SDDO3/VO_LCDC_D3/DSMC_DATA1/GPIO3_D0_d</v>
      </c>
      <c r="AE248" s="115" t="str">
        <f t="shared" si="58"/>
        <v>y</v>
      </c>
      <c r="AF248" s="115" t="str">
        <f t="shared" si="59"/>
        <v/>
      </c>
      <c r="AG248" s="115" t="str">
        <f t="shared" si="60"/>
        <v/>
      </c>
      <c r="AH248" s="115" t="str">
        <f t="shared" si="61"/>
        <v/>
      </c>
      <c r="AI248" s="115" t="str">
        <f t="shared" si="62"/>
        <v/>
      </c>
      <c r="AJ248" s="115" t="str">
        <f t="shared" si="63"/>
        <v/>
      </c>
      <c r="AK248" s="115" t="str">
        <f t="shared" si="64"/>
        <v/>
      </c>
      <c r="AL248" s="115" t="str">
        <f t="shared" si="65"/>
        <v/>
      </c>
      <c r="AM248" s="115" t="str">
        <f t="shared" si="66"/>
        <v/>
      </c>
      <c r="AN248" s="115" t="str">
        <f t="shared" si="67"/>
        <v/>
      </c>
      <c r="AO248" s="115" t="str">
        <f t="shared" si="68"/>
        <v/>
      </c>
      <c r="AP248" s="115" t="str">
        <f t="shared" si="69"/>
        <v/>
      </c>
      <c r="AQ248" s="115" t="str">
        <f t="shared" si="70"/>
        <v/>
      </c>
      <c r="AR248" s="115" t="str">
        <f t="shared" si="71"/>
        <v/>
      </c>
      <c r="AS248" s="115" t="str">
        <f t="shared" si="72"/>
        <v/>
      </c>
    </row>
    <row r="249" spans="1:45" s="134" customFormat="1" ht="28.5" outlineLevel="1">
      <c r="A249" s="138" t="s">
        <v>1299</v>
      </c>
      <c r="B249" s="139" t="s">
        <v>1298</v>
      </c>
      <c r="C249" s="132"/>
      <c r="D249" s="119" t="s">
        <v>753</v>
      </c>
      <c r="E249" s="119" t="s">
        <v>1124</v>
      </c>
      <c r="F249" s="119" t="s">
        <v>1123</v>
      </c>
      <c r="G249" s="119" t="s">
        <v>2092</v>
      </c>
      <c r="H249" s="119" t="s">
        <v>1121</v>
      </c>
      <c r="I249" s="119" t="s">
        <v>1120</v>
      </c>
      <c r="J249" s="119">
        <v>40</v>
      </c>
      <c r="K249" s="119" t="s">
        <v>371</v>
      </c>
      <c r="L249" s="119" t="s">
        <v>371</v>
      </c>
      <c r="M249" s="132" t="s">
        <v>1297</v>
      </c>
      <c r="N249" s="132" t="s">
        <v>1296</v>
      </c>
      <c r="O249" s="132" t="s">
        <v>1295</v>
      </c>
      <c r="P249" s="132" t="s">
        <v>1294</v>
      </c>
      <c r="Q249" s="132" t="s">
        <v>1293</v>
      </c>
      <c r="R249" s="132"/>
      <c r="S249" s="132"/>
      <c r="T249" s="118"/>
      <c r="U249" s="118"/>
      <c r="V249" s="132"/>
      <c r="W249" s="132" t="s">
        <v>1292</v>
      </c>
      <c r="X249" s="132"/>
      <c r="Y249" s="132"/>
      <c r="Z249" s="118"/>
      <c r="AA249" s="118"/>
      <c r="AB249" s="118"/>
      <c r="AC249" s="118"/>
      <c r="AD249" s="116" t="str">
        <f>IF(ISBLANK(AA249),,AA249&amp;("/"))&amp;IF(ISBLANK(Z249),,Z249&amp;("/"))&amp;IF(ISBLANK(Y249),,Y249&amp;("/"))&amp;IF(ISBLANK(X249),,X249&amp;("/"))&amp;IF(ISBLANK(W249),,W249&amp;("/"))&amp;IF(ISBLANK(V249),,V249&amp;("/"))&amp;IF(ISBLANK(U249),,U249&amp;("/"))&amp;IF(ISBLANK(T249),,T249&amp;("/"))&amp;IF(ISBLANK(S249),,S249&amp;("/"))&amp;IF(ISBLANK(R249),,R249&amp;("/"))&amp;IF(ISBLANK(Q249),,Q249&amp;("/"))&amp;IF(ISBLANK(P249),,P249&amp;("/"))&amp;IF(ISBLANK(O249),,O249&amp;("/"))&amp;IF(ISBLANK(N249),,N249&amp;("/"))&amp;IF(G249="-",M249,M249&amp;("_")&amp;MID(G249,6,6))</f>
        <v>SPI4_CLK_M1/VO_EBC_SDDO2/VO_LCDC_D2/DSMC_CSN2/ETH1_RXCLK_M0/GPIO3_D1_z</v>
      </c>
      <c r="AE249" s="115" t="str">
        <f t="shared" si="58"/>
        <v>y</v>
      </c>
      <c r="AF249" s="115" t="str">
        <f t="shared" si="59"/>
        <v/>
      </c>
      <c r="AG249" s="115" t="str">
        <f t="shared" si="60"/>
        <v/>
      </c>
      <c r="AH249" s="115" t="str">
        <f t="shared" si="61"/>
        <v/>
      </c>
      <c r="AI249" s="115" t="str">
        <f t="shared" si="62"/>
        <v/>
      </c>
      <c r="AJ249" s="115" t="str">
        <f t="shared" si="63"/>
        <v/>
      </c>
      <c r="AK249" s="115" t="str">
        <f t="shared" si="64"/>
        <v/>
      </c>
      <c r="AL249" s="115" t="str">
        <f t="shared" si="65"/>
        <v/>
      </c>
      <c r="AM249" s="115" t="str">
        <f t="shared" si="66"/>
        <v/>
      </c>
      <c r="AN249" s="115" t="str">
        <f t="shared" si="67"/>
        <v/>
      </c>
      <c r="AO249" s="115" t="str">
        <f t="shared" si="68"/>
        <v/>
      </c>
      <c r="AP249" s="115" t="str">
        <f t="shared" si="69"/>
        <v/>
      </c>
      <c r="AQ249" s="115" t="str">
        <f t="shared" si="70"/>
        <v/>
      </c>
      <c r="AR249" s="115" t="str">
        <f t="shared" si="71"/>
        <v/>
      </c>
      <c r="AS249" s="115" t="str">
        <f t="shared" si="72"/>
        <v/>
      </c>
    </row>
    <row r="250" spans="1:45" s="134" customFormat="1" ht="28.5" outlineLevel="1">
      <c r="A250" s="138" t="s">
        <v>1291</v>
      </c>
      <c r="B250" s="139" t="s">
        <v>1290</v>
      </c>
      <c r="C250" s="132"/>
      <c r="D250" s="119" t="s">
        <v>753</v>
      </c>
      <c r="E250" s="119" t="s">
        <v>1124</v>
      </c>
      <c r="F250" s="119" t="s">
        <v>1123</v>
      </c>
      <c r="G250" s="119" t="s">
        <v>2092</v>
      </c>
      <c r="H250" s="119" t="s">
        <v>1121</v>
      </c>
      <c r="I250" s="119" t="s">
        <v>1120</v>
      </c>
      <c r="J250" s="119">
        <v>40</v>
      </c>
      <c r="K250" s="119" t="s">
        <v>371</v>
      </c>
      <c r="L250" s="119" t="s">
        <v>371</v>
      </c>
      <c r="M250" s="132" t="s">
        <v>1289</v>
      </c>
      <c r="N250" s="132" t="s">
        <v>1288</v>
      </c>
      <c r="O250" s="132" t="s">
        <v>1287</v>
      </c>
      <c r="P250" s="132" t="s">
        <v>1286</v>
      </c>
      <c r="Q250" s="132" t="s">
        <v>1285</v>
      </c>
      <c r="R250" s="132" t="s">
        <v>1284</v>
      </c>
      <c r="S250" s="132"/>
      <c r="T250" s="118"/>
      <c r="U250" s="118"/>
      <c r="V250" s="132" t="s">
        <v>1283</v>
      </c>
      <c r="W250" s="132" t="s">
        <v>1282</v>
      </c>
      <c r="X250" s="132"/>
      <c r="Y250" s="132" t="s">
        <v>1281</v>
      </c>
      <c r="Z250" s="118"/>
      <c r="AA250" s="118"/>
      <c r="AB250" s="118"/>
      <c r="AC250" s="118"/>
      <c r="AD250" s="116" t="str">
        <f t="shared" ref="AD250:AD251" si="73">IF(ISBLANK(AA250),,AA250&amp;("/"))&amp;IF(ISBLANK(Z250),,Z250&amp;("/"))&amp;IF(ISBLANK(Y250),,Y250&amp;("/"))&amp;IF(ISBLANK(X250),,X250&amp;("/"))&amp;IF(ISBLANK(W250),,W250&amp;("/"))&amp;IF(ISBLANK(V250),,V250&amp;("/"))&amp;IF(ISBLANK(U250),,U250&amp;("/"))&amp;IF(ISBLANK(T250),,T250&amp;("/"))&amp;IF(ISBLANK(S250),,S250&amp;("/"))&amp;IF(ISBLANK(R250),,R250&amp;("/"))&amp;IF(ISBLANK(Q250),,Q250&amp;("/"))&amp;IF(ISBLANK(P250),,P250&amp;("/"))&amp;IF(ISBLANK(O250),,O250&amp;("/"))&amp;IF(ISBLANK(N250),,N250&amp;("/"))&amp;IF(G250="-",M250,M250&amp;("_")&amp;MID(G250,6,6))</f>
        <v>PWM2_CH4_M3/SPI4_CSN1_M1/UART2_RTSN_M2/SAI2_SDI_M1/VO_EBC_SDDO1/VO_LCDC_D1/DSMC_CSN3/ETH1_RXD3_M0/GPIO3_D2_z</v>
      </c>
      <c r="AE250" s="115" t="str">
        <f t="shared" si="58"/>
        <v>y</v>
      </c>
      <c r="AF250" s="115" t="str">
        <f t="shared" si="59"/>
        <v/>
      </c>
      <c r="AG250" s="115" t="str">
        <f t="shared" si="60"/>
        <v/>
      </c>
      <c r="AH250" s="115" t="str">
        <f t="shared" si="61"/>
        <v/>
      </c>
      <c r="AI250" s="115" t="str">
        <f t="shared" si="62"/>
        <v/>
      </c>
      <c r="AJ250" s="115" t="str">
        <f t="shared" si="63"/>
        <v/>
      </c>
      <c r="AK250" s="115" t="str">
        <f t="shared" si="64"/>
        <v/>
      </c>
      <c r="AL250" s="115" t="str">
        <f t="shared" si="65"/>
        <v/>
      </c>
      <c r="AM250" s="115" t="str">
        <f t="shared" si="66"/>
        <v/>
      </c>
      <c r="AN250" s="115" t="str">
        <f t="shared" si="67"/>
        <v/>
      </c>
      <c r="AO250" s="115" t="str">
        <f t="shared" si="68"/>
        <v/>
      </c>
      <c r="AP250" s="115" t="str">
        <f t="shared" si="69"/>
        <v/>
      </c>
      <c r="AQ250" s="115" t="str">
        <f t="shared" si="70"/>
        <v/>
      </c>
      <c r="AR250" s="115" t="str">
        <f t="shared" si="71"/>
        <v/>
      </c>
      <c r="AS250" s="115" t="str">
        <f t="shared" si="72"/>
        <v/>
      </c>
    </row>
    <row r="251" spans="1:45" s="134" customFormat="1" ht="28.5" outlineLevel="1">
      <c r="A251" s="138" t="s">
        <v>1280</v>
      </c>
      <c r="B251" s="139" t="s">
        <v>1279</v>
      </c>
      <c r="C251" s="132"/>
      <c r="D251" s="119" t="s">
        <v>753</v>
      </c>
      <c r="E251" s="119" t="s">
        <v>1124</v>
      </c>
      <c r="F251" s="119" t="s">
        <v>1123</v>
      </c>
      <c r="G251" s="119" t="s">
        <v>2092</v>
      </c>
      <c r="H251" s="119" t="s">
        <v>1121</v>
      </c>
      <c r="I251" s="119" t="s">
        <v>1120</v>
      </c>
      <c r="J251" s="119">
        <v>40</v>
      </c>
      <c r="K251" s="119" t="s">
        <v>371</v>
      </c>
      <c r="L251" s="119" t="s">
        <v>371</v>
      </c>
      <c r="M251" s="132" t="s">
        <v>1278</v>
      </c>
      <c r="N251" s="132" t="s">
        <v>1277</v>
      </c>
      <c r="O251" s="132" t="s">
        <v>1276</v>
      </c>
      <c r="P251" s="132" t="s">
        <v>1275</v>
      </c>
      <c r="Q251" s="132" t="s">
        <v>1274</v>
      </c>
      <c r="R251" s="132" t="s">
        <v>1273</v>
      </c>
      <c r="S251" s="132"/>
      <c r="T251" s="118"/>
      <c r="U251" s="118"/>
      <c r="V251" s="132" t="s">
        <v>1272</v>
      </c>
      <c r="W251" s="132" t="s">
        <v>1271</v>
      </c>
      <c r="X251" s="132"/>
      <c r="Y251" s="132" t="s">
        <v>1270</v>
      </c>
      <c r="Z251" s="118"/>
      <c r="AA251" s="118"/>
      <c r="AB251" s="118"/>
      <c r="AC251" s="118"/>
      <c r="AD251" s="116" t="str">
        <f t="shared" si="73"/>
        <v>PWM2_CH5_M3/SPI3_CSN1_M1/UART2_CTSN_M2/SAI2_SDO_M1/VO_EBC_SDDO0/VO_LCDC_D0/DSMC_CSN0/ETH1_RXD2_M0/GPIO3_D3_z</v>
      </c>
      <c r="AE251" s="115" t="str">
        <f t="shared" si="58"/>
        <v>y</v>
      </c>
      <c r="AF251" s="115" t="str">
        <f t="shared" si="59"/>
        <v/>
      </c>
      <c r="AG251" s="115" t="str">
        <f t="shared" si="60"/>
        <v/>
      </c>
      <c r="AH251" s="115" t="str">
        <f t="shared" si="61"/>
        <v/>
      </c>
      <c r="AI251" s="115" t="str">
        <f t="shared" si="62"/>
        <v/>
      </c>
      <c r="AJ251" s="115" t="str">
        <f t="shared" si="63"/>
        <v/>
      </c>
      <c r="AK251" s="115" t="str">
        <f t="shared" si="64"/>
        <v/>
      </c>
      <c r="AL251" s="115" t="str">
        <f t="shared" si="65"/>
        <v/>
      </c>
      <c r="AM251" s="115" t="str">
        <f t="shared" si="66"/>
        <v/>
      </c>
      <c r="AN251" s="115" t="str">
        <f t="shared" si="67"/>
        <v/>
      </c>
      <c r="AO251" s="115" t="str">
        <f t="shared" si="68"/>
        <v/>
      </c>
      <c r="AP251" s="115" t="str">
        <f t="shared" si="69"/>
        <v/>
      </c>
      <c r="AQ251" s="115" t="str">
        <f t="shared" si="70"/>
        <v/>
      </c>
      <c r="AR251" s="115" t="str">
        <f t="shared" si="71"/>
        <v/>
      </c>
      <c r="AS251" s="115" t="str">
        <f t="shared" si="72"/>
        <v/>
      </c>
    </row>
    <row r="252" spans="1:45" s="134" customFormat="1" ht="28.5" outlineLevel="1" collapsed="1">
      <c r="A252" s="138" t="s">
        <v>1269</v>
      </c>
      <c r="B252" s="139" t="s">
        <v>3476</v>
      </c>
      <c r="C252" s="132"/>
      <c r="D252" s="119" t="s">
        <v>753</v>
      </c>
      <c r="E252" s="119" t="s">
        <v>1124</v>
      </c>
      <c r="F252" s="119" t="s">
        <v>1123</v>
      </c>
      <c r="G252" s="119" t="s">
        <v>1122</v>
      </c>
      <c r="H252" s="119" t="s">
        <v>1121</v>
      </c>
      <c r="I252" s="119" t="s">
        <v>1120</v>
      </c>
      <c r="J252" s="119">
        <v>40</v>
      </c>
      <c r="K252" s="119" t="s">
        <v>371</v>
      </c>
      <c r="L252" s="119" t="s">
        <v>371</v>
      </c>
      <c r="M252" s="132" t="s">
        <v>1268</v>
      </c>
      <c r="N252" s="132"/>
      <c r="O252" s="132" t="s">
        <v>1267</v>
      </c>
      <c r="P252" s="132" t="s">
        <v>1266</v>
      </c>
      <c r="Q252" s="132" t="s">
        <v>1265</v>
      </c>
      <c r="R252" s="132" t="s">
        <v>1264</v>
      </c>
      <c r="S252" s="132"/>
      <c r="T252" s="122"/>
      <c r="U252" s="122"/>
      <c r="V252" s="132" t="s">
        <v>1263</v>
      </c>
      <c r="W252" s="132" t="s">
        <v>1262</v>
      </c>
      <c r="X252" s="132" t="s">
        <v>1261</v>
      </c>
      <c r="Y252" s="132"/>
      <c r="Z252" s="122"/>
      <c r="AA252" s="122"/>
      <c r="AB252" s="122"/>
      <c r="AC252" s="122"/>
      <c r="AD252" s="116" t="str">
        <f t="array" ref="AD252">IF(ISBLANK(AA252),,AA252&amp;("/"))&amp;IF(ISBLANK(Z252),,Z252&amp;("/"))&amp;IF(ISBLANK(Y252),,Y252&amp;("/"))&amp;IF(ISBLANK(X252),,X252&amp;("/"))&amp;IF(ISBLANK(W252),,W252&amp;("/"))&amp;IF(ISBLANK(V252),,V252&amp;("/"))&amp;IF(ISBLANK(U252),,U252&amp;("/"))&amp;IF(ISBLANK(T252),,T252&amp;("/"))&amp;IF(ISBLANK(S252),,S252&amp;("/"))&amp;IF(ISBLANK(R252),,R252&amp;("/"))&amp;IF(ISBLANK(Q252),,Q252&amp;("/"))&amp;IF(ISBLANK(P252),,P252&amp;("/"))&amp;IF(ISBLANK(O252),,O252&amp;("/"))&amp;IF(ISBLANK(N252),,N252&amp;("/"))&amp;IF(G252="-",M252,M252&amp;("_")&amp;MID(G252,1,1))</f>
        <v>I2C3_SCL_M2/SPI3_CLK_M1/UART5_RX_M0/SAI1_SDI1_M1/VO_EBC_SDLE/VO_LCDC_DEN/DSMC_DATA0/GPIO3_D4_d</v>
      </c>
      <c r="AE252" s="115" t="str">
        <f t="shared" si="58"/>
        <v>y</v>
      </c>
      <c r="AF252" s="115" t="str">
        <f t="shared" si="59"/>
        <v/>
      </c>
      <c r="AG252" s="115" t="str">
        <f t="shared" si="60"/>
        <v/>
      </c>
      <c r="AH252" s="115" t="str">
        <f t="shared" si="61"/>
        <v/>
      </c>
      <c r="AI252" s="115" t="str">
        <f t="shared" si="62"/>
        <v/>
      </c>
      <c r="AJ252" s="115" t="str">
        <f t="shared" si="63"/>
        <v/>
      </c>
      <c r="AK252" s="115" t="str">
        <f t="shared" si="64"/>
        <v/>
      </c>
      <c r="AL252" s="115" t="str">
        <f t="shared" si="65"/>
        <v/>
      </c>
      <c r="AM252" s="115" t="str">
        <f t="shared" si="66"/>
        <v/>
      </c>
      <c r="AN252" s="115" t="str">
        <f t="shared" si="67"/>
        <v/>
      </c>
      <c r="AO252" s="115" t="str">
        <f t="shared" si="68"/>
        <v/>
      </c>
      <c r="AP252" s="115" t="str">
        <f t="shared" si="69"/>
        <v/>
      </c>
      <c r="AQ252" s="115" t="str">
        <f t="shared" si="70"/>
        <v/>
      </c>
      <c r="AR252" s="115" t="str">
        <f t="shared" si="71"/>
        <v/>
      </c>
      <c r="AS252" s="115" t="str">
        <f t="shared" si="72"/>
        <v/>
      </c>
    </row>
    <row r="253" spans="1:45" s="134" customFormat="1" ht="28.5" outlineLevel="1">
      <c r="A253" s="138" t="s">
        <v>1260</v>
      </c>
      <c r="B253" s="139" t="s">
        <v>3477</v>
      </c>
      <c r="C253" s="132"/>
      <c r="D253" s="119" t="s">
        <v>753</v>
      </c>
      <c r="E253" s="119" t="s">
        <v>1124</v>
      </c>
      <c r="F253" s="119" t="s">
        <v>1123</v>
      </c>
      <c r="G253" s="119" t="s">
        <v>1122</v>
      </c>
      <c r="H253" s="119" t="s">
        <v>1121</v>
      </c>
      <c r="I253" s="119" t="s">
        <v>1120</v>
      </c>
      <c r="J253" s="119">
        <v>40</v>
      </c>
      <c r="K253" s="119" t="s">
        <v>371</v>
      </c>
      <c r="L253" s="119" t="s">
        <v>371</v>
      </c>
      <c r="M253" s="132" t="s">
        <v>1259</v>
      </c>
      <c r="N253" s="132"/>
      <c r="O253" s="132" t="s">
        <v>1258</v>
      </c>
      <c r="P253" s="132" t="s">
        <v>1257</v>
      </c>
      <c r="Q253" s="132" t="s">
        <v>1256</v>
      </c>
      <c r="R253" s="132" t="s">
        <v>1255</v>
      </c>
      <c r="S253" s="118"/>
      <c r="T253" s="118"/>
      <c r="U253" s="118"/>
      <c r="V253" s="132" t="s">
        <v>1254</v>
      </c>
      <c r="W253" s="132" t="s">
        <v>1253</v>
      </c>
      <c r="X253" s="132" t="s">
        <v>1252</v>
      </c>
      <c r="Y253" s="118"/>
      <c r="Z253" s="118"/>
      <c r="AA253" s="118"/>
      <c r="AB253" s="118"/>
      <c r="AC253" s="118"/>
      <c r="AD253" s="116" t="str">
        <f t="array" ref="AD253">IF(ISBLANK(AA253),,AA253&amp;("/"))&amp;IF(ISBLANK(Z253),,Z253&amp;("/"))&amp;IF(ISBLANK(Y253),,Y253&amp;("/"))&amp;IF(ISBLANK(X253),,X253&amp;("/"))&amp;IF(ISBLANK(W253),,W253&amp;("/"))&amp;IF(ISBLANK(V253),,V253&amp;("/"))&amp;IF(ISBLANK(U253),,U253&amp;("/"))&amp;IF(ISBLANK(T253),,T253&amp;("/"))&amp;IF(ISBLANK(S253),,S253&amp;("/"))&amp;IF(ISBLANK(R253),,R253&amp;("/"))&amp;IF(ISBLANK(Q253),,Q253&amp;("/"))&amp;IF(ISBLANK(P253),,P253&amp;("/"))&amp;IF(ISBLANK(O253),,O253&amp;("/"))&amp;IF(ISBLANK(N253),,N253&amp;("/"))&amp;IF(G253="-",M253,M253&amp;("_")&amp;MID(G253,1,1))</f>
        <v>I2C3_SDA_M2/SPI3_MISO_M1/UART5_TX_M0/SAI1_SDI2_M1/VO_EBC_GDCLK/VO_LCDC_HSYNC/DSMC_CLKP/GPIO3_D5_d</v>
      </c>
      <c r="AE253" s="115" t="str">
        <f t="shared" si="58"/>
        <v>y</v>
      </c>
      <c r="AF253" s="115" t="str">
        <f t="shared" si="59"/>
        <v/>
      </c>
      <c r="AG253" s="115" t="str">
        <f t="shared" si="60"/>
        <v/>
      </c>
      <c r="AH253" s="115" t="str">
        <f t="shared" si="61"/>
        <v/>
      </c>
      <c r="AI253" s="115" t="str">
        <f t="shared" si="62"/>
        <v/>
      </c>
      <c r="AJ253" s="115" t="str">
        <f t="shared" si="63"/>
        <v/>
      </c>
      <c r="AK253" s="115" t="str">
        <f t="shared" si="64"/>
        <v/>
      </c>
      <c r="AL253" s="115" t="str">
        <f t="shared" si="65"/>
        <v/>
      </c>
      <c r="AM253" s="115" t="str">
        <f t="shared" si="66"/>
        <v/>
      </c>
      <c r="AN253" s="115" t="str">
        <f t="shared" si="67"/>
        <v/>
      </c>
      <c r="AO253" s="115" t="str">
        <f t="shared" si="68"/>
        <v/>
      </c>
      <c r="AP253" s="115" t="str">
        <f t="shared" si="69"/>
        <v/>
      </c>
      <c r="AQ253" s="115" t="str">
        <f t="shared" si="70"/>
        <v/>
      </c>
      <c r="AR253" s="115" t="str">
        <f t="shared" si="71"/>
        <v/>
      </c>
      <c r="AS253" s="115" t="str">
        <f t="shared" si="72"/>
        <v/>
      </c>
    </row>
    <row r="254" spans="1:45" s="134" customFormat="1" ht="28.5" outlineLevel="1">
      <c r="A254" s="138" t="s">
        <v>1251</v>
      </c>
      <c r="B254" s="139" t="s">
        <v>1250</v>
      </c>
      <c r="C254" s="132"/>
      <c r="D254" s="119" t="s">
        <v>753</v>
      </c>
      <c r="E254" s="119" t="s">
        <v>1124</v>
      </c>
      <c r="F254" s="119" t="s">
        <v>1123</v>
      </c>
      <c r="G254" s="119" t="s">
        <v>1122</v>
      </c>
      <c r="H254" s="119" t="s">
        <v>1121</v>
      </c>
      <c r="I254" s="119" t="s">
        <v>1120</v>
      </c>
      <c r="J254" s="119">
        <v>40</v>
      </c>
      <c r="K254" s="119" t="s">
        <v>371</v>
      </c>
      <c r="L254" s="119" t="s">
        <v>371</v>
      </c>
      <c r="M254" s="132" t="s">
        <v>1249</v>
      </c>
      <c r="N254" s="132"/>
      <c r="O254" s="132" t="s">
        <v>1248</v>
      </c>
      <c r="P254" s="132" t="s">
        <v>1247</v>
      </c>
      <c r="Q254" s="132" t="s">
        <v>1246</v>
      </c>
      <c r="R254" s="132" t="s">
        <v>1245</v>
      </c>
      <c r="S254" s="132"/>
      <c r="T254" s="132"/>
      <c r="U254" s="118"/>
      <c r="V254" s="132" t="s">
        <v>1244</v>
      </c>
      <c r="W254" s="132" t="s">
        <v>1243</v>
      </c>
      <c r="X254" s="132"/>
      <c r="Y254" s="132" t="s">
        <v>1242</v>
      </c>
      <c r="Z254" s="132"/>
      <c r="AA254" s="118"/>
      <c r="AB254" s="118"/>
      <c r="AC254" s="118"/>
      <c r="AD254" s="116" t="str">
        <f t="array" ref="AD254">IF(ISBLANK(AA254),,AA254&amp;("/"))&amp;IF(ISBLANK(Z254),,Z254&amp;("/"))&amp;IF(ISBLANK(Y254),,Y254&amp;("/"))&amp;IF(ISBLANK(X254),,X254&amp;("/"))&amp;IF(ISBLANK(W254),,W254&amp;("/"))&amp;IF(ISBLANK(V254),,V254&amp;("/"))&amp;IF(ISBLANK(U254),,U254&amp;("/"))&amp;IF(ISBLANK(T254),,T254&amp;("/"))&amp;IF(ISBLANK(S254),,S254&amp;("/"))&amp;IF(ISBLANK(R254),,R254&amp;("/"))&amp;IF(ISBLANK(Q254),,Q254&amp;("/"))&amp;IF(ISBLANK(P254),,P254&amp;("/"))&amp;IF(ISBLANK(O254),,O254&amp;("/"))&amp;IF(ISBLANK(N254),,N254&amp;("/"))&amp;IF(G254="-",M254,M254&amp;("_")&amp;MID(G254,1,1))</f>
        <v>PWM2_CH6_M2/SPI3_MOSI_M1/UART5_CTSN_M0/SAI1_SDI3_M1/VO_EBC_SDCLK/VO_LCDC_VSYNC/DSMC_CLKN/GPIO3_D6_d</v>
      </c>
      <c r="AE254" s="115" t="str">
        <f t="shared" si="58"/>
        <v>y</v>
      </c>
      <c r="AF254" s="115" t="str">
        <f t="shared" si="59"/>
        <v/>
      </c>
      <c r="AG254" s="115" t="str">
        <f t="shared" si="60"/>
        <v/>
      </c>
      <c r="AH254" s="115" t="str">
        <f t="shared" si="61"/>
        <v/>
      </c>
      <c r="AI254" s="115" t="str">
        <f t="shared" si="62"/>
        <v/>
      </c>
      <c r="AJ254" s="115" t="str">
        <f t="shared" si="63"/>
        <v/>
      </c>
      <c r="AK254" s="115" t="str">
        <f t="shared" si="64"/>
        <v/>
      </c>
      <c r="AL254" s="115" t="str">
        <f t="shared" si="65"/>
        <v/>
      </c>
      <c r="AM254" s="115" t="str">
        <f t="shared" si="66"/>
        <v/>
      </c>
      <c r="AN254" s="115" t="str">
        <f t="shared" si="67"/>
        <v/>
      </c>
      <c r="AO254" s="115" t="str">
        <f t="shared" si="68"/>
        <v/>
      </c>
      <c r="AP254" s="115" t="str">
        <f t="shared" si="69"/>
        <v/>
      </c>
      <c r="AQ254" s="115" t="str">
        <f t="shared" si="70"/>
        <v/>
      </c>
      <c r="AR254" s="115" t="str">
        <f t="shared" si="71"/>
        <v/>
      </c>
      <c r="AS254" s="115" t="str">
        <f t="shared" si="72"/>
        <v/>
      </c>
    </row>
    <row r="255" spans="1:45" s="134" customFormat="1" ht="28.5" outlineLevel="1">
      <c r="A255" s="138" t="s">
        <v>1241</v>
      </c>
      <c r="B255" s="139" t="s">
        <v>1240</v>
      </c>
      <c r="C255" s="132"/>
      <c r="D255" s="119" t="s">
        <v>753</v>
      </c>
      <c r="E255" s="119" t="s">
        <v>1124</v>
      </c>
      <c r="F255" s="119" t="s">
        <v>1123</v>
      </c>
      <c r="G255" s="119" t="s">
        <v>1122</v>
      </c>
      <c r="H255" s="119" t="s">
        <v>1121</v>
      </c>
      <c r="I255" s="119" t="s">
        <v>1120</v>
      </c>
      <c r="J255" s="119">
        <v>40</v>
      </c>
      <c r="K255" s="119" t="s">
        <v>371</v>
      </c>
      <c r="L255" s="119" t="s">
        <v>371</v>
      </c>
      <c r="M255" s="132" t="s">
        <v>1239</v>
      </c>
      <c r="N255" s="132" t="s">
        <v>1238</v>
      </c>
      <c r="O255" s="132" t="s">
        <v>1237</v>
      </c>
      <c r="P255" s="132" t="s">
        <v>1236</v>
      </c>
      <c r="Q255" s="132" t="s">
        <v>1235</v>
      </c>
      <c r="R255" s="132" t="s">
        <v>1234</v>
      </c>
      <c r="S255" s="118"/>
      <c r="T255" s="118"/>
      <c r="U255" s="118"/>
      <c r="V255" s="132" t="s">
        <v>1233</v>
      </c>
      <c r="W255" s="132"/>
      <c r="X255" s="132"/>
      <c r="Y255" s="118" t="s">
        <v>1232</v>
      </c>
      <c r="Z255" s="118"/>
      <c r="AA255" s="118" t="s">
        <v>1231</v>
      </c>
      <c r="AB255" s="118"/>
      <c r="AC255" s="118"/>
      <c r="AD255" s="116" t="str">
        <f t="array" ref="AD255">IF(ISBLANK(AA255),,AA255&amp;("/"))&amp;IF(ISBLANK(Z255),,Z255&amp;("/"))&amp;IF(ISBLANK(Y255),,Y255&amp;("/"))&amp;IF(ISBLANK(X255),,X255&amp;("/"))&amp;IF(ISBLANK(W255),,W255&amp;("/"))&amp;IF(ISBLANK(V255),,V255&amp;("/"))&amp;IF(ISBLANK(U255),,U255&amp;("/"))&amp;IF(ISBLANK(T255),,T255&amp;("/"))&amp;IF(ISBLANK(S255),,S255&amp;("/"))&amp;IF(ISBLANK(R255),,R255&amp;("/"))&amp;IF(ISBLANK(Q255),,Q255&amp;("/"))&amp;IF(ISBLANK(P255),,P255&amp;("/"))&amp;IF(ISBLANK(O255),,O255&amp;("/"))&amp;IF(ISBLANK(N255),,N255&amp;("/"))&amp;IF(G255="-",M255,M255&amp;("_")&amp;MID(G255,1,1))</f>
        <v>SATA1_MPSWIT_M1/PWM2_CH7_M2/UART5_RTSN_M0/SAI1_SDO1_M1/VO_EBC_SDOE/VO_LCDC_CLK/DSMC_RESETN/CAM_CLK0_OUT_M0/GPIO3_D7_d</v>
      </c>
      <c r="AE255" s="115" t="str">
        <f t="shared" si="58"/>
        <v>y</v>
      </c>
      <c r="AF255" s="115" t="str">
        <f t="shared" si="59"/>
        <v/>
      </c>
      <c r="AG255" s="115" t="str">
        <f t="shared" si="60"/>
        <v/>
      </c>
      <c r="AH255" s="115" t="str">
        <f t="shared" si="61"/>
        <v/>
      </c>
      <c r="AI255" s="115" t="str">
        <f t="shared" si="62"/>
        <v/>
      </c>
      <c r="AJ255" s="115" t="str">
        <f t="shared" si="63"/>
        <v/>
      </c>
      <c r="AK255" s="115" t="str">
        <f t="shared" si="64"/>
        <v/>
      </c>
      <c r="AL255" s="115" t="str">
        <f t="shared" si="65"/>
        <v/>
      </c>
      <c r="AM255" s="115" t="str">
        <f t="shared" si="66"/>
        <v/>
      </c>
      <c r="AN255" s="115" t="str">
        <f t="shared" si="67"/>
        <v/>
      </c>
      <c r="AO255" s="115" t="str">
        <f t="shared" si="68"/>
        <v/>
      </c>
      <c r="AP255" s="115" t="str">
        <f t="shared" si="69"/>
        <v/>
      </c>
      <c r="AQ255" s="115" t="str">
        <f t="shared" si="70"/>
        <v/>
      </c>
      <c r="AR255" s="115" t="str">
        <f t="shared" si="71"/>
        <v/>
      </c>
      <c r="AS255" s="115" t="str">
        <f t="shared" si="72"/>
        <v/>
      </c>
    </row>
    <row r="256" spans="1:45" s="134" customFormat="1" ht="42.75" outlineLevel="1">
      <c r="A256" s="138" t="s">
        <v>1230</v>
      </c>
      <c r="B256" s="139" t="s">
        <v>1229</v>
      </c>
      <c r="C256" s="132"/>
      <c r="D256" s="119" t="s">
        <v>753</v>
      </c>
      <c r="E256" s="119" t="s">
        <v>1124</v>
      </c>
      <c r="F256" s="119" t="s">
        <v>1123</v>
      </c>
      <c r="G256" s="119" t="s">
        <v>1122</v>
      </c>
      <c r="H256" s="119" t="s">
        <v>1121</v>
      </c>
      <c r="I256" s="119" t="s">
        <v>1120</v>
      </c>
      <c r="J256" s="119">
        <v>40</v>
      </c>
      <c r="K256" s="119" t="s">
        <v>371</v>
      </c>
      <c r="L256" s="119" t="s">
        <v>371</v>
      </c>
      <c r="M256" s="132" t="s">
        <v>1228</v>
      </c>
      <c r="N256" s="132" t="s">
        <v>1227</v>
      </c>
      <c r="O256" s="132" t="s">
        <v>1226</v>
      </c>
      <c r="P256" s="132" t="s">
        <v>1225</v>
      </c>
      <c r="Q256" s="132" t="s">
        <v>1224</v>
      </c>
      <c r="R256" s="132" t="s">
        <v>1223</v>
      </c>
      <c r="S256" s="118"/>
      <c r="T256" s="118"/>
      <c r="U256" s="118"/>
      <c r="V256" s="132" t="s">
        <v>1222</v>
      </c>
      <c r="W256" s="132" t="s">
        <v>1221</v>
      </c>
      <c r="X256" s="132" t="s">
        <v>1220</v>
      </c>
      <c r="Y256" s="118" t="s">
        <v>1219</v>
      </c>
      <c r="Z256" s="118"/>
      <c r="AA256" s="118" t="s">
        <v>1218</v>
      </c>
      <c r="AB256" s="118"/>
      <c r="AC256" s="118"/>
      <c r="AD256" s="116" t="str">
        <f t="array" ref="AD256">IF(ISBLANK(AA256),,AA256&amp;("/"))&amp;IF(ISBLANK(Z256),,Z256&amp;("/"))&amp;IF(ISBLANK(Y256),,Y256&amp;("/"))&amp;IF(ISBLANK(X256),,X256&amp;("/"))&amp;IF(ISBLANK(W256),,W256&amp;("/"))&amp;IF(ISBLANK(V256),,V256&amp;("/"))&amp;IF(ISBLANK(U256),,U256&amp;("/"))&amp;IF(ISBLANK(T256),,T256&amp;("/"))&amp;IF(ISBLANK(S256),,S256&amp;("/"))&amp;IF(ISBLANK(R256),,R256&amp;("/"))&amp;IF(ISBLANK(Q256),,Q256&amp;("/"))&amp;IF(ISBLANK(P256),,P256&amp;("/"))&amp;IF(ISBLANK(O256),,O256&amp;("/"))&amp;IF(ISBLANK(N256),,N256&amp;("/"))&amp;IF(G256="-",M256,M256&amp;("_")&amp;MID(G256,1,1))</f>
        <v>SATA1_CPPOD_M1/SPDIF_RX0_M4/I2C7_SCL_M2/SPI1_CSN1_M2/UART9_TX_M1/SAI1_SDO0_M1/VO_EBC_BORDER0/MIPI_TE_M2/DSMC_INT0/CAM_CLK1_OUT_M0/GPIO4_A0_d</v>
      </c>
      <c r="AE256" s="115" t="str">
        <f t="shared" si="58"/>
        <v>y</v>
      </c>
      <c r="AF256" s="115" t="str">
        <f t="shared" si="59"/>
        <v/>
      </c>
      <c r="AG256" s="115" t="str">
        <f t="shared" si="60"/>
        <v/>
      </c>
      <c r="AH256" s="115" t="str">
        <f t="shared" si="61"/>
        <v/>
      </c>
      <c r="AI256" s="115" t="str">
        <f t="shared" si="62"/>
        <v/>
      </c>
      <c r="AJ256" s="115" t="str">
        <f t="shared" si="63"/>
        <v/>
      </c>
      <c r="AK256" s="115" t="str">
        <f t="shared" si="64"/>
        <v/>
      </c>
      <c r="AL256" s="115" t="str">
        <f t="shared" si="65"/>
        <v/>
      </c>
      <c r="AM256" s="115" t="str">
        <f t="shared" si="66"/>
        <v/>
      </c>
      <c r="AN256" s="115" t="str">
        <f t="shared" si="67"/>
        <v/>
      </c>
      <c r="AO256" s="115" t="str">
        <f t="shared" si="68"/>
        <v/>
      </c>
      <c r="AP256" s="115" t="str">
        <f t="shared" si="69"/>
        <v/>
      </c>
      <c r="AQ256" s="115" t="str">
        <f t="shared" si="70"/>
        <v/>
      </c>
      <c r="AR256" s="115" t="str">
        <f t="shared" si="71"/>
        <v/>
      </c>
      <c r="AS256" s="115" t="str">
        <f t="shared" si="72"/>
        <v/>
      </c>
    </row>
    <row r="257" spans="1:45" s="134" customFormat="1" ht="28.5" outlineLevel="1">
      <c r="A257" s="138" t="s">
        <v>1217</v>
      </c>
      <c r="B257" s="139" t="s">
        <v>1216</v>
      </c>
      <c r="C257" s="132"/>
      <c r="D257" s="119" t="s">
        <v>753</v>
      </c>
      <c r="E257" s="119" t="s">
        <v>1124</v>
      </c>
      <c r="F257" s="119" t="s">
        <v>1123</v>
      </c>
      <c r="G257" s="119" t="s">
        <v>1122</v>
      </c>
      <c r="H257" s="119" t="s">
        <v>1121</v>
      </c>
      <c r="I257" s="119" t="s">
        <v>1120</v>
      </c>
      <c r="J257" s="119">
        <v>40</v>
      </c>
      <c r="K257" s="119" t="s">
        <v>371</v>
      </c>
      <c r="L257" s="119" t="s">
        <v>371</v>
      </c>
      <c r="M257" s="132" t="s">
        <v>1215</v>
      </c>
      <c r="N257" s="132" t="s">
        <v>1214</v>
      </c>
      <c r="O257" s="132" t="s">
        <v>1213</v>
      </c>
      <c r="P257" s="132" t="s">
        <v>1212</v>
      </c>
      <c r="Q257" s="132" t="s">
        <v>1211</v>
      </c>
      <c r="R257" s="132" t="s">
        <v>1210</v>
      </c>
      <c r="S257" s="118"/>
      <c r="T257" s="118"/>
      <c r="U257" s="118"/>
      <c r="V257" s="132" t="s">
        <v>1209</v>
      </c>
      <c r="W257" s="132"/>
      <c r="X257" s="132" t="s">
        <v>1208</v>
      </c>
      <c r="Y257" s="118" t="s">
        <v>1207</v>
      </c>
      <c r="Z257" s="118"/>
      <c r="AA257" s="118" t="s">
        <v>1206</v>
      </c>
      <c r="AB257" s="118"/>
      <c r="AC257" s="118"/>
      <c r="AD257" s="116" t="str">
        <f t="array" ref="AD257">IF(ISBLANK(AA257),,AA257&amp;("/"))&amp;IF(ISBLANK(Z257),,Z257&amp;("/"))&amp;IF(ISBLANK(Y257),,Y257&amp;("/"))&amp;IF(ISBLANK(X257),,X257&amp;("/"))&amp;IF(ISBLANK(W257),,W257&amp;("/"))&amp;IF(ISBLANK(V257),,V257&amp;("/"))&amp;IF(ISBLANK(U257),,U257&amp;("/"))&amp;IF(ISBLANK(T257),,T257&amp;("/"))&amp;IF(ISBLANK(S257),,S257&amp;("/"))&amp;IF(ISBLANK(R257),,R257&amp;("/"))&amp;IF(ISBLANK(Q257),,Q257&amp;("/"))&amp;IF(ISBLANK(P257),,P257&amp;("/"))&amp;IF(ISBLANK(O257),,O257&amp;("/"))&amp;IF(ISBLANK(N257),,N257&amp;("/"))&amp;IF(G257="-",M257,M257&amp;("_")&amp;MID(G257,1,1))</f>
        <v>SATA1_CPDET_M1/SPDIF_TX0_M4/I2C7_SDA_M2/UART9_RX_M1/SAI1_LRCK_M1/VO_EBC_BORDER1/VO_POST_EMPTY/DSMC_INT2/CAM_CLK2_OUT_M0/GPIO4_A1_d</v>
      </c>
      <c r="AE257" s="115" t="str">
        <f t="shared" si="58"/>
        <v>y</v>
      </c>
      <c r="AF257" s="115" t="str">
        <f t="shared" si="59"/>
        <v/>
      </c>
      <c r="AG257" s="115" t="str">
        <f t="shared" si="60"/>
        <v/>
      </c>
      <c r="AH257" s="115" t="str">
        <f t="shared" si="61"/>
        <v/>
      </c>
      <c r="AI257" s="115" t="str">
        <f t="shared" si="62"/>
        <v/>
      </c>
      <c r="AJ257" s="115" t="str">
        <f t="shared" si="63"/>
        <v/>
      </c>
      <c r="AK257" s="115" t="str">
        <f t="shared" si="64"/>
        <v/>
      </c>
      <c r="AL257" s="115" t="str">
        <f t="shared" si="65"/>
        <v/>
      </c>
      <c r="AM257" s="115" t="str">
        <f t="shared" si="66"/>
        <v/>
      </c>
      <c r="AN257" s="115" t="str">
        <f t="shared" si="67"/>
        <v/>
      </c>
      <c r="AO257" s="115" t="str">
        <f t="shared" si="68"/>
        <v/>
      </c>
      <c r="AP257" s="115" t="str">
        <f t="shared" si="69"/>
        <v/>
      </c>
      <c r="AQ257" s="115" t="str">
        <f t="shared" si="70"/>
        <v/>
      </c>
      <c r="AR257" s="115" t="str">
        <f t="shared" si="71"/>
        <v/>
      </c>
      <c r="AS257" s="115" t="str">
        <f t="shared" si="72"/>
        <v/>
      </c>
    </row>
    <row r="258" spans="1:45" s="134" customFormat="1" outlineLevel="1">
      <c r="A258" s="120" t="s">
        <v>1205</v>
      </c>
      <c r="B258" s="126" t="s">
        <v>352</v>
      </c>
      <c r="C258" s="126"/>
      <c r="D258" s="120" t="s">
        <v>1111</v>
      </c>
      <c r="E258" s="120" t="s">
        <v>893</v>
      </c>
      <c r="F258" s="120" t="s">
        <v>753</v>
      </c>
      <c r="G258" s="120" t="s">
        <v>753</v>
      </c>
      <c r="H258" s="120" t="s">
        <v>753</v>
      </c>
      <c r="I258" s="120" t="s">
        <v>753</v>
      </c>
      <c r="J258" s="120" t="s">
        <v>753</v>
      </c>
      <c r="K258" s="120" t="s">
        <v>753</v>
      </c>
      <c r="L258" s="120" t="s">
        <v>753</v>
      </c>
      <c r="M258" s="126"/>
      <c r="N258" s="126"/>
      <c r="O258" s="126"/>
      <c r="P258" s="126"/>
      <c r="Q258" s="126"/>
      <c r="R258" s="126"/>
      <c r="S258" s="126"/>
      <c r="T258" s="126"/>
      <c r="U258" s="126"/>
      <c r="V258" s="126"/>
      <c r="W258" s="126"/>
      <c r="X258" s="126"/>
      <c r="Y258" s="126"/>
      <c r="Z258" s="126"/>
      <c r="AA258" s="126"/>
      <c r="AB258" s="126"/>
      <c r="AC258" s="126"/>
      <c r="AD258" s="116"/>
      <c r="AE258" s="115"/>
      <c r="AF258" s="115" t="str">
        <f t="shared" si="59"/>
        <v/>
      </c>
      <c r="AG258" s="115" t="str">
        <f t="shared" si="60"/>
        <v/>
      </c>
      <c r="AH258" s="115" t="str">
        <f t="shared" si="61"/>
        <v/>
      </c>
      <c r="AI258" s="115" t="str">
        <f t="shared" si="62"/>
        <v/>
      </c>
      <c r="AJ258" s="115" t="str">
        <f t="shared" si="63"/>
        <v/>
      </c>
      <c r="AK258" s="115" t="str">
        <f t="shared" si="64"/>
        <v/>
      </c>
      <c r="AL258" s="115" t="str">
        <f t="shared" si="65"/>
        <v/>
      </c>
      <c r="AM258" s="115" t="str">
        <f t="shared" si="66"/>
        <v/>
      </c>
      <c r="AN258" s="115" t="str">
        <f t="shared" si="67"/>
        <v/>
      </c>
      <c r="AO258" s="115" t="str">
        <f t="shared" si="68"/>
        <v/>
      </c>
      <c r="AP258" s="115" t="str">
        <f t="shared" si="69"/>
        <v/>
      </c>
      <c r="AQ258" s="115" t="str">
        <f t="shared" si="70"/>
        <v/>
      </c>
      <c r="AR258" s="115" t="str">
        <f t="shared" si="71"/>
        <v/>
      </c>
      <c r="AS258" s="115" t="str">
        <f t="shared" si="72"/>
        <v/>
      </c>
    </row>
    <row r="259" spans="1:45" s="134" customFormat="1" outlineLevel="1">
      <c r="A259" s="120" t="s">
        <v>1204</v>
      </c>
      <c r="B259" s="126" t="s">
        <v>351</v>
      </c>
      <c r="C259" s="126"/>
      <c r="D259" s="120" t="s">
        <v>1111</v>
      </c>
      <c r="E259" s="120" t="s">
        <v>895</v>
      </c>
      <c r="F259" s="120" t="s">
        <v>753</v>
      </c>
      <c r="G259" s="120" t="s">
        <v>753</v>
      </c>
      <c r="H259" s="120" t="s">
        <v>753</v>
      </c>
      <c r="I259" s="120" t="s">
        <v>753</v>
      </c>
      <c r="J259" s="120" t="s">
        <v>753</v>
      </c>
      <c r="K259" s="120" t="s">
        <v>753</v>
      </c>
      <c r="L259" s="120" t="s">
        <v>753</v>
      </c>
      <c r="M259" s="126"/>
      <c r="N259" s="126"/>
      <c r="O259" s="126"/>
      <c r="P259" s="126"/>
      <c r="Q259" s="126"/>
      <c r="R259" s="126"/>
      <c r="S259" s="126"/>
      <c r="T259" s="126"/>
      <c r="U259" s="126"/>
      <c r="V259" s="126"/>
      <c r="W259" s="126"/>
      <c r="X259" s="126"/>
      <c r="Y259" s="126"/>
      <c r="Z259" s="126"/>
      <c r="AA259" s="126"/>
      <c r="AB259" s="126"/>
      <c r="AC259" s="126"/>
      <c r="AD259" s="116"/>
      <c r="AE259" s="115"/>
      <c r="AF259" s="115" t="str">
        <f t="shared" si="59"/>
        <v/>
      </c>
      <c r="AG259" s="115" t="str">
        <f t="shared" si="60"/>
        <v/>
      </c>
      <c r="AH259" s="115" t="str">
        <f t="shared" si="61"/>
        <v/>
      </c>
      <c r="AI259" s="115" t="str">
        <f t="shared" si="62"/>
        <v/>
      </c>
      <c r="AJ259" s="115" t="str">
        <f t="shared" si="63"/>
        <v/>
      </c>
      <c r="AK259" s="115" t="str">
        <f t="shared" si="64"/>
        <v/>
      </c>
      <c r="AL259" s="115" t="str">
        <f t="shared" si="65"/>
        <v/>
      </c>
      <c r="AM259" s="115" t="str">
        <f t="shared" si="66"/>
        <v/>
      </c>
      <c r="AN259" s="115" t="str">
        <f t="shared" si="67"/>
        <v/>
      </c>
      <c r="AO259" s="115" t="str">
        <f t="shared" si="68"/>
        <v/>
      </c>
      <c r="AP259" s="115" t="str">
        <f t="shared" si="69"/>
        <v/>
      </c>
      <c r="AQ259" s="115" t="str">
        <f t="shared" si="70"/>
        <v/>
      </c>
      <c r="AR259" s="115" t="str">
        <f t="shared" si="71"/>
        <v/>
      </c>
      <c r="AS259" s="115" t="str">
        <f t="shared" si="72"/>
        <v/>
      </c>
    </row>
    <row r="260" spans="1:45" s="134" customFormat="1">
      <c r="A260" s="131" t="s">
        <v>1203</v>
      </c>
      <c r="B260" s="130"/>
      <c r="C260" s="133"/>
      <c r="D260" s="129"/>
      <c r="E260" s="129"/>
      <c r="F260" s="129"/>
      <c r="G260" s="129"/>
      <c r="H260" s="129"/>
      <c r="I260" s="129"/>
      <c r="J260" s="129"/>
      <c r="K260" s="129"/>
      <c r="L260" s="129"/>
      <c r="M260" s="133"/>
      <c r="N260" s="133"/>
      <c r="O260" s="133"/>
      <c r="P260" s="133"/>
      <c r="Q260" s="133"/>
      <c r="R260" s="133"/>
      <c r="S260" s="133"/>
      <c r="T260" s="136"/>
      <c r="U260" s="136"/>
      <c r="V260" s="133"/>
      <c r="W260" s="133"/>
      <c r="X260" s="133"/>
      <c r="Y260" s="133"/>
      <c r="Z260" s="136"/>
      <c r="AA260" s="136"/>
      <c r="AB260" s="136"/>
      <c r="AC260" s="136"/>
      <c r="AD260" s="116"/>
      <c r="AE260" s="115"/>
      <c r="AF260" s="115" t="str">
        <f t="shared" si="59"/>
        <v/>
      </c>
      <c r="AG260" s="115" t="str">
        <f t="shared" si="60"/>
        <v/>
      </c>
      <c r="AH260" s="115" t="str">
        <f t="shared" si="61"/>
        <v/>
      </c>
      <c r="AI260" s="115" t="str">
        <f t="shared" si="62"/>
        <v/>
      </c>
      <c r="AJ260" s="115" t="str">
        <f t="shared" si="63"/>
        <v/>
      </c>
      <c r="AK260" s="115" t="str">
        <f t="shared" si="64"/>
        <v/>
      </c>
      <c r="AL260" s="115" t="str">
        <f t="shared" si="65"/>
        <v/>
      </c>
      <c r="AM260" s="115" t="str">
        <f t="shared" si="66"/>
        <v/>
      </c>
      <c r="AN260" s="115" t="str">
        <f t="shared" si="67"/>
        <v/>
      </c>
      <c r="AO260" s="115" t="str">
        <f t="shared" si="68"/>
        <v/>
      </c>
      <c r="AP260" s="115" t="str">
        <f t="shared" si="69"/>
        <v/>
      </c>
      <c r="AQ260" s="115" t="str">
        <f t="shared" si="70"/>
        <v/>
      </c>
      <c r="AR260" s="115" t="str">
        <f t="shared" si="71"/>
        <v/>
      </c>
      <c r="AS260" s="115" t="str">
        <f t="shared" si="72"/>
        <v/>
      </c>
    </row>
    <row r="261" spans="1:45" s="134" customFormat="1" ht="28.5" outlineLevel="1">
      <c r="A261" s="138" t="s">
        <v>1202</v>
      </c>
      <c r="B261" s="139" t="s">
        <v>1201</v>
      </c>
      <c r="C261" s="132"/>
      <c r="D261" s="119" t="s">
        <v>753</v>
      </c>
      <c r="E261" s="119" t="s">
        <v>1124</v>
      </c>
      <c r="F261" s="119" t="s">
        <v>1123</v>
      </c>
      <c r="G261" s="119" t="s">
        <v>1122</v>
      </c>
      <c r="H261" s="119" t="s">
        <v>1121</v>
      </c>
      <c r="I261" s="119" t="s">
        <v>1120</v>
      </c>
      <c r="J261" s="119">
        <v>40</v>
      </c>
      <c r="K261" s="119" t="s">
        <v>371</v>
      </c>
      <c r="L261" s="119" t="s">
        <v>371</v>
      </c>
      <c r="M261" s="132" t="s">
        <v>1200</v>
      </c>
      <c r="N261" s="132"/>
      <c r="O261" s="132"/>
      <c r="P261" s="118" t="s">
        <v>1199</v>
      </c>
      <c r="Q261" s="118" t="s">
        <v>1198</v>
      </c>
      <c r="R261" s="118" t="s">
        <v>1197</v>
      </c>
      <c r="S261" s="118"/>
      <c r="T261" s="118"/>
      <c r="U261" s="118"/>
      <c r="V261" s="118" t="s">
        <v>1196</v>
      </c>
      <c r="W261" s="118" t="s">
        <v>1195</v>
      </c>
      <c r="X261" s="118" t="s">
        <v>1194</v>
      </c>
      <c r="Y261" s="118" t="s">
        <v>1193</v>
      </c>
      <c r="Z261" s="118" t="s">
        <v>1192</v>
      </c>
      <c r="AA261" s="118"/>
      <c r="AB261" s="118"/>
      <c r="AC261" s="118"/>
      <c r="AD261" s="116" t="str">
        <f t="array" ref="AD261">IF(ISBLANK(AA261),,AA261&amp;("/"))&amp;IF(ISBLANK(Z261),,Z261&amp;("/"))&amp;IF(ISBLANK(Y261),,Y261&amp;("/"))&amp;IF(ISBLANK(X261),,X261&amp;("/"))&amp;IF(ISBLANK(W261),,W261&amp;("/"))&amp;IF(ISBLANK(V261),,V261&amp;("/"))&amp;IF(ISBLANK(U261),,U261&amp;("/"))&amp;IF(ISBLANK(T261),,T261&amp;("/"))&amp;IF(ISBLANK(S261),,S261&amp;("/"))&amp;IF(ISBLANK(R261),,R261&amp;("/"))&amp;IF(ISBLANK(Q261),,Q261&amp;("/"))&amp;IF(ISBLANK(P261),,P261&amp;("/"))&amp;IF(ISBLANK(O261),,O261&amp;("/"))&amp;IF(ISBLANK(N261),,N261&amp;("/"))&amp;IF(G261="-",M261,M261&amp;("_")&amp;MID(G261,1,1))</f>
        <v>HDMI_TX_CEC_M0/PWM1_CH5_M1/I2C3_SCL_M3/SPI4_CSN1_M0/UART6_TX_M1/VO_EBC_SDDO16/DSM_AUD_LP_M1/SAI3_MCLK_M2/GPIO4_B0_d</v>
      </c>
      <c r="AE261" s="115" t="str">
        <f t="shared" si="58"/>
        <v>y</v>
      </c>
      <c r="AF261" s="115" t="str">
        <f t="shared" si="59"/>
        <v/>
      </c>
      <c r="AG261" s="115" t="str">
        <f t="shared" si="60"/>
        <v/>
      </c>
      <c r="AH261" s="115" t="str">
        <f t="shared" si="61"/>
        <v/>
      </c>
      <c r="AI261" s="115" t="str">
        <f t="shared" si="62"/>
        <v/>
      </c>
      <c r="AJ261" s="115" t="str">
        <f t="shared" si="63"/>
        <v/>
      </c>
      <c r="AK261" s="115" t="str">
        <f t="shared" si="64"/>
        <v/>
      </c>
      <c r="AL261" s="115" t="str">
        <f t="shared" si="65"/>
        <v/>
      </c>
      <c r="AM261" s="115" t="str">
        <f t="shared" si="66"/>
        <v/>
      </c>
      <c r="AN261" s="115" t="str">
        <f t="shared" si="67"/>
        <v/>
      </c>
      <c r="AO261" s="115" t="str">
        <f t="shared" si="68"/>
        <v/>
      </c>
      <c r="AP261" s="115" t="str">
        <f t="shared" si="69"/>
        <v/>
      </c>
      <c r="AQ261" s="115" t="str">
        <f t="shared" si="70"/>
        <v/>
      </c>
      <c r="AR261" s="115" t="str">
        <f t="shared" si="71"/>
        <v/>
      </c>
      <c r="AS261" s="115" t="str">
        <f t="shared" si="72"/>
        <v/>
      </c>
    </row>
    <row r="262" spans="1:45" s="134" customFormat="1" ht="42.75" outlineLevel="1" collapsed="1">
      <c r="A262" s="138" t="s">
        <v>1191</v>
      </c>
      <c r="B262" s="139" t="s">
        <v>1190</v>
      </c>
      <c r="C262" s="132"/>
      <c r="D262" s="119" t="s">
        <v>753</v>
      </c>
      <c r="E262" s="119" t="s">
        <v>1124</v>
      </c>
      <c r="F262" s="119" t="s">
        <v>1123</v>
      </c>
      <c r="G262" s="119" t="s">
        <v>1122</v>
      </c>
      <c r="H262" s="119" t="s">
        <v>1121</v>
      </c>
      <c r="I262" s="119" t="s">
        <v>1120</v>
      </c>
      <c r="J262" s="119">
        <v>40</v>
      </c>
      <c r="K262" s="119" t="s">
        <v>371</v>
      </c>
      <c r="L262" s="119" t="s">
        <v>371</v>
      </c>
      <c r="M262" s="132" t="s">
        <v>1189</v>
      </c>
      <c r="N262" s="132"/>
      <c r="O262" s="132"/>
      <c r="P262" s="132" t="s">
        <v>1188</v>
      </c>
      <c r="Q262" s="132" t="s">
        <v>1187</v>
      </c>
      <c r="R262" s="132" t="s">
        <v>1186</v>
      </c>
      <c r="S262" s="132"/>
      <c r="T262" s="122"/>
      <c r="U262" s="122"/>
      <c r="V262" s="132" t="s">
        <v>1185</v>
      </c>
      <c r="W262" s="132" t="s">
        <v>1184</v>
      </c>
      <c r="X262" s="132" t="s">
        <v>1183</v>
      </c>
      <c r="Y262" s="132" t="s">
        <v>1182</v>
      </c>
      <c r="Z262" s="122" t="s">
        <v>1181</v>
      </c>
      <c r="AA262" s="122" t="s">
        <v>1180</v>
      </c>
      <c r="AB262" s="122"/>
      <c r="AC262" s="122"/>
      <c r="AD262" s="116" t="str">
        <f t="array" ref="AD262">IF(ISBLANK(AA262),,AA262&amp;("/"))&amp;IF(ISBLANK(Z262),,Z262&amp;("/"))&amp;IF(ISBLANK(Y262),,Y262&amp;("/"))&amp;IF(ISBLANK(X262),,X262&amp;("/"))&amp;IF(ISBLANK(W262),,W262&amp;("/"))&amp;IF(ISBLANK(V262),,V262&amp;("/"))&amp;IF(ISBLANK(U262),,U262&amp;("/"))&amp;IF(ISBLANK(T262),,T262&amp;("/"))&amp;IF(ISBLANK(S262),,S262&amp;("/"))&amp;IF(ISBLANK(R262),,R262&amp;("/"))&amp;IF(ISBLANK(Q262),,Q262&amp;("/"))&amp;IF(ISBLANK(P262),,P262&amp;("/"))&amp;IF(ISBLANK(O262),,O262&amp;("/"))&amp;IF(ISBLANK(N262),,N262&amp;("/"))&amp;IF(G262="-",M262,M262&amp;("_")&amp;MID(G262,1,1))</f>
        <v>PCIE0_CLKREQN_M3/HDMI_TX_HPDIN_M0/PWM0_CH1_M1/I2C3_SDA_M3/EDP_TX_HPDIN_M0/UART6_RX_M1/VO_EBC_SDDO17/DSM_AUD_LN_M1/SAI3_SDI_M2/GPIO4_B1_d</v>
      </c>
      <c r="AE262" s="115" t="str">
        <f t="shared" si="58"/>
        <v>y</v>
      </c>
      <c r="AF262" s="115" t="str">
        <f t="shared" si="59"/>
        <v/>
      </c>
      <c r="AG262" s="115" t="str">
        <f t="shared" si="60"/>
        <v/>
      </c>
      <c r="AH262" s="115" t="str">
        <f t="shared" si="61"/>
        <v/>
      </c>
      <c r="AI262" s="115" t="str">
        <f t="shared" si="62"/>
        <v/>
      </c>
      <c r="AJ262" s="115" t="str">
        <f t="shared" si="63"/>
        <v/>
      </c>
      <c r="AK262" s="115" t="str">
        <f t="shared" si="64"/>
        <v/>
      </c>
      <c r="AL262" s="115" t="str">
        <f t="shared" si="65"/>
        <v/>
      </c>
      <c r="AM262" s="115" t="str">
        <f t="shared" si="66"/>
        <v/>
      </c>
      <c r="AN262" s="115" t="str">
        <f t="shared" si="67"/>
        <v/>
      </c>
      <c r="AO262" s="115" t="str">
        <f t="shared" si="68"/>
        <v/>
      </c>
      <c r="AP262" s="115" t="str">
        <f t="shared" si="69"/>
        <v/>
      </c>
      <c r="AQ262" s="115" t="str">
        <f t="shared" si="70"/>
        <v/>
      </c>
      <c r="AR262" s="115" t="str">
        <f t="shared" si="71"/>
        <v/>
      </c>
      <c r="AS262" s="115" t="str">
        <f t="shared" si="72"/>
        <v/>
      </c>
    </row>
    <row r="263" spans="1:45" s="134" customFormat="1" ht="28.5" outlineLevel="1">
      <c r="A263" s="138" t="s">
        <v>1179</v>
      </c>
      <c r="B263" s="139" t="s">
        <v>1178</v>
      </c>
      <c r="C263" s="132"/>
      <c r="D263" s="119" t="s">
        <v>753</v>
      </c>
      <c r="E263" s="119" t="s">
        <v>1124</v>
      </c>
      <c r="F263" s="119" t="s">
        <v>1123</v>
      </c>
      <c r="G263" s="119" t="s">
        <v>1122</v>
      </c>
      <c r="H263" s="119" t="s">
        <v>1121</v>
      </c>
      <c r="I263" s="119" t="s">
        <v>1120</v>
      </c>
      <c r="J263" s="119">
        <v>40</v>
      </c>
      <c r="K263" s="119" t="s">
        <v>371</v>
      </c>
      <c r="L263" s="119" t="s">
        <v>371</v>
      </c>
      <c r="M263" s="132" t="s">
        <v>1177</v>
      </c>
      <c r="N263" s="122"/>
      <c r="O263" s="122"/>
      <c r="P263" s="122" t="s">
        <v>1176</v>
      </c>
      <c r="Q263" s="122" t="s">
        <v>1175</v>
      </c>
      <c r="R263" s="122" t="s">
        <v>1174</v>
      </c>
      <c r="S263" s="122"/>
      <c r="T263" s="122"/>
      <c r="U263" s="122"/>
      <c r="V263" s="122" t="s">
        <v>1173</v>
      </c>
      <c r="W263" s="122"/>
      <c r="X263" s="122" t="s">
        <v>1172</v>
      </c>
      <c r="Y263" s="122" t="s">
        <v>1171</v>
      </c>
      <c r="Z263" s="122" t="s">
        <v>1170</v>
      </c>
      <c r="AA263" s="122" t="s">
        <v>1169</v>
      </c>
      <c r="AB263" s="122"/>
      <c r="AC263" s="122"/>
      <c r="AD263" s="116" t="str">
        <f t="array" ref="AD263">IF(ISBLANK(AA263),,AA263&amp;("/"))&amp;IF(ISBLANK(Z263),,Z263&amp;("/"))&amp;IF(ISBLANK(Y263),,Y263&amp;("/"))&amp;IF(ISBLANK(X263),,X263&amp;("/"))&amp;IF(ISBLANK(W263),,W263&amp;("/"))&amp;IF(ISBLANK(V263),,V263&amp;("/"))&amp;IF(ISBLANK(U263),,U263&amp;("/"))&amp;IF(ISBLANK(T263),,T263&amp;("/"))&amp;IF(ISBLANK(S263),,S263&amp;("/"))&amp;IF(ISBLANK(R263),,R263&amp;("/"))&amp;IF(ISBLANK(Q263),,Q263&amp;("/"))&amp;IF(ISBLANK(P263),,P263&amp;("/"))&amp;IF(ISBLANK(O263),,O263&amp;("/"))&amp;IF(ISBLANK(N263),,N263&amp;("/"))&amp;IF(G263="-",M263,M263&amp;("_")&amp;MID(G263,1,1))</f>
        <v>CAN0_TX_M1/HDMI_TX_SCL_M0/PWM2_CH0_M1/I2C2_SCL_M3/UART6_RTSN_M1/VO_EBC_SDDO18/DSM_AUD_RP_M1/SAI3_LRCK_M2/GPIO4_B2_d</v>
      </c>
      <c r="AE263" s="115" t="str">
        <f t="shared" si="58"/>
        <v>y</v>
      </c>
      <c r="AF263" s="115" t="str">
        <f t="shared" si="59"/>
        <v/>
      </c>
      <c r="AG263" s="115" t="str">
        <f t="shared" si="60"/>
        <v/>
      </c>
      <c r="AH263" s="115" t="str">
        <f t="shared" si="61"/>
        <v/>
      </c>
      <c r="AI263" s="115" t="str">
        <f t="shared" si="62"/>
        <v/>
      </c>
      <c r="AJ263" s="115" t="str">
        <f t="shared" si="63"/>
        <v/>
      </c>
      <c r="AK263" s="115" t="str">
        <f t="shared" si="64"/>
        <v/>
      </c>
      <c r="AL263" s="115" t="str">
        <f t="shared" si="65"/>
        <v/>
      </c>
      <c r="AM263" s="115" t="str">
        <f t="shared" si="66"/>
        <v/>
      </c>
      <c r="AN263" s="115" t="str">
        <f t="shared" si="67"/>
        <v/>
      </c>
      <c r="AO263" s="115" t="str">
        <f t="shared" si="68"/>
        <v/>
      </c>
      <c r="AP263" s="115" t="str">
        <f t="shared" si="69"/>
        <v/>
      </c>
      <c r="AQ263" s="115" t="str">
        <f t="shared" si="70"/>
        <v/>
      </c>
      <c r="AR263" s="115" t="str">
        <f t="shared" si="71"/>
        <v/>
      </c>
      <c r="AS263" s="115" t="str">
        <f t="shared" si="72"/>
        <v/>
      </c>
    </row>
    <row r="264" spans="1:45" ht="28.5" outlineLevel="1">
      <c r="A264" s="138" t="s">
        <v>1168</v>
      </c>
      <c r="B264" s="139" t="s">
        <v>1167</v>
      </c>
      <c r="C264" s="118"/>
      <c r="D264" s="119" t="s">
        <v>753</v>
      </c>
      <c r="E264" s="119" t="s">
        <v>1124</v>
      </c>
      <c r="F264" s="119" t="s">
        <v>1123</v>
      </c>
      <c r="G264" s="119" t="s">
        <v>1122</v>
      </c>
      <c r="H264" s="119" t="s">
        <v>1121</v>
      </c>
      <c r="I264" s="119" t="s">
        <v>1120</v>
      </c>
      <c r="J264" s="119">
        <v>40</v>
      </c>
      <c r="K264" s="123" t="s">
        <v>371</v>
      </c>
      <c r="L264" s="123" t="s">
        <v>371</v>
      </c>
      <c r="M264" s="122" t="s">
        <v>1166</v>
      </c>
      <c r="N264" s="122"/>
      <c r="O264" s="122"/>
      <c r="P264" s="122" t="s">
        <v>1165</v>
      </c>
      <c r="Q264" s="122" t="s">
        <v>1164</v>
      </c>
      <c r="R264" s="122" t="s">
        <v>1163</v>
      </c>
      <c r="S264" s="122"/>
      <c r="T264" s="122"/>
      <c r="U264" s="122"/>
      <c r="V264" s="122" t="s">
        <v>1162</v>
      </c>
      <c r="W264" s="122"/>
      <c r="X264" s="122" t="s">
        <v>1161</v>
      </c>
      <c r="Y264" s="122" t="s">
        <v>1160</v>
      </c>
      <c r="Z264" s="122" t="s">
        <v>1159</v>
      </c>
      <c r="AA264" s="122" t="s">
        <v>1158</v>
      </c>
      <c r="AB264" s="122"/>
      <c r="AC264" s="122"/>
      <c r="AD264" s="116" t="str">
        <f t="array" ref="AD264">IF(ISBLANK(AA264),,AA264&amp;("/"))&amp;IF(ISBLANK(Z264),,Z264&amp;("/"))&amp;IF(ISBLANK(Y264),,Y264&amp;("/"))&amp;IF(ISBLANK(X264),,X264&amp;("/"))&amp;IF(ISBLANK(W264),,W264&amp;("/"))&amp;IF(ISBLANK(V264),,V264&amp;("/"))&amp;IF(ISBLANK(U264),,U264&amp;("/"))&amp;IF(ISBLANK(T264),,T264&amp;("/"))&amp;IF(ISBLANK(S264),,S264&amp;("/"))&amp;IF(ISBLANK(R264),,R264&amp;("/"))&amp;IF(ISBLANK(Q264),,Q264&amp;("/"))&amp;IF(ISBLANK(P264),,P264&amp;("/"))&amp;IF(ISBLANK(O264),,O264&amp;("/"))&amp;IF(ISBLANK(N264),,N264&amp;("/"))&amp;IF(G264="-",M264,M264&amp;("_")&amp;MID(G264,1,1))</f>
        <v>CAN0_RX_M1/HDMI_TX_SDA_M0/PWM2_CH1_M1/I2C2_SDA_M3/UART6_CTSN_M1/VO_EBC_SDDO19/DSM_AUD_RN_M1/SAI3_SCLK_M2/GPIO4_B3_d</v>
      </c>
      <c r="AE264" s="115" t="str">
        <f t="shared" si="58"/>
        <v>y</v>
      </c>
      <c r="AF264" s="115" t="str">
        <f t="shared" si="59"/>
        <v/>
      </c>
      <c r="AG264" s="115" t="str">
        <f t="shared" si="60"/>
        <v/>
      </c>
      <c r="AH264" s="115" t="str">
        <f t="shared" si="61"/>
        <v/>
      </c>
      <c r="AI264" s="115" t="str">
        <f t="shared" si="62"/>
        <v/>
      </c>
      <c r="AJ264" s="115" t="str">
        <f t="shared" si="63"/>
        <v/>
      </c>
      <c r="AK264" s="115" t="str">
        <f t="shared" si="64"/>
        <v/>
      </c>
      <c r="AL264" s="115" t="str">
        <f t="shared" si="65"/>
        <v/>
      </c>
      <c r="AM264" s="115" t="str">
        <f t="shared" si="66"/>
        <v/>
      </c>
      <c r="AN264" s="115" t="str">
        <f t="shared" si="67"/>
        <v/>
      </c>
      <c r="AO264" s="115" t="str">
        <f t="shared" si="68"/>
        <v/>
      </c>
      <c r="AP264" s="115" t="str">
        <f t="shared" si="69"/>
        <v/>
      </c>
      <c r="AQ264" s="115" t="str">
        <f t="shared" si="70"/>
        <v/>
      </c>
      <c r="AR264" s="115" t="str">
        <f t="shared" si="71"/>
        <v/>
      </c>
      <c r="AS264" s="115" t="str">
        <f t="shared" si="72"/>
        <v/>
      </c>
    </row>
    <row r="265" spans="1:45" s="134" customFormat="1" ht="35.25" customHeight="1" outlineLevel="1">
      <c r="A265" s="138" t="s">
        <v>1157</v>
      </c>
      <c r="B265" s="232" t="s">
        <v>3478</v>
      </c>
      <c r="C265" s="118"/>
      <c r="D265" s="119" t="s">
        <v>753</v>
      </c>
      <c r="E265" s="119" t="s">
        <v>1124</v>
      </c>
      <c r="F265" s="119" t="s">
        <v>1123</v>
      </c>
      <c r="G265" s="119" t="s">
        <v>1122</v>
      </c>
      <c r="H265" s="119" t="s">
        <v>1121</v>
      </c>
      <c r="I265" s="119" t="s">
        <v>1120</v>
      </c>
      <c r="J265" s="119">
        <v>40</v>
      </c>
      <c r="K265" s="119" t="s">
        <v>371</v>
      </c>
      <c r="L265" s="119" t="s">
        <v>371</v>
      </c>
      <c r="M265" s="132" t="s">
        <v>1156</v>
      </c>
      <c r="N265" s="132"/>
      <c r="O265" s="132"/>
      <c r="P265" s="132" t="s">
        <v>1155</v>
      </c>
      <c r="Q265" s="132"/>
      <c r="R265" s="132" t="s">
        <v>1154</v>
      </c>
      <c r="S265" s="132"/>
      <c r="T265" s="132"/>
      <c r="U265" s="122"/>
      <c r="V265" s="132" t="s">
        <v>1153</v>
      </c>
      <c r="W265" s="132" t="s">
        <v>1152</v>
      </c>
      <c r="X265" s="132" t="s">
        <v>1151</v>
      </c>
      <c r="Y265" s="132" t="s">
        <v>1150</v>
      </c>
      <c r="Z265" s="132" t="s">
        <v>1149</v>
      </c>
      <c r="AA265" s="122"/>
      <c r="AB265" s="122"/>
      <c r="AC265" s="122"/>
      <c r="AD265" s="116" t="str">
        <f t="array" ref="AD265">IF(ISBLANK(AA265),,AA265&amp;("/"))&amp;IF(ISBLANK(Z265),,Z265&amp;("/"))&amp;IF(ISBLANK(Y265),,Y265&amp;("/"))&amp;IF(ISBLANK(X265),,X265&amp;("/"))&amp;IF(ISBLANK(W265),,W265&amp;("/"))&amp;IF(ISBLANK(V265),,V265&amp;("/"))&amp;IF(ISBLANK(U265),,U265&amp;("/"))&amp;IF(ISBLANK(T265),,T265&amp;("/"))&amp;IF(ISBLANK(S265),,S265&amp;("/"))&amp;IF(ISBLANK(R265),,R265&amp;("/"))&amp;IF(ISBLANK(Q265),,Q265&amp;("/"))&amp;IF(ISBLANK(P265),,P265&amp;("/"))&amp;IF(ISBLANK(O265),,O265&amp;("/"))&amp;IF(ISBLANK(N265),,N265&amp;("/"))&amp;IF(G265="-",M265,M265&amp;("_")&amp;MID(G265,1,1))</f>
        <v>ISP_PRELIGHT_TRIG_M1/PWM2_CH6_M1/I2C7_SCL_M3/SPI4_CSN0_M0/UART9_TX_M0/VO_EBC_SDDO20/SAI3_SDO_M2/GPIO4_B4_d</v>
      </c>
      <c r="AE265" s="115" t="str">
        <f t="shared" si="58"/>
        <v>y</v>
      </c>
      <c r="AF265" s="115" t="str">
        <f t="shared" si="59"/>
        <v/>
      </c>
      <c r="AG265" s="115" t="str">
        <f t="shared" si="60"/>
        <v/>
      </c>
      <c r="AH265" s="115" t="str">
        <f t="shared" si="61"/>
        <v/>
      </c>
      <c r="AI265" s="115" t="str">
        <f t="shared" si="62"/>
        <v/>
      </c>
      <c r="AJ265" s="115" t="str">
        <f t="shared" si="63"/>
        <v/>
      </c>
      <c r="AK265" s="115" t="str">
        <f t="shared" si="64"/>
        <v/>
      </c>
      <c r="AL265" s="115" t="str">
        <f t="shared" si="65"/>
        <v/>
      </c>
      <c r="AM265" s="115" t="str">
        <f t="shared" si="66"/>
        <v/>
      </c>
      <c r="AN265" s="115" t="str">
        <f t="shared" si="67"/>
        <v/>
      </c>
      <c r="AO265" s="115" t="str">
        <f t="shared" si="68"/>
        <v/>
      </c>
      <c r="AP265" s="115" t="str">
        <f t="shared" si="69"/>
        <v/>
      </c>
      <c r="AQ265" s="115" t="str">
        <f t="shared" si="70"/>
        <v/>
      </c>
      <c r="AR265" s="115" t="str">
        <f t="shared" si="71"/>
        <v/>
      </c>
      <c r="AS265" s="115" t="str">
        <f t="shared" si="72"/>
        <v/>
      </c>
    </row>
    <row r="266" spans="1:45" s="134" customFormat="1" ht="51.75" customHeight="1" outlineLevel="1">
      <c r="A266" s="138" t="s">
        <v>1148</v>
      </c>
      <c r="B266" s="232" t="s">
        <v>3479</v>
      </c>
      <c r="C266" s="118"/>
      <c r="D266" s="119" t="s">
        <v>753</v>
      </c>
      <c r="E266" s="119" t="s">
        <v>1124</v>
      </c>
      <c r="F266" s="119" t="s">
        <v>1123</v>
      </c>
      <c r="G266" s="119" t="s">
        <v>1122</v>
      </c>
      <c r="H266" s="119" t="s">
        <v>1121</v>
      </c>
      <c r="I266" s="119" t="s">
        <v>1120</v>
      </c>
      <c r="J266" s="119">
        <v>40</v>
      </c>
      <c r="K266" s="119" t="s">
        <v>371</v>
      </c>
      <c r="L266" s="119" t="s">
        <v>371</v>
      </c>
      <c r="M266" s="132" t="s">
        <v>1147</v>
      </c>
      <c r="N266" s="132"/>
      <c r="O266" s="132"/>
      <c r="P266" s="132" t="s">
        <v>1146</v>
      </c>
      <c r="Q266" s="132" t="s">
        <v>1145</v>
      </c>
      <c r="R266" s="132" t="s">
        <v>1144</v>
      </c>
      <c r="S266" s="132"/>
      <c r="T266" s="132"/>
      <c r="U266" s="132"/>
      <c r="V266" s="132" t="s">
        <v>1143</v>
      </c>
      <c r="W266" s="132" t="s">
        <v>1142</v>
      </c>
      <c r="X266" s="132" t="s">
        <v>1141</v>
      </c>
      <c r="Y266" s="132" t="s">
        <v>1140</v>
      </c>
      <c r="Z266" s="132" t="s">
        <v>1139</v>
      </c>
      <c r="AA266" s="132"/>
      <c r="AB266" s="122"/>
      <c r="AC266" s="122"/>
      <c r="AD266" s="116" t="str">
        <f t="array" ref="AD266">IF(ISBLANK(AA266),,AA266&amp;("/"))&amp;IF(ISBLANK(Z266),,Z266&amp;("/"))&amp;IF(ISBLANK(Y266),,Y266&amp;("/"))&amp;IF(ISBLANK(X266),,X266&amp;("/"))&amp;IF(ISBLANK(W266),,W266&amp;("/"))&amp;IF(ISBLANK(V266),,V266&amp;("/"))&amp;IF(ISBLANK(U266),,U266&amp;("/"))&amp;IF(ISBLANK(T266),,T266&amp;("/"))&amp;IF(ISBLANK(S266),,S266&amp;("/"))&amp;IF(ISBLANK(R266),,R266&amp;("/"))&amp;IF(ISBLANK(Q266),,Q266&amp;("/"))&amp;IF(ISBLANK(P266),,P266&amp;("/"))&amp;IF(ISBLANK(O266),,O266&amp;("/"))&amp;IF(ISBLANK(N266),,N266&amp;("/"))&amp;IF(G266="-",M266,M266&amp;("_")&amp;MID(G266,1,1))</f>
        <v>ISP_FLASH_TRIGOUT_M1/PWM2_CH5_M1/I2C7_SDA_M3/SPI4_MOSI_M0/UART9_RX_M0/VO_EBC_SDDO21/VP0_SYNC_OUT/SATA30_PORT0_ACTLED_M1/GPIO4_B5_d</v>
      </c>
      <c r="AE266" s="115" t="str">
        <f t="shared" si="58"/>
        <v>y</v>
      </c>
      <c r="AF266" s="115" t="str">
        <f t="shared" si="59"/>
        <v/>
      </c>
      <c r="AG266" s="115" t="str">
        <f t="shared" si="60"/>
        <v/>
      </c>
      <c r="AH266" s="115" t="str">
        <f t="shared" si="61"/>
        <v/>
      </c>
      <c r="AI266" s="115" t="str">
        <f t="shared" si="62"/>
        <v/>
      </c>
      <c r="AJ266" s="115" t="str">
        <f t="shared" si="63"/>
        <v/>
      </c>
      <c r="AK266" s="115" t="str">
        <f t="shared" si="64"/>
        <v/>
      </c>
      <c r="AL266" s="115" t="str">
        <f t="shared" si="65"/>
        <v/>
      </c>
      <c r="AM266" s="115" t="str">
        <f t="shared" si="66"/>
        <v/>
      </c>
      <c r="AN266" s="115" t="str">
        <f t="shared" si="67"/>
        <v/>
      </c>
      <c r="AO266" s="115" t="str">
        <f t="shared" si="68"/>
        <v/>
      </c>
      <c r="AP266" s="115" t="str">
        <f t="shared" si="69"/>
        <v/>
      </c>
      <c r="AQ266" s="115" t="str">
        <f t="shared" si="70"/>
        <v/>
      </c>
      <c r="AR266" s="115" t="str">
        <f t="shared" si="71"/>
        <v/>
      </c>
      <c r="AS266" s="115" t="str">
        <f t="shared" si="72"/>
        <v/>
      </c>
    </row>
    <row r="267" spans="1:45" s="134" customFormat="1" ht="42.75" outlineLevel="1">
      <c r="A267" s="138" t="s">
        <v>1138</v>
      </c>
      <c r="B267" s="232" t="s">
        <v>1137</v>
      </c>
      <c r="C267" s="118"/>
      <c r="D267" s="119" t="s">
        <v>753</v>
      </c>
      <c r="E267" s="119" t="s">
        <v>1124</v>
      </c>
      <c r="F267" s="119" t="s">
        <v>1123</v>
      </c>
      <c r="G267" s="119" t="s">
        <v>1122</v>
      </c>
      <c r="H267" s="119" t="s">
        <v>1121</v>
      </c>
      <c r="I267" s="119" t="s">
        <v>1120</v>
      </c>
      <c r="J267" s="119">
        <v>40</v>
      </c>
      <c r="K267" s="119" t="s">
        <v>371</v>
      </c>
      <c r="L267" s="119" t="s">
        <v>371</v>
      </c>
      <c r="M267" s="132" t="s">
        <v>1136</v>
      </c>
      <c r="N267" s="132"/>
      <c r="O267" s="132"/>
      <c r="P267" s="132" t="s">
        <v>1135</v>
      </c>
      <c r="Q267" s="132" t="s">
        <v>1134</v>
      </c>
      <c r="R267" s="132" t="s">
        <v>1133</v>
      </c>
      <c r="S267" s="132"/>
      <c r="T267" s="122"/>
      <c r="U267" s="122"/>
      <c r="V267" s="132" t="s">
        <v>1132</v>
      </c>
      <c r="W267" s="132" t="s">
        <v>1131</v>
      </c>
      <c r="X267" s="132" t="s">
        <v>1130</v>
      </c>
      <c r="Y267" s="132" t="s">
        <v>1129</v>
      </c>
      <c r="Z267" s="122" t="s">
        <v>1128</v>
      </c>
      <c r="AA267" s="122" t="s">
        <v>1127</v>
      </c>
      <c r="AB267" s="122"/>
      <c r="AC267" s="122"/>
      <c r="AD267" s="116" t="str">
        <f t="array" ref="AD267">IF(ISBLANK(AA267),,AA267&amp;("/"))&amp;IF(ISBLANK(Z267),,Z267&amp;("/"))&amp;IF(ISBLANK(Y267),,Y267&amp;("/"))&amp;IF(ISBLANK(X267),,X267&amp;("/"))&amp;IF(ISBLANK(W267),,W267&amp;("/"))&amp;IF(ISBLANK(V267),,V267&amp;("/"))&amp;IF(ISBLANK(U267),,U267&amp;("/"))&amp;IF(ISBLANK(T267),,T267&amp;("/"))&amp;IF(ISBLANK(S267),,S267&amp;("/"))&amp;IF(ISBLANK(R267),,R267&amp;("/"))&amp;IF(ISBLANK(Q267),,Q267&amp;("/"))&amp;IF(ISBLANK(P267),,P267&amp;("/"))&amp;IF(ISBLANK(O267),,O267&amp;("/"))&amp;IF(ISBLANK(N267),,N267&amp;("/"))&amp;IF(G267="-",M267,M267&amp;("_")&amp;MID(G267,1,1))</f>
        <v>PCIE1_CLKREQN_M3/CAN1_TX_M1/PWM2_CH2_M1/I2C6_SCL_M3/SPI4_MISO_M0/UART9_CTSN_M0/VO_EBC_SDDO22/VP1_SYNC_OUT/SATA30_PORT1_ACTLED_M1/GPIO4_B6_d</v>
      </c>
      <c r="AE267" s="115" t="str">
        <f t="shared" si="58"/>
        <v>y</v>
      </c>
      <c r="AF267" s="115" t="str">
        <f t="shared" si="59"/>
        <v/>
      </c>
      <c r="AG267" s="115" t="str">
        <f t="shared" si="60"/>
        <v/>
      </c>
      <c r="AH267" s="115" t="str">
        <f t="shared" si="61"/>
        <v/>
      </c>
      <c r="AI267" s="115" t="str">
        <f t="shared" si="62"/>
        <v/>
      </c>
      <c r="AJ267" s="115" t="str">
        <f t="shared" si="63"/>
        <v/>
      </c>
      <c r="AK267" s="115" t="str">
        <f t="shared" si="64"/>
        <v/>
      </c>
      <c r="AL267" s="115" t="str">
        <f t="shared" si="65"/>
        <v/>
      </c>
      <c r="AM267" s="115" t="str">
        <f t="shared" si="66"/>
        <v/>
      </c>
      <c r="AN267" s="115" t="str">
        <f t="shared" si="67"/>
        <v/>
      </c>
      <c r="AO267" s="115" t="str">
        <f t="shared" si="68"/>
        <v/>
      </c>
      <c r="AP267" s="115" t="str">
        <f t="shared" si="69"/>
        <v/>
      </c>
      <c r="AQ267" s="115" t="str">
        <f t="shared" si="70"/>
        <v/>
      </c>
      <c r="AR267" s="115" t="str">
        <f t="shared" si="71"/>
        <v/>
      </c>
      <c r="AS267" s="115" t="str">
        <f t="shared" si="72"/>
        <v/>
      </c>
    </row>
    <row r="268" spans="1:45" s="134" customFormat="1" ht="28.5" outlineLevel="1">
      <c r="A268" s="138" t="s">
        <v>1126</v>
      </c>
      <c r="B268" s="137" t="s">
        <v>1125</v>
      </c>
      <c r="C268" s="118"/>
      <c r="D268" s="119" t="s">
        <v>753</v>
      </c>
      <c r="E268" s="119" t="s">
        <v>1124</v>
      </c>
      <c r="F268" s="119" t="s">
        <v>1123</v>
      </c>
      <c r="G268" s="119" t="s">
        <v>1122</v>
      </c>
      <c r="H268" s="119" t="s">
        <v>1121</v>
      </c>
      <c r="I268" s="119" t="s">
        <v>1120</v>
      </c>
      <c r="J268" s="119">
        <v>40</v>
      </c>
      <c r="K268" s="119" t="s">
        <v>371</v>
      </c>
      <c r="L268" s="119" t="s">
        <v>371</v>
      </c>
      <c r="M268" s="132" t="s">
        <v>1119</v>
      </c>
      <c r="N268" s="132"/>
      <c r="O268" s="132"/>
      <c r="P268" s="132"/>
      <c r="Q268" s="132"/>
      <c r="R268" s="132" t="s">
        <v>1118</v>
      </c>
      <c r="S268" s="132"/>
      <c r="T268" s="122"/>
      <c r="U268" s="122"/>
      <c r="V268" s="132" t="s">
        <v>1117</v>
      </c>
      <c r="W268" s="132" t="s">
        <v>1116</v>
      </c>
      <c r="X268" s="132" t="s">
        <v>1115</v>
      </c>
      <c r="Y268" s="132" t="s">
        <v>1114</v>
      </c>
      <c r="Z268" s="122" t="s">
        <v>1113</v>
      </c>
      <c r="AA268" s="122"/>
      <c r="AB268" s="122"/>
      <c r="AC268" s="122"/>
      <c r="AD268" s="116" t="str">
        <f t="array" ref="AD268">IF(ISBLANK(AA268),,AA268&amp;("/"))&amp;IF(ISBLANK(Z268),,Z268&amp;("/"))&amp;IF(ISBLANK(Y268),,Y268&amp;("/"))&amp;IF(ISBLANK(X268),,X268&amp;("/"))&amp;IF(ISBLANK(W268),,W268&amp;("/"))&amp;IF(ISBLANK(V268),,V268&amp;("/"))&amp;IF(ISBLANK(U268),,U268&amp;("/"))&amp;IF(ISBLANK(T268),,T268&amp;("/"))&amp;IF(ISBLANK(S268),,S268&amp;("/"))&amp;IF(ISBLANK(R268),,R268&amp;("/"))&amp;IF(ISBLANK(Q268),,Q268&amp;("/"))&amp;IF(ISBLANK(P268),,P268&amp;("/"))&amp;IF(ISBLANK(O268),,O268&amp;("/"))&amp;IF(ISBLANK(N268),,N268&amp;("/"))&amp;IF(G268="-",M268,M268&amp;("_")&amp;MID(G268,1,1))</f>
        <v>CAN1_RX_M1/PWM2_CH3_M1/I2C6_SDA_M3/SPI4_CLK_M0/UART9_RTSN_M0/VO_EBC_SDDO23/GPIO4_B7_d</v>
      </c>
      <c r="AE268" s="115" t="str">
        <f t="shared" si="58"/>
        <v>y</v>
      </c>
      <c r="AF268" s="115" t="str">
        <f t="shared" si="59"/>
        <v/>
      </c>
      <c r="AG268" s="115" t="str">
        <f t="shared" si="60"/>
        <v/>
      </c>
      <c r="AH268" s="115" t="str">
        <f t="shared" si="61"/>
        <v/>
      </c>
      <c r="AI268" s="115" t="str">
        <f t="shared" si="62"/>
        <v/>
      </c>
      <c r="AJ268" s="115" t="str">
        <f t="shared" si="63"/>
        <v/>
      </c>
      <c r="AK268" s="115" t="str">
        <f t="shared" si="64"/>
        <v/>
      </c>
      <c r="AL268" s="115" t="str">
        <f t="shared" si="65"/>
        <v/>
      </c>
      <c r="AM268" s="115" t="str">
        <f t="shared" si="66"/>
        <v/>
      </c>
      <c r="AN268" s="115" t="str">
        <f t="shared" si="67"/>
        <v/>
      </c>
      <c r="AO268" s="115" t="str">
        <f t="shared" si="68"/>
        <v/>
      </c>
      <c r="AP268" s="115" t="str">
        <f t="shared" si="69"/>
        <v/>
      </c>
      <c r="AQ268" s="115" t="str">
        <f t="shared" si="70"/>
        <v/>
      </c>
      <c r="AR268" s="115" t="str">
        <f t="shared" si="71"/>
        <v/>
      </c>
      <c r="AS268" s="115" t="str">
        <f t="shared" si="72"/>
        <v/>
      </c>
    </row>
    <row r="269" spans="1:45" s="134" customFormat="1" outlineLevel="1">
      <c r="A269" s="120" t="s">
        <v>1112</v>
      </c>
      <c r="B269" s="126" t="s">
        <v>330</v>
      </c>
      <c r="C269" s="167"/>
      <c r="D269" s="120" t="s">
        <v>1111</v>
      </c>
      <c r="E269" s="120" t="s">
        <v>893</v>
      </c>
      <c r="F269" s="120" t="s">
        <v>753</v>
      </c>
      <c r="G269" s="120" t="s">
        <v>753</v>
      </c>
      <c r="H269" s="120" t="s">
        <v>753</v>
      </c>
      <c r="I269" s="120" t="s">
        <v>753</v>
      </c>
      <c r="J269" s="120" t="s">
        <v>753</v>
      </c>
      <c r="K269" s="120" t="s">
        <v>753</v>
      </c>
      <c r="L269" s="120" t="s">
        <v>753</v>
      </c>
      <c r="M269" s="126"/>
      <c r="N269" s="126"/>
      <c r="O269" s="126"/>
      <c r="P269" s="126"/>
      <c r="Q269" s="125"/>
      <c r="R269" s="126"/>
      <c r="S269" s="125"/>
      <c r="T269" s="125"/>
      <c r="U269" s="125"/>
      <c r="V269" s="126"/>
      <c r="W269" s="125"/>
      <c r="X269" s="126"/>
      <c r="Y269" s="125"/>
      <c r="Z269" s="125"/>
      <c r="AA269" s="125"/>
      <c r="AB269" s="125"/>
      <c r="AC269" s="125"/>
      <c r="AD269" s="116" t="str">
        <f t="shared" ref="AD269" si="74">N269&amp;O269&amp;P269&amp;Q269&amp;R269&amp;S269&amp;T269&amp;U269&amp;V269&amp;W269&amp;X269&amp;Y269&amp;Z269&amp;AA269&amp;AB269&amp;M269</f>
        <v/>
      </c>
      <c r="AE269" s="115" t="str">
        <f t="shared" ref="AE269" si="75">IF(ISNUMBER(FIND(M269,$B269)),"",M269)</f>
        <v/>
      </c>
      <c r="AF269" s="115" t="str">
        <f t="shared" si="59"/>
        <v/>
      </c>
      <c r="AG269" s="115" t="str">
        <f t="shared" si="60"/>
        <v/>
      </c>
      <c r="AH269" s="115" t="str">
        <f t="shared" si="61"/>
        <v/>
      </c>
      <c r="AI269" s="115" t="str">
        <f t="shared" si="62"/>
        <v/>
      </c>
      <c r="AJ269" s="115" t="str">
        <f t="shared" si="63"/>
        <v/>
      </c>
      <c r="AK269" s="115" t="str">
        <f t="shared" si="64"/>
        <v/>
      </c>
      <c r="AL269" s="115" t="str">
        <f t="shared" si="65"/>
        <v/>
      </c>
      <c r="AM269" s="115" t="str">
        <f t="shared" si="66"/>
        <v/>
      </c>
      <c r="AN269" s="115" t="str">
        <f t="shared" si="67"/>
        <v/>
      </c>
      <c r="AO269" s="115" t="str">
        <f t="shared" si="68"/>
        <v/>
      </c>
      <c r="AP269" s="115" t="str">
        <f t="shared" si="69"/>
        <v/>
      </c>
      <c r="AQ269" s="115" t="str">
        <f t="shared" si="70"/>
        <v/>
      </c>
      <c r="AR269" s="115" t="str">
        <f t="shared" si="71"/>
        <v/>
      </c>
      <c r="AS269" s="115" t="str">
        <f t="shared" si="72"/>
        <v/>
      </c>
    </row>
    <row r="270" spans="1:45" s="134" customFormat="1">
      <c r="A270" s="131" t="s">
        <v>1110</v>
      </c>
      <c r="B270" s="130"/>
      <c r="C270" s="136"/>
      <c r="D270" s="129"/>
      <c r="E270" s="129"/>
      <c r="F270" s="129"/>
      <c r="G270" s="129"/>
      <c r="H270" s="129"/>
      <c r="I270" s="129"/>
      <c r="J270" s="129"/>
      <c r="K270" s="129"/>
      <c r="L270" s="129"/>
      <c r="M270" s="133"/>
      <c r="N270" s="133"/>
      <c r="O270" s="133"/>
      <c r="P270" s="133"/>
      <c r="Q270" s="133"/>
      <c r="R270" s="133"/>
      <c r="S270" s="133"/>
      <c r="T270" s="133"/>
      <c r="U270" s="133"/>
      <c r="V270" s="133"/>
      <c r="W270" s="133"/>
      <c r="X270" s="133"/>
      <c r="Y270" s="133"/>
      <c r="Z270" s="133"/>
      <c r="AA270" s="133"/>
      <c r="AB270" s="127"/>
      <c r="AC270" s="127"/>
      <c r="AD270" s="135"/>
    </row>
    <row r="271" spans="1:45" s="134" customFormat="1" outlineLevel="1">
      <c r="A271" s="119" t="s">
        <v>1109</v>
      </c>
      <c r="B271" s="118" t="s">
        <v>678</v>
      </c>
      <c r="C271" s="118"/>
      <c r="D271" s="119" t="s">
        <v>753</v>
      </c>
      <c r="E271" s="119" t="s">
        <v>1049</v>
      </c>
      <c r="F271" s="119" t="s">
        <v>753</v>
      </c>
      <c r="G271" s="119" t="s">
        <v>753</v>
      </c>
      <c r="H271" s="119" t="s">
        <v>753</v>
      </c>
      <c r="I271" s="119" t="s">
        <v>753</v>
      </c>
      <c r="J271" s="119" t="s">
        <v>753</v>
      </c>
      <c r="K271" s="119" t="s">
        <v>753</v>
      </c>
      <c r="L271" s="119" t="s">
        <v>753</v>
      </c>
      <c r="M271" s="122" t="s">
        <v>1108</v>
      </c>
      <c r="N271" s="132"/>
      <c r="O271" s="132"/>
      <c r="P271" s="132"/>
      <c r="Q271" s="132"/>
      <c r="R271" s="132"/>
      <c r="S271" s="132"/>
      <c r="T271" s="132"/>
      <c r="U271" s="132"/>
      <c r="V271" s="132"/>
      <c r="W271" s="132"/>
      <c r="X271" s="132"/>
      <c r="Y271" s="132"/>
      <c r="Z271" s="132"/>
      <c r="AA271" s="132"/>
      <c r="AB271" s="122"/>
      <c r="AC271" s="122"/>
      <c r="AD271" s="135"/>
    </row>
    <row r="272" spans="1:45" s="134" customFormat="1" outlineLevel="1">
      <c r="A272" s="119" t="s">
        <v>1107</v>
      </c>
      <c r="B272" s="118" t="s">
        <v>710</v>
      </c>
      <c r="C272" s="118"/>
      <c r="D272" s="119" t="s">
        <v>753</v>
      </c>
      <c r="E272" s="119" t="s">
        <v>1049</v>
      </c>
      <c r="F272" s="119" t="s">
        <v>753</v>
      </c>
      <c r="G272" s="119" t="s">
        <v>753</v>
      </c>
      <c r="H272" s="119" t="s">
        <v>753</v>
      </c>
      <c r="I272" s="119" t="s">
        <v>753</v>
      </c>
      <c r="J272" s="119" t="s">
        <v>753</v>
      </c>
      <c r="K272" s="119" t="s">
        <v>753</v>
      </c>
      <c r="L272" s="119" t="s">
        <v>753</v>
      </c>
      <c r="M272" s="122" t="s">
        <v>1106</v>
      </c>
      <c r="N272" s="132"/>
      <c r="O272" s="132"/>
      <c r="P272" s="132"/>
      <c r="Q272" s="132"/>
      <c r="R272" s="132"/>
      <c r="S272" s="132"/>
      <c r="T272" s="132"/>
      <c r="U272" s="132"/>
      <c r="V272" s="132"/>
      <c r="W272" s="132"/>
      <c r="X272" s="132"/>
      <c r="Y272" s="132"/>
      <c r="Z272" s="132"/>
      <c r="AA272" s="132"/>
      <c r="AB272" s="122"/>
      <c r="AC272" s="122"/>
      <c r="AD272" s="135"/>
    </row>
    <row r="273" spans="1:30" s="134" customFormat="1" outlineLevel="1">
      <c r="A273" s="119" t="s">
        <v>1105</v>
      </c>
      <c r="B273" s="118" t="s">
        <v>628</v>
      </c>
      <c r="C273" s="118"/>
      <c r="D273" s="119" t="s">
        <v>753</v>
      </c>
      <c r="E273" s="119" t="s">
        <v>1104</v>
      </c>
      <c r="F273" s="119" t="s">
        <v>753</v>
      </c>
      <c r="G273" s="119" t="s">
        <v>753</v>
      </c>
      <c r="H273" s="119" t="s">
        <v>753</v>
      </c>
      <c r="I273" s="119" t="s">
        <v>753</v>
      </c>
      <c r="J273" s="119" t="s">
        <v>753</v>
      </c>
      <c r="K273" s="119" t="s">
        <v>753</v>
      </c>
      <c r="L273" s="119" t="s">
        <v>753</v>
      </c>
      <c r="M273" s="122" t="s">
        <v>1103</v>
      </c>
      <c r="N273" s="132"/>
      <c r="O273" s="132"/>
      <c r="P273" s="132"/>
      <c r="Q273" s="132"/>
      <c r="R273" s="132"/>
      <c r="S273" s="132"/>
      <c r="T273" s="132"/>
      <c r="U273" s="132"/>
      <c r="V273" s="132"/>
      <c r="W273" s="132"/>
      <c r="X273" s="132"/>
      <c r="Y273" s="132"/>
      <c r="Z273" s="132"/>
      <c r="AA273" s="132"/>
      <c r="AB273" s="122"/>
      <c r="AC273" s="122"/>
      <c r="AD273" s="135"/>
    </row>
    <row r="274" spans="1:30" s="134" customFormat="1" outlineLevel="1">
      <c r="A274" s="119" t="s">
        <v>1102</v>
      </c>
      <c r="B274" s="118" t="s">
        <v>611</v>
      </c>
      <c r="C274" s="118"/>
      <c r="D274" s="119" t="s">
        <v>753</v>
      </c>
      <c r="E274" s="119" t="s">
        <v>1093</v>
      </c>
      <c r="F274" s="119" t="s">
        <v>753</v>
      </c>
      <c r="G274" s="119" t="s">
        <v>753</v>
      </c>
      <c r="H274" s="119" t="s">
        <v>753</v>
      </c>
      <c r="I274" s="119" t="s">
        <v>753</v>
      </c>
      <c r="J274" s="119" t="s">
        <v>753</v>
      </c>
      <c r="K274" s="119" t="s">
        <v>753</v>
      </c>
      <c r="L274" s="119" t="s">
        <v>753</v>
      </c>
      <c r="M274" s="122" t="s">
        <v>1101</v>
      </c>
      <c r="N274" s="132"/>
      <c r="O274" s="132"/>
      <c r="P274" s="132"/>
      <c r="Q274" s="132"/>
      <c r="R274" s="132"/>
      <c r="S274" s="132"/>
      <c r="T274" s="132"/>
      <c r="U274" s="132"/>
      <c r="V274" s="132"/>
      <c r="W274" s="132"/>
      <c r="X274" s="132"/>
      <c r="Y274" s="132"/>
      <c r="Z274" s="132"/>
      <c r="AA274" s="132"/>
      <c r="AB274" s="122"/>
      <c r="AC274" s="122"/>
      <c r="AD274" s="135"/>
    </row>
    <row r="275" spans="1:30" s="134" customFormat="1" outlineLevel="1">
      <c r="A275" s="119" t="s">
        <v>1100</v>
      </c>
      <c r="B275" s="118" t="s">
        <v>644</v>
      </c>
      <c r="C275" s="118"/>
      <c r="D275" s="119" t="s">
        <v>753</v>
      </c>
      <c r="E275" s="119" t="s">
        <v>934</v>
      </c>
      <c r="F275" s="119" t="s">
        <v>753</v>
      </c>
      <c r="G275" s="119" t="s">
        <v>753</v>
      </c>
      <c r="H275" s="119" t="s">
        <v>753</v>
      </c>
      <c r="I275" s="119" t="s">
        <v>753</v>
      </c>
      <c r="J275" s="119" t="s">
        <v>753</v>
      </c>
      <c r="K275" s="119" t="s">
        <v>753</v>
      </c>
      <c r="L275" s="119" t="s">
        <v>753</v>
      </c>
      <c r="M275" s="122" t="s">
        <v>1099</v>
      </c>
      <c r="N275" s="132"/>
      <c r="O275" s="132"/>
      <c r="P275" s="132"/>
      <c r="Q275" s="132"/>
      <c r="R275" s="132"/>
      <c r="S275" s="132"/>
      <c r="T275" s="122"/>
      <c r="U275" s="122"/>
      <c r="V275" s="132"/>
      <c r="W275" s="132"/>
      <c r="X275" s="132"/>
      <c r="Y275" s="132"/>
      <c r="Z275" s="122"/>
      <c r="AA275" s="122"/>
      <c r="AB275" s="122"/>
      <c r="AC275" s="122"/>
      <c r="AD275" s="135"/>
    </row>
    <row r="276" spans="1:30" s="134" customFormat="1" outlineLevel="1">
      <c r="A276" s="119" t="s">
        <v>1098</v>
      </c>
      <c r="B276" s="118" t="s">
        <v>677</v>
      </c>
      <c r="C276" s="118"/>
      <c r="D276" s="119" t="s">
        <v>753</v>
      </c>
      <c r="E276" s="119" t="s">
        <v>1049</v>
      </c>
      <c r="F276" s="119" t="s">
        <v>753</v>
      </c>
      <c r="G276" s="119" t="s">
        <v>753</v>
      </c>
      <c r="H276" s="119" t="s">
        <v>753</v>
      </c>
      <c r="I276" s="119" t="s">
        <v>753</v>
      </c>
      <c r="J276" s="119" t="s">
        <v>753</v>
      </c>
      <c r="K276" s="119" t="s">
        <v>753</v>
      </c>
      <c r="L276" s="119" t="s">
        <v>753</v>
      </c>
      <c r="M276" s="122" t="s">
        <v>1097</v>
      </c>
      <c r="N276" s="132"/>
      <c r="O276" s="132"/>
      <c r="P276" s="132"/>
      <c r="Q276" s="132"/>
      <c r="R276" s="132"/>
      <c r="S276" s="132"/>
      <c r="T276" s="122"/>
      <c r="U276" s="122"/>
      <c r="V276" s="132"/>
      <c r="W276" s="132"/>
      <c r="X276" s="132"/>
      <c r="Y276" s="132"/>
      <c r="Z276" s="122"/>
      <c r="AA276" s="122"/>
      <c r="AB276" s="122"/>
      <c r="AC276" s="122"/>
      <c r="AD276" s="135"/>
    </row>
    <row r="277" spans="1:30" s="134" customFormat="1" outlineLevel="1">
      <c r="A277" s="119" t="s">
        <v>1096</v>
      </c>
      <c r="B277" s="118" t="s">
        <v>709</v>
      </c>
      <c r="C277" s="118"/>
      <c r="D277" s="119" t="s">
        <v>753</v>
      </c>
      <c r="E277" s="119" t="s">
        <v>1049</v>
      </c>
      <c r="F277" s="119" t="s">
        <v>753</v>
      </c>
      <c r="G277" s="119" t="s">
        <v>753</v>
      </c>
      <c r="H277" s="119" t="s">
        <v>753</v>
      </c>
      <c r="I277" s="119" t="s">
        <v>753</v>
      </c>
      <c r="J277" s="119" t="s">
        <v>753</v>
      </c>
      <c r="K277" s="119" t="s">
        <v>753</v>
      </c>
      <c r="L277" s="119" t="s">
        <v>753</v>
      </c>
      <c r="M277" s="122" t="s">
        <v>1095</v>
      </c>
      <c r="N277" s="132"/>
      <c r="O277" s="132"/>
      <c r="P277" s="132"/>
      <c r="Q277" s="132"/>
      <c r="R277" s="132"/>
      <c r="S277" s="132"/>
      <c r="T277" s="132"/>
      <c r="U277" s="132"/>
      <c r="V277" s="132"/>
      <c r="W277" s="132"/>
      <c r="X277" s="132"/>
      <c r="Y277" s="132"/>
      <c r="Z277" s="132"/>
      <c r="AA277" s="132"/>
      <c r="AB277" s="122"/>
      <c r="AC277" s="122"/>
      <c r="AD277" s="135"/>
    </row>
    <row r="278" spans="1:30" s="134" customFormat="1" outlineLevel="1">
      <c r="A278" s="119" t="s">
        <v>1094</v>
      </c>
      <c r="B278" s="118" t="s">
        <v>708</v>
      </c>
      <c r="C278" s="118"/>
      <c r="D278" s="119" t="s">
        <v>753</v>
      </c>
      <c r="E278" s="119" t="s">
        <v>1093</v>
      </c>
      <c r="F278" s="119" t="s">
        <v>753</v>
      </c>
      <c r="G278" s="119" t="s">
        <v>753</v>
      </c>
      <c r="H278" s="119" t="s">
        <v>753</v>
      </c>
      <c r="I278" s="119" t="s">
        <v>753</v>
      </c>
      <c r="J278" s="119" t="s">
        <v>753</v>
      </c>
      <c r="K278" s="119" t="s">
        <v>753</v>
      </c>
      <c r="L278" s="119" t="s">
        <v>753</v>
      </c>
      <c r="M278" s="122" t="s">
        <v>1092</v>
      </c>
      <c r="N278" s="132"/>
      <c r="O278" s="132"/>
      <c r="P278" s="132"/>
      <c r="Q278" s="132"/>
      <c r="R278" s="132"/>
      <c r="S278" s="132"/>
      <c r="T278" s="132"/>
      <c r="U278" s="132"/>
      <c r="V278" s="132"/>
      <c r="W278" s="132"/>
      <c r="X278" s="132"/>
      <c r="Y278" s="132"/>
      <c r="Z278" s="132"/>
      <c r="AA278" s="132"/>
      <c r="AB278" s="122"/>
      <c r="AC278" s="122"/>
      <c r="AD278" s="135"/>
    </row>
    <row r="279" spans="1:30" s="134" customFormat="1" outlineLevel="1">
      <c r="A279" s="119" t="s">
        <v>1091</v>
      </c>
      <c r="B279" s="118" t="s">
        <v>675</v>
      </c>
      <c r="C279" s="118"/>
      <c r="D279" s="119" t="s">
        <v>753</v>
      </c>
      <c r="E279" s="119" t="s">
        <v>1090</v>
      </c>
      <c r="F279" s="119" t="s">
        <v>753</v>
      </c>
      <c r="G279" s="119" t="s">
        <v>753</v>
      </c>
      <c r="H279" s="119" t="s">
        <v>753</v>
      </c>
      <c r="I279" s="119" t="s">
        <v>753</v>
      </c>
      <c r="J279" s="119" t="s">
        <v>753</v>
      </c>
      <c r="K279" s="119" t="s">
        <v>753</v>
      </c>
      <c r="L279" s="119" t="s">
        <v>753</v>
      </c>
      <c r="M279" s="122" t="s">
        <v>1089</v>
      </c>
      <c r="N279" s="132"/>
      <c r="O279" s="132"/>
      <c r="P279" s="132"/>
      <c r="Q279" s="132"/>
      <c r="R279" s="132"/>
      <c r="S279" s="122"/>
      <c r="T279" s="122"/>
      <c r="U279" s="122"/>
      <c r="V279" s="132"/>
      <c r="W279" s="132"/>
      <c r="X279" s="132"/>
      <c r="Y279" s="122"/>
      <c r="Z279" s="122"/>
      <c r="AA279" s="122"/>
      <c r="AB279" s="122"/>
      <c r="AC279" s="122"/>
      <c r="AD279" s="135"/>
    </row>
    <row r="280" spans="1:30" s="134" customFormat="1" outlineLevel="1">
      <c r="A280" s="119" t="s">
        <v>1088</v>
      </c>
      <c r="B280" s="118" t="s">
        <v>593</v>
      </c>
      <c r="C280" s="118"/>
      <c r="D280" s="119" t="s">
        <v>753</v>
      </c>
      <c r="E280" s="119" t="s">
        <v>1002</v>
      </c>
      <c r="F280" s="119" t="s">
        <v>753</v>
      </c>
      <c r="G280" s="119" t="s">
        <v>753</v>
      </c>
      <c r="H280" s="119" t="s">
        <v>753</v>
      </c>
      <c r="I280" s="119" t="s">
        <v>753</v>
      </c>
      <c r="J280" s="119" t="s">
        <v>753</v>
      </c>
      <c r="K280" s="119" t="s">
        <v>753</v>
      </c>
      <c r="L280" s="119" t="s">
        <v>753</v>
      </c>
      <c r="M280" s="122" t="s">
        <v>1087</v>
      </c>
      <c r="N280" s="132"/>
      <c r="O280" s="132"/>
      <c r="P280" s="132"/>
      <c r="Q280" s="132"/>
      <c r="R280" s="132"/>
      <c r="S280" s="132"/>
      <c r="T280" s="122"/>
      <c r="U280" s="122"/>
      <c r="V280" s="132"/>
      <c r="W280" s="132"/>
      <c r="X280" s="132"/>
      <c r="Y280" s="132"/>
      <c r="Z280" s="122"/>
      <c r="AA280" s="122"/>
      <c r="AB280" s="122"/>
      <c r="AC280" s="122"/>
      <c r="AD280" s="135"/>
    </row>
    <row r="281" spans="1:30" s="134" customFormat="1" outlineLevel="1">
      <c r="A281" s="120" t="s">
        <v>1086</v>
      </c>
      <c r="B281" s="126" t="s">
        <v>557</v>
      </c>
      <c r="C281" s="167"/>
      <c r="D281" s="120" t="s">
        <v>926</v>
      </c>
      <c r="E281" s="120" t="s">
        <v>895</v>
      </c>
      <c r="F281" s="120" t="s">
        <v>753</v>
      </c>
      <c r="G281" s="120" t="s">
        <v>753</v>
      </c>
      <c r="H281" s="120" t="s">
        <v>753</v>
      </c>
      <c r="I281" s="120" t="s">
        <v>753</v>
      </c>
      <c r="J281" s="120" t="s">
        <v>753</v>
      </c>
      <c r="K281" s="120" t="s">
        <v>753</v>
      </c>
      <c r="L281" s="120" t="s">
        <v>753</v>
      </c>
      <c r="M281" s="126"/>
      <c r="N281" s="126"/>
      <c r="O281" s="126"/>
      <c r="P281" s="126"/>
      <c r="Q281" s="126"/>
      <c r="R281" s="126"/>
      <c r="S281" s="126"/>
      <c r="T281" s="126"/>
      <c r="U281" s="125"/>
      <c r="V281" s="126"/>
      <c r="W281" s="126"/>
      <c r="X281" s="126"/>
      <c r="Y281" s="126"/>
      <c r="Z281" s="126"/>
      <c r="AA281" s="125"/>
      <c r="AB281" s="125"/>
      <c r="AC281" s="125"/>
      <c r="AD281" s="135"/>
    </row>
    <row r="282" spans="1:30" s="134" customFormat="1" outlineLevel="1">
      <c r="A282" s="120" t="s">
        <v>1085</v>
      </c>
      <c r="B282" s="126" t="s">
        <v>558</v>
      </c>
      <c r="C282" s="167"/>
      <c r="D282" s="120" t="s">
        <v>932</v>
      </c>
      <c r="E282" s="120" t="s">
        <v>945</v>
      </c>
      <c r="F282" s="120" t="s">
        <v>753</v>
      </c>
      <c r="G282" s="120" t="s">
        <v>753</v>
      </c>
      <c r="H282" s="120" t="s">
        <v>753</v>
      </c>
      <c r="I282" s="120" t="s">
        <v>753</v>
      </c>
      <c r="J282" s="120" t="s">
        <v>753</v>
      </c>
      <c r="K282" s="120" t="s">
        <v>753</v>
      </c>
      <c r="L282" s="120" t="s">
        <v>753</v>
      </c>
      <c r="M282" s="126"/>
      <c r="N282" s="126"/>
      <c r="O282" s="126"/>
      <c r="P282" s="126"/>
      <c r="Q282" s="126"/>
      <c r="R282" s="126"/>
      <c r="S282" s="126"/>
      <c r="T282" s="125"/>
      <c r="U282" s="126"/>
      <c r="V282" s="126"/>
      <c r="W282" s="126"/>
      <c r="X282" s="126"/>
      <c r="Y282" s="126"/>
      <c r="Z282" s="125"/>
      <c r="AA282" s="126"/>
      <c r="AB282" s="125"/>
      <c r="AC282" s="125"/>
      <c r="AD282" s="135"/>
    </row>
    <row r="283" spans="1:30" s="134" customFormat="1" outlineLevel="1">
      <c r="A283" s="120" t="s">
        <v>1084</v>
      </c>
      <c r="B283" s="126" t="s">
        <v>556</v>
      </c>
      <c r="C283" s="167"/>
      <c r="D283" s="120" t="s">
        <v>1083</v>
      </c>
      <c r="E283" s="120" t="s">
        <v>973</v>
      </c>
      <c r="F283" s="120" t="s">
        <v>753</v>
      </c>
      <c r="G283" s="120" t="s">
        <v>753</v>
      </c>
      <c r="H283" s="120" t="s">
        <v>753</v>
      </c>
      <c r="I283" s="120" t="s">
        <v>753</v>
      </c>
      <c r="J283" s="120" t="s">
        <v>753</v>
      </c>
      <c r="K283" s="120" t="s">
        <v>753</v>
      </c>
      <c r="L283" s="120" t="s">
        <v>753</v>
      </c>
      <c r="M283" s="126"/>
      <c r="N283" s="126"/>
      <c r="O283" s="126"/>
      <c r="P283" s="126"/>
      <c r="Q283" s="126"/>
      <c r="R283" s="126"/>
      <c r="S283" s="126"/>
      <c r="T283" s="125"/>
      <c r="U283" s="126"/>
      <c r="V283" s="126"/>
      <c r="W283" s="126"/>
      <c r="X283" s="126"/>
      <c r="Y283" s="126"/>
      <c r="Z283" s="125"/>
      <c r="AA283" s="126"/>
      <c r="AB283" s="125"/>
      <c r="AC283" s="125"/>
      <c r="AD283" s="135"/>
    </row>
    <row r="284" spans="1:30" s="134" customFormat="1">
      <c r="A284" s="131" t="s">
        <v>1082</v>
      </c>
      <c r="B284" s="130"/>
      <c r="C284" s="136"/>
      <c r="D284" s="129"/>
      <c r="E284" s="129"/>
      <c r="F284" s="129"/>
      <c r="G284" s="129"/>
      <c r="H284" s="129"/>
      <c r="I284" s="129"/>
      <c r="J284" s="129"/>
      <c r="K284" s="129"/>
      <c r="L284" s="129"/>
      <c r="M284" s="133"/>
      <c r="N284" s="133"/>
      <c r="O284" s="133"/>
      <c r="P284" s="133"/>
      <c r="Q284" s="133"/>
      <c r="R284" s="133"/>
      <c r="S284" s="133"/>
      <c r="T284" s="133"/>
      <c r="U284" s="133"/>
      <c r="V284" s="133"/>
      <c r="W284" s="133"/>
      <c r="X284" s="133"/>
      <c r="Y284" s="133"/>
      <c r="Z284" s="133"/>
      <c r="AA284" s="133"/>
      <c r="AB284" s="127"/>
      <c r="AC284" s="127"/>
      <c r="AD284" s="135"/>
    </row>
    <row r="285" spans="1:30" s="134" customFormat="1" outlineLevel="1">
      <c r="A285" s="119" t="s">
        <v>1081</v>
      </c>
      <c r="B285" s="118" t="s">
        <v>591</v>
      </c>
      <c r="C285" s="118"/>
      <c r="D285" s="119" t="s">
        <v>753</v>
      </c>
      <c r="E285" s="119" t="s">
        <v>1049</v>
      </c>
      <c r="F285" s="119" t="s">
        <v>753</v>
      </c>
      <c r="G285" s="119" t="s">
        <v>753</v>
      </c>
      <c r="H285" s="119" t="s">
        <v>753</v>
      </c>
      <c r="I285" s="119" t="s">
        <v>753</v>
      </c>
      <c r="J285" s="119" t="s">
        <v>753</v>
      </c>
      <c r="K285" s="119" t="s">
        <v>753</v>
      </c>
      <c r="L285" s="119" t="s">
        <v>753</v>
      </c>
      <c r="M285" s="122" t="s">
        <v>591</v>
      </c>
      <c r="N285" s="132"/>
      <c r="O285" s="132"/>
      <c r="P285" s="132"/>
      <c r="Q285" s="132"/>
      <c r="R285" s="132"/>
      <c r="S285" s="132"/>
      <c r="T285" s="132"/>
      <c r="U285" s="132"/>
      <c r="V285" s="132"/>
      <c r="W285" s="132"/>
      <c r="X285" s="132"/>
      <c r="Y285" s="132"/>
      <c r="Z285" s="132"/>
      <c r="AA285" s="132"/>
      <c r="AB285" s="122"/>
      <c r="AC285" s="122"/>
      <c r="AD285" s="135"/>
    </row>
    <row r="286" spans="1:30" s="134" customFormat="1" outlineLevel="1">
      <c r="A286" s="119" t="s">
        <v>1080</v>
      </c>
      <c r="B286" s="118" t="s">
        <v>590</v>
      </c>
      <c r="C286" s="118"/>
      <c r="D286" s="119" t="s">
        <v>753</v>
      </c>
      <c r="E286" s="119" t="s">
        <v>1049</v>
      </c>
      <c r="F286" s="119" t="s">
        <v>753</v>
      </c>
      <c r="G286" s="119" t="s">
        <v>753</v>
      </c>
      <c r="H286" s="119" t="s">
        <v>753</v>
      </c>
      <c r="I286" s="119" t="s">
        <v>753</v>
      </c>
      <c r="J286" s="119" t="s">
        <v>753</v>
      </c>
      <c r="K286" s="119" t="s">
        <v>753</v>
      </c>
      <c r="L286" s="119" t="s">
        <v>753</v>
      </c>
      <c r="M286" s="122" t="s">
        <v>590</v>
      </c>
      <c r="N286" s="132"/>
      <c r="O286" s="132"/>
      <c r="P286" s="132"/>
      <c r="Q286" s="132"/>
      <c r="R286" s="132"/>
      <c r="S286" s="132"/>
      <c r="T286" s="132"/>
      <c r="U286" s="122"/>
      <c r="V286" s="132"/>
      <c r="W286" s="132"/>
      <c r="X286" s="132"/>
      <c r="Y286" s="132"/>
      <c r="Z286" s="132"/>
      <c r="AA286" s="122"/>
      <c r="AB286" s="122"/>
      <c r="AC286" s="122"/>
      <c r="AD286" s="135"/>
    </row>
    <row r="287" spans="1:30" s="134" customFormat="1" outlineLevel="1">
      <c r="A287" s="119" t="s">
        <v>1078</v>
      </c>
      <c r="B287" s="118" t="s">
        <v>658</v>
      </c>
      <c r="C287" s="118"/>
      <c r="D287" s="119" t="s">
        <v>753</v>
      </c>
      <c r="E287" s="119" t="s">
        <v>1006</v>
      </c>
      <c r="F287" s="119" t="s">
        <v>753</v>
      </c>
      <c r="G287" s="119" t="s">
        <v>753</v>
      </c>
      <c r="H287" s="119" t="s">
        <v>753</v>
      </c>
      <c r="I287" s="119" t="s">
        <v>753</v>
      </c>
      <c r="J287" s="119" t="s">
        <v>753</v>
      </c>
      <c r="K287" s="119" t="s">
        <v>753</v>
      </c>
      <c r="L287" s="119" t="s">
        <v>753</v>
      </c>
      <c r="M287" s="122" t="s">
        <v>3406</v>
      </c>
      <c r="N287" s="132" t="s">
        <v>3417</v>
      </c>
      <c r="O287" s="132" t="s">
        <v>3413</v>
      </c>
      <c r="P287" s="132"/>
      <c r="Q287" s="132"/>
      <c r="R287" s="132"/>
      <c r="S287" s="132"/>
      <c r="T287" s="132"/>
      <c r="U287" s="122"/>
      <c r="V287" s="132"/>
      <c r="W287" s="132"/>
      <c r="X287" s="132"/>
      <c r="Y287" s="132"/>
      <c r="Z287" s="132"/>
      <c r="AA287" s="122"/>
      <c r="AB287" s="122"/>
      <c r="AC287" s="122"/>
      <c r="AD287" s="135"/>
    </row>
    <row r="288" spans="1:30" s="134" customFormat="1" outlineLevel="1">
      <c r="A288" s="119" t="s">
        <v>1077</v>
      </c>
      <c r="B288" s="118" t="s">
        <v>657</v>
      </c>
      <c r="C288" s="118"/>
      <c r="D288" s="119" t="s">
        <v>753</v>
      </c>
      <c r="E288" s="119" t="s">
        <v>1006</v>
      </c>
      <c r="F288" s="119" t="s">
        <v>753</v>
      </c>
      <c r="G288" s="119" t="s">
        <v>753</v>
      </c>
      <c r="H288" s="119" t="s">
        <v>753</v>
      </c>
      <c r="I288" s="119" t="s">
        <v>753</v>
      </c>
      <c r="J288" s="119" t="s">
        <v>753</v>
      </c>
      <c r="K288" s="119" t="s">
        <v>753</v>
      </c>
      <c r="L288" s="119" t="s">
        <v>753</v>
      </c>
      <c r="M288" s="122" t="s">
        <v>3407</v>
      </c>
      <c r="N288" s="132" t="s">
        <v>3410</v>
      </c>
      <c r="O288" s="132" t="s">
        <v>3414</v>
      </c>
      <c r="P288" s="132"/>
      <c r="Q288" s="132"/>
      <c r="R288" s="132"/>
      <c r="S288" s="132"/>
      <c r="T288" s="132"/>
      <c r="U288" s="132"/>
      <c r="V288" s="132"/>
      <c r="W288" s="132"/>
      <c r="X288" s="132"/>
      <c r="Y288" s="132"/>
      <c r="Z288" s="132"/>
      <c r="AA288" s="132"/>
      <c r="AB288" s="122"/>
      <c r="AC288" s="122"/>
      <c r="AD288" s="135"/>
    </row>
    <row r="289" spans="1:30" s="134" customFormat="1" outlineLevel="1">
      <c r="A289" s="119" t="s">
        <v>1076</v>
      </c>
      <c r="B289" s="118" t="s">
        <v>662</v>
      </c>
      <c r="C289" s="118"/>
      <c r="D289" s="119" t="s">
        <v>753</v>
      </c>
      <c r="E289" s="119" t="s">
        <v>934</v>
      </c>
      <c r="F289" s="119" t="s">
        <v>753</v>
      </c>
      <c r="G289" s="119" t="s">
        <v>753</v>
      </c>
      <c r="H289" s="119" t="s">
        <v>753</v>
      </c>
      <c r="I289" s="119" t="s">
        <v>753</v>
      </c>
      <c r="J289" s="119" t="s">
        <v>753</v>
      </c>
      <c r="K289" s="119" t="s">
        <v>753</v>
      </c>
      <c r="L289" s="119" t="s">
        <v>753</v>
      </c>
      <c r="M289" s="122" t="s">
        <v>3408</v>
      </c>
      <c r="N289" s="132" t="s">
        <v>3411</v>
      </c>
      <c r="O289" s="132" t="s">
        <v>3415</v>
      </c>
      <c r="P289" s="132"/>
      <c r="Q289" s="132"/>
      <c r="R289" s="132"/>
      <c r="S289" s="132"/>
      <c r="T289" s="132"/>
      <c r="U289" s="132"/>
      <c r="V289" s="132"/>
      <c r="W289" s="132"/>
      <c r="X289" s="132"/>
      <c r="Y289" s="132"/>
      <c r="Z289" s="132"/>
      <c r="AA289" s="132"/>
      <c r="AB289" s="122"/>
      <c r="AC289" s="122"/>
      <c r="AD289" s="135"/>
    </row>
    <row r="290" spans="1:30" s="134" customFormat="1" outlineLevel="1">
      <c r="A290" s="119" t="s">
        <v>1075</v>
      </c>
      <c r="B290" s="118" t="s">
        <v>663</v>
      </c>
      <c r="C290" s="118"/>
      <c r="D290" s="119" t="s">
        <v>753</v>
      </c>
      <c r="E290" s="119" t="s">
        <v>934</v>
      </c>
      <c r="F290" s="119" t="s">
        <v>753</v>
      </c>
      <c r="G290" s="119" t="s">
        <v>753</v>
      </c>
      <c r="H290" s="119" t="s">
        <v>753</v>
      </c>
      <c r="I290" s="119" t="s">
        <v>753</v>
      </c>
      <c r="J290" s="119" t="s">
        <v>753</v>
      </c>
      <c r="K290" s="119" t="s">
        <v>753</v>
      </c>
      <c r="L290" s="119" t="s">
        <v>753</v>
      </c>
      <c r="M290" s="122" t="s">
        <v>3409</v>
      </c>
      <c r="N290" s="132" t="s">
        <v>3412</v>
      </c>
      <c r="O290" s="132" t="s">
        <v>3416</v>
      </c>
      <c r="P290" s="132"/>
      <c r="Q290" s="132"/>
      <c r="R290" s="132"/>
      <c r="S290" s="132"/>
      <c r="T290" s="132"/>
      <c r="U290" s="122"/>
      <c r="V290" s="132"/>
      <c r="W290" s="132"/>
      <c r="X290" s="132"/>
      <c r="Y290" s="132"/>
      <c r="Z290" s="132"/>
      <c r="AA290" s="122"/>
      <c r="AB290" s="122"/>
      <c r="AC290" s="122"/>
      <c r="AD290" s="135"/>
    </row>
    <row r="291" spans="1:30" s="134" customFormat="1" outlineLevel="1">
      <c r="A291" s="120" t="s">
        <v>1074</v>
      </c>
      <c r="B291" s="126" t="s">
        <v>510</v>
      </c>
      <c r="C291" s="167"/>
      <c r="D291" s="120" t="s">
        <v>1065</v>
      </c>
      <c r="E291" s="120" t="s">
        <v>945</v>
      </c>
      <c r="F291" s="120" t="s">
        <v>753</v>
      </c>
      <c r="G291" s="120" t="s">
        <v>753</v>
      </c>
      <c r="H291" s="120" t="s">
        <v>753</v>
      </c>
      <c r="I291" s="120" t="s">
        <v>753</v>
      </c>
      <c r="J291" s="120" t="s">
        <v>753</v>
      </c>
      <c r="K291" s="120" t="s">
        <v>753</v>
      </c>
      <c r="L291" s="120" t="s">
        <v>753</v>
      </c>
      <c r="M291" s="126"/>
      <c r="N291" s="126"/>
      <c r="O291" s="126"/>
      <c r="P291" s="126"/>
      <c r="Q291" s="126"/>
      <c r="R291" s="126"/>
      <c r="S291" s="126"/>
      <c r="T291" s="126"/>
      <c r="U291" s="126"/>
      <c r="V291" s="126"/>
      <c r="W291" s="126"/>
      <c r="X291" s="126"/>
      <c r="Y291" s="126"/>
      <c r="Z291" s="126"/>
      <c r="AA291" s="126"/>
      <c r="AB291" s="125"/>
      <c r="AC291" s="125"/>
      <c r="AD291" s="135"/>
    </row>
    <row r="292" spans="1:30" s="134" customFormat="1" outlineLevel="1">
      <c r="A292" s="120" t="s">
        <v>1073</v>
      </c>
      <c r="B292" s="126" t="s">
        <v>509</v>
      </c>
      <c r="C292" s="167"/>
      <c r="D292" s="120" t="s">
        <v>932</v>
      </c>
      <c r="E292" s="120" t="s">
        <v>945</v>
      </c>
      <c r="F292" s="120" t="s">
        <v>753</v>
      </c>
      <c r="G292" s="120" t="s">
        <v>753</v>
      </c>
      <c r="H292" s="120" t="s">
        <v>753</v>
      </c>
      <c r="I292" s="120" t="s">
        <v>753</v>
      </c>
      <c r="J292" s="120" t="s">
        <v>753</v>
      </c>
      <c r="K292" s="120" t="s">
        <v>753</v>
      </c>
      <c r="L292" s="120" t="s">
        <v>753</v>
      </c>
      <c r="M292" s="126"/>
      <c r="N292" s="126"/>
      <c r="O292" s="126"/>
      <c r="P292" s="126"/>
      <c r="Q292" s="126"/>
      <c r="R292" s="126"/>
      <c r="S292" s="126"/>
      <c r="T292" s="126"/>
      <c r="U292" s="125"/>
      <c r="V292" s="126"/>
      <c r="W292" s="126"/>
      <c r="X292" s="126"/>
      <c r="Y292" s="126"/>
      <c r="Z292" s="126"/>
      <c r="AA292" s="125"/>
      <c r="AB292" s="125"/>
      <c r="AC292" s="125"/>
      <c r="AD292" s="135"/>
    </row>
    <row r="293" spans="1:30" s="134" customFormat="1" outlineLevel="1">
      <c r="A293" s="119" t="s">
        <v>1072</v>
      </c>
      <c r="B293" s="118" t="s">
        <v>573</v>
      </c>
      <c r="C293" s="118"/>
      <c r="D293" s="119" t="s">
        <v>753</v>
      </c>
      <c r="E293" s="119" t="s">
        <v>1049</v>
      </c>
      <c r="F293" s="119" t="s">
        <v>753</v>
      </c>
      <c r="G293" s="119" t="s">
        <v>753</v>
      </c>
      <c r="H293" s="119" t="s">
        <v>753</v>
      </c>
      <c r="I293" s="119" t="s">
        <v>753</v>
      </c>
      <c r="J293" s="119" t="s">
        <v>753</v>
      </c>
      <c r="K293" s="119" t="s">
        <v>753</v>
      </c>
      <c r="L293" s="119" t="s">
        <v>753</v>
      </c>
      <c r="M293" s="122" t="s">
        <v>573</v>
      </c>
      <c r="N293" s="132"/>
      <c r="O293" s="132"/>
      <c r="P293" s="132"/>
      <c r="Q293" s="132"/>
      <c r="R293" s="132"/>
      <c r="S293" s="132"/>
      <c r="T293" s="132"/>
      <c r="U293" s="132"/>
      <c r="V293" s="132"/>
      <c r="W293" s="132"/>
      <c r="X293" s="132"/>
      <c r="Y293" s="132"/>
      <c r="Z293" s="132"/>
      <c r="AA293" s="132"/>
      <c r="AB293" s="122"/>
      <c r="AC293" s="122"/>
      <c r="AD293" s="135"/>
    </row>
    <row r="294" spans="1:30" s="134" customFormat="1" outlineLevel="1">
      <c r="A294" s="119" t="s">
        <v>1071</v>
      </c>
      <c r="B294" s="118" t="s">
        <v>572</v>
      </c>
      <c r="C294" s="118"/>
      <c r="D294" s="119" t="s">
        <v>753</v>
      </c>
      <c r="E294" s="119" t="s">
        <v>1049</v>
      </c>
      <c r="F294" s="119" t="s">
        <v>753</v>
      </c>
      <c r="G294" s="119" t="s">
        <v>753</v>
      </c>
      <c r="H294" s="119" t="s">
        <v>753</v>
      </c>
      <c r="I294" s="119" t="s">
        <v>753</v>
      </c>
      <c r="J294" s="119" t="s">
        <v>753</v>
      </c>
      <c r="K294" s="119" t="s">
        <v>753</v>
      </c>
      <c r="L294" s="119" t="s">
        <v>753</v>
      </c>
      <c r="M294" s="122" t="s">
        <v>572</v>
      </c>
      <c r="N294" s="122"/>
      <c r="O294" s="122"/>
      <c r="P294" s="122"/>
      <c r="Q294" s="122"/>
      <c r="R294" s="122"/>
      <c r="S294" s="122"/>
      <c r="T294" s="122"/>
      <c r="U294" s="122"/>
      <c r="V294" s="122"/>
      <c r="W294" s="122"/>
      <c r="X294" s="122"/>
      <c r="Y294" s="122"/>
      <c r="Z294" s="122"/>
      <c r="AA294" s="122"/>
      <c r="AB294" s="122"/>
      <c r="AC294" s="122"/>
      <c r="AD294" s="135"/>
    </row>
    <row r="295" spans="1:30" s="134" customFormat="1" outlineLevel="1">
      <c r="A295" s="119" t="s">
        <v>1070</v>
      </c>
      <c r="B295" s="118" t="s">
        <v>624</v>
      </c>
      <c r="C295" s="118"/>
      <c r="D295" s="119" t="s">
        <v>753</v>
      </c>
      <c r="E295" s="119" t="s">
        <v>1004</v>
      </c>
      <c r="F295" s="119" t="s">
        <v>753</v>
      </c>
      <c r="G295" s="119" t="s">
        <v>753</v>
      </c>
      <c r="H295" s="119" t="s">
        <v>753</v>
      </c>
      <c r="I295" s="119" t="s">
        <v>753</v>
      </c>
      <c r="J295" s="119" t="s">
        <v>753</v>
      </c>
      <c r="K295" s="119" t="s">
        <v>753</v>
      </c>
      <c r="L295" s="119" t="s">
        <v>753</v>
      </c>
      <c r="M295" s="122" t="s">
        <v>3418</v>
      </c>
      <c r="N295" s="122" t="s">
        <v>3426</v>
      </c>
      <c r="O295" s="122" t="s">
        <v>3422</v>
      </c>
      <c r="P295" s="122"/>
      <c r="Q295" s="122"/>
      <c r="R295" s="122"/>
      <c r="S295" s="122"/>
      <c r="T295" s="122"/>
      <c r="U295" s="122"/>
      <c r="V295" s="122"/>
      <c r="W295" s="122"/>
      <c r="X295" s="122"/>
      <c r="Y295" s="122"/>
      <c r="Z295" s="122"/>
      <c r="AA295" s="122"/>
      <c r="AB295" s="122"/>
      <c r="AC295" s="122"/>
      <c r="AD295" s="135"/>
    </row>
    <row r="296" spans="1:30" outlineLevel="1">
      <c r="A296" s="119" t="s">
        <v>1069</v>
      </c>
      <c r="B296" s="118" t="s">
        <v>623</v>
      </c>
      <c r="C296" s="122"/>
      <c r="D296" s="119" t="s">
        <v>753</v>
      </c>
      <c r="E296" s="119" t="s">
        <v>1042</v>
      </c>
      <c r="F296" s="119" t="s">
        <v>753</v>
      </c>
      <c r="G296" s="119" t="s">
        <v>753</v>
      </c>
      <c r="H296" s="119" t="s">
        <v>753</v>
      </c>
      <c r="I296" s="119" t="s">
        <v>753</v>
      </c>
      <c r="J296" s="119" t="s">
        <v>753</v>
      </c>
      <c r="K296" s="119" t="s">
        <v>753</v>
      </c>
      <c r="L296" s="119" t="s">
        <v>753</v>
      </c>
      <c r="M296" s="122" t="s">
        <v>3419</v>
      </c>
      <c r="N296" s="122" t="s">
        <v>3427</v>
      </c>
      <c r="O296" s="122" t="s">
        <v>3423</v>
      </c>
      <c r="P296" s="122"/>
      <c r="Q296" s="122"/>
      <c r="R296" s="122"/>
      <c r="S296" s="122"/>
      <c r="T296" s="122"/>
      <c r="U296" s="122"/>
      <c r="V296" s="122"/>
      <c r="W296" s="122"/>
      <c r="X296" s="122"/>
      <c r="Y296" s="122"/>
      <c r="Z296" s="122"/>
      <c r="AA296" s="122"/>
      <c r="AB296" s="122"/>
      <c r="AC296" s="122"/>
    </row>
    <row r="297" spans="1:30" outlineLevel="1">
      <c r="A297" s="119" t="s">
        <v>1068</v>
      </c>
      <c r="B297" s="118" t="s">
        <v>609</v>
      </c>
      <c r="C297" s="122"/>
      <c r="D297" s="119" t="s">
        <v>753</v>
      </c>
      <c r="E297" s="119" t="s">
        <v>1002</v>
      </c>
      <c r="F297" s="119" t="s">
        <v>753</v>
      </c>
      <c r="G297" s="119" t="s">
        <v>753</v>
      </c>
      <c r="H297" s="119" t="s">
        <v>753</v>
      </c>
      <c r="I297" s="119" t="s">
        <v>753</v>
      </c>
      <c r="J297" s="119" t="s">
        <v>753</v>
      </c>
      <c r="K297" s="119" t="s">
        <v>753</v>
      </c>
      <c r="L297" s="119" t="s">
        <v>753</v>
      </c>
      <c r="M297" s="122" t="s">
        <v>3420</v>
      </c>
      <c r="N297" s="132" t="s">
        <v>3428</v>
      </c>
      <c r="O297" s="132" t="s">
        <v>3424</v>
      </c>
      <c r="P297" s="132"/>
      <c r="Q297" s="132"/>
      <c r="R297" s="132"/>
      <c r="S297" s="132"/>
      <c r="T297" s="132"/>
      <c r="U297" s="132"/>
      <c r="V297" s="132"/>
      <c r="W297" s="132"/>
      <c r="X297" s="132"/>
      <c r="Y297" s="132"/>
      <c r="Z297" s="132"/>
      <c r="AA297" s="132"/>
      <c r="AB297" s="122"/>
      <c r="AC297" s="122"/>
    </row>
    <row r="298" spans="1:30" outlineLevel="1">
      <c r="A298" s="119" t="s">
        <v>1067</v>
      </c>
      <c r="B298" s="118" t="s">
        <v>608</v>
      </c>
      <c r="C298" s="122"/>
      <c r="D298" s="119" t="s">
        <v>753</v>
      </c>
      <c r="E298" s="119" t="s">
        <v>938</v>
      </c>
      <c r="F298" s="119" t="s">
        <v>753</v>
      </c>
      <c r="G298" s="119" t="s">
        <v>753</v>
      </c>
      <c r="H298" s="119" t="s">
        <v>753</v>
      </c>
      <c r="I298" s="119" t="s">
        <v>753</v>
      </c>
      <c r="J298" s="119" t="s">
        <v>753</v>
      </c>
      <c r="K298" s="119" t="s">
        <v>753</v>
      </c>
      <c r="L298" s="119" t="s">
        <v>753</v>
      </c>
      <c r="M298" s="122" t="s">
        <v>3421</v>
      </c>
      <c r="N298" s="132" t="s">
        <v>3429</v>
      </c>
      <c r="O298" s="132" t="s">
        <v>3425</v>
      </c>
      <c r="P298" s="132"/>
      <c r="Q298" s="132"/>
      <c r="R298" s="132"/>
      <c r="S298" s="132"/>
      <c r="T298" s="132"/>
      <c r="U298" s="122"/>
      <c r="V298" s="132"/>
      <c r="W298" s="132"/>
      <c r="X298" s="132"/>
      <c r="Y298" s="132"/>
      <c r="Z298" s="132"/>
      <c r="AA298" s="122"/>
      <c r="AB298" s="122"/>
      <c r="AC298" s="122"/>
    </row>
    <row r="299" spans="1:30" outlineLevel="1">
      <c r="A299" s="120" t="s">
        <v>1066</v>
      </c>
      <c r="B299" s="126" t="s">
        <v>487</v>
      </c>
      <c r="C299" s="125"/>
      <c r="D299" s="120" t="s">
        <v>1065</v>
      </c>
      <c r="E299" s="120" t="s">
        <v>945</v>
      </c>
      <c r="F299" s="120" t="s">
        <v>753</v>
      </c>
      <c r="G299" s="120" t="s">
        <v>753</v>
      </c>
      <c r="H299" s="120" t="s">
        <v>753</v>
      </c>
      <c r="I299" s="120" t="s">
        <v>753</v>
      </c>
      <c r="J299" s="120" t="s">
        <v>753</v>
      </c>
      <c r="K299" s="120" t="s">
        <v>753</v>
      </c>
      <c r="L299" s="120" t="s">
        <v>753</v>
      </c>
      <c r="M299" s="126"/>
      <c r="N299" s="126"/>
      <c r="O299" s="126"/>
      <c r="P299" s="126"/>
      <c r="Q299" s="126"/>
      <c r="R299" s="126"/>
      <c r="S299" s="126"/>
      <c r="T299" s="126"/>
      <c r="U299" s="125"/>
      <c r="V299" s="126"/>
      <c r="W299" s="126"/>
      <c r="X299" s="126"/>
      <c r="Y299" s="126"/>
      <c r="Z299" s="126"/>
      <c r="AA299" s="125"/>
      <c r="AB299" s="125"/>
      <c r="AC299" s="125"/>
    </row>
    <row r="300" spans="1:30" outlineLevel="1">
      <c r="A300" s="120" t="s">
        <v>1064</v>
      </c>
      <c r="B300" s="126" t="s">
        <v>486</v>
      </c>
      <c r="C300" s="125"/>
      <c r="D300" s="120" t="s">
        <v>932</v>
      </c>
      <c r="E300" s="120" t="s">
        <v>945</v>
      </c>
      <c r="F300" s="120" t="s">
        <v>753</v>
      </c>
      <c r="G300" s="120" t="s">
        <v>753</v>
      </c>
      <c r="H300" s="120" t="s">
        <v>753</v>
      </c>
      <c r="I300" s="120" t="s">
        <v>753</v>
      </c>
      <c r="J300" s="120" t="s">
        <v>753</v>
      </c>
      <c r="K300" s="120" t="s">
        <v>753</v>
      </c>
      <c r="L300" s="120" t="s">
        <v>753</v>
      </c>
      <c r="M300" s="126"/>
      <c r="N300" s="126"/>
      <c r="O300" s="126"/>
      <c r="P300" s="126"/>
      <c r="Q300" s="126"/>
      <c r="R300" s="126"/>
      <c r="S300" s="126"/>
      <c r="T300" s="125"/>
      <c r="U300" s="125"/>
      <c r="V300" s="126"/>
      <c r="W300" s="126"/>
      <c r="X300" s="126"/>
      <c r="Y300" s="126"/>
      <c r="Z300" s="125"/>
      <c r="AA300" s="125"/>
      <c r="AB300" s="125"/>
      <c r="AC300" s="125"/>
    </row>
    <row r="301" spans="1:30" s="134" customFormat="1" outlineLevel="1">
      <c r="A301" s="162" t="s">
        <v>1063</v>
      </c>
      <c r="B301" s="124" t="s">
        <v>529</v>
      </c>
      <c r="C301" s="163"/>
      <c r="D301" s="162" t="s">
        <v>753</v>
      </c>
      <c r="E301" s="162" t="s">
        <v>1049</v>
      </c>
      <c r="F301" s="119" t="s">
        <v>753</v>
      </c>
      <c r="G301" s="119" t="s">
        <v>753</v>
      </c>
      <c r="H301" s="119" t="s">
        <v>753</v>
      </c>
      <c r="I301" s="119" t="s">
        <v>753</v>
      </c>
      <c r="J301" s="119" t="s">
        <v>753</v>
      </c>
      <c r="K301" s="119" t="s">
        <v>753</v>
      </c>
      <c r="L301" s="119" t="s">
        <v>753</v>
      </c>
      <c r="M301" s="124" t="s">
        <v>529</v>
      </c>
      <c r="N301" s="124"/>
      <c r="O301" s="124"/>
      <c r="P301" s="124"/>
      <c r="Q301" s="124"/>
      <c r="R301" s="124"/>
      <c r="S301" s="124"/>
      <c r="T301" s="163"/>
      <c r="U301" s="163"/>
      <c r="V301" s="124"/>
      <c r="W301" s="124"/>
      <c r="X301" s="124"/>
      <c r="Y301" s="124"/>
      <c r="Z301" s="163"/>
      <c r="AA301" s="163"/>
      <c r="AB301" s="163"/>
      <c r="AC301" s="163"/>
      <c r="AD301" s="135"/>
    </row>
    <row r="302" spans="1:30" s="134" customFormat="1" outlineLevel="1">
      <c r="A302" s="162" t="s">
        <v>1062</v>
      </c>
      <c r="B302" s="124" t="s">
        <v>528</v>
      </c>
      <c r="C302" s="163"/>
      <c r="D302" s="162" t="s">
        <v>753</v>
      </c>
      <c r="E302" s="162" t="s">
        <v>1049</v>
      </c>
      <c r="F302" s="119" t="s">
        <v>753</v>
      </c>
      <c r="G302" s="119" t="s">
        <v>753</v>
      </c>
      <c r="H302" s="119" t="s">
        <v>753</v>
      </c>
      <c r="I302" s="119" t="s">
        <v>753</v>
      </c>
      <c r="J302" s="119" t="s">
        <v>753</v>
      </c>
      <c r="K302" s="119" t="s">
        <v>753</v>
      </c>
      <c r="L302" s="119" t="s">
        <v>753</v>
      </c>
      <c r="M302" s="124" t="s">
        <v>528</v>
      </c>
      <c r="N302" s="124"/>
      <c r="O302" s="124"/>
      <c r="P302" s="124"/>
      <c r="Q302" s="124"/>
      <c r="R302" s="124"/>
      <c r="S302" s="124"/>
      <c r="T302" s="163"/>
      <c r="U302" s="163"/>
      <c r="V302" s="124"/>
      <c r="W302" s="124"/>
      <c r="X302" s="124"/>
      <c r="Y302" s="124"/>
      <c r="Z302" s="163"/>
      <c r="AA302" s="163"/>
      <c r="AB302" s="163"/>
      <c r="AC302" s="163"/>
      <c r="AD302" s="135"/>
    </row>
    <row r="303" spans="1:30" s="134" customFormat="1" outlineLevel="1">
      <c r="A303" s="162" t="s">
        <v>1061</v>
      </c>
      <c r="B303" s="124" t="s">
        <v>569</v>
      </c>
      <c r="C303" s="163"/>
      <c r="D303" s="162" t="s">
        <v>753</v>
      </c>
      <c r="E303" s="162" t="s">
        <v>3464</v>
      </c>
      <c r="F303" s="119" t="s">
        <v>753</v>
      </c>
      <c r="G303" s="119" t="s">
        <v>753</v>
      </c>
      <c r="H303" s="119" t="s">
        <v>753</v>
      </c>
      <c r="I303" s="119" t="s">
        <v>753</v>
      </c>
      <c r="J303" s="119" t="s">
        <v>753</v>
      </c>
      <c r="K303" s="119" t="s">
        <v>753</v>
      </c>
      <c r="L303" s="119" t="s">
        <v>753</v>
      </c>
      <c r="M303" s="124" t="s">
        <v>3434</v>
      </c>
      <c r="N303" s="124" t="s">
        <v>3430</v>
      </c>
      <c r="O303" s="124"/>
      <c r="P303" s="124"/>
      <c r="Q303" s="124"/>
      <c r="R303" s="124"/>
      <c r="S303" s="124"/>
      <c r="T303" s="163"/>
      <c r="U303" s="163"/>
      <c r="V303" s="124"/>
      <c r="W303" s="124"/>
      <c r="X303" s="124"/>
      <c r="Y303" s="124"/>
      <c r="Z303" s="163"/>
      <c r="AA303" s="163"/>
      <c r="AB303" s="163"/>
      <c r="AC303" s="163"/>
      <c r="AD303" s="135"/>
    </row>
    <row r="304" spans="1:30" s="134" customFormat="1" outlineLevel="1">
      <c r="A304" s="162" t="s">
        <v>1060</v>
      </c>
      <c r="B304" s="124" t="s">
        <v>570</v>
      </c>
      <c r="C304" s="163"/>
      <c r="D304" s="162" t="s">
        <v>753</v>
      </c>
      <c r="E304" s="162" t="s">
        <v>3464</v>
      </c>
      <c r="F304" s="119" t="s">
        <v>753</v>
      </c>
      <c r="G304" s="119" t="s">
        <v>753</v>
      </c>
      <c r="H304" s="119" t="s">
        <v>753</v>
      </c>
      <c r="I304" s="119" t="s">
        <v>753</v>
      </c>
      <c r="J304" s="119" t="s">
        <v>753</v>
      </c>
      <c r="K304" s="119" t="s">
        <v>753</v>
      </c>
      <c r="L304" s="119" t="s">
        <v>753</v>
      </c>
      <c r="M304" s="124" t="s">
        <v>3435</v>
      </c>
      <c r="N304" s="124" t="s">
        <v>3431</v>
      </c>
      <c r="O304" s="124"/>
      <c r="P304" s="124"/>
      <c r="Q304" s="124"/>
      <c r="R304" s="124"/>
      <c r="S304" s="124"/>
      <c r="T304" s="163"/>
      <c r="U304" s="163"/>
      <c r="V304" s="124"/>
      <c r="W304" s="124"/>
      <c r="X304" s="124"/>
      <c r="Y304" s="124"/>
      <c r="Z304" s="163"/>
      <c r="AA304" s="163"/>
      <c r="AB304" s="163"/>
      <c r="AC304" s="163"/>
      <c r="AD304" s="135"/>
    </row>
    <row r="305" spans="1:30" s="134" customFormat="1" outlineLevel="1">
      <c r="A305" s="162" t="s">
        <v>1059</v>
      </c>
      <c r="B305" s="124" t="s">
        <v>583</v>
      </c>
      <c r="C305" s="163"/>
      <c r="D305" s="162" t="s">
        <v>753</v>
      </c>
      <c r="E305" s="162" t="s">
        <v>950</v>
      </c>
      <c r="F305" s="119" t="s">
        <v>753</v>
      </c>
      <c r="G305" s="119" t="s">
        <v>753</v>
      </c>
      <c r="H305" s="119" t="s">
        <v>753</v>
      </c>
      <c r="I305" s="119" t="s">
        <v>753</v>
      </c>
      <c r="J305" s="119" t="s">
        <v>753</v>
      </c>
      <c r="K305" s="119" t="s">
        <v>753</v>
      </c>
      <c r="L305" s="119" t="s">
        <v>753</v>
      </c>
      <c r="M305" s="124" t="s">
        <v>3436</v>
      </c>
      <c r="N305" s="124" t="s">
        <v>3432</v>
      </c>
      <c r="O305" s="124"/>
      <c r="P305" s="124"/>
      <c r="Q305" s="124"/>
      <c r="R305" s="124"/>
      <c r="S305" s="124"/>
      <c r="T305" s="163"/>
      <c r="U305" s="163"/>
      <c r="V305" s="124"/>
      <c r="W305" s="124"/>
      <c r="X305" s="124"/>
      <c r="Y305" s="124"/>
      <c r="Z305" s="163"/>
      <c r="AA305" s="163"/>
      <c r="AB305" s="163"/>
      <c r="AC305" s="163"/>
      <c r="AD305" s="135"/>
    </row>
    <row r="306" spans="1:30" s="134" customFormat="1" outlineLevel="1">
      <c r="A306" s="162" t="s">
        <v>1058</v>
      </c>
      <c r="B306" s="124" t="s">
        <v>584</v>
      </c>
      <c r="C306" s="163"/>
      <c r="D306" s="162" t="s">
        <v>753</v>
      </c>
      <c r="E306" s="162" t="s">
        <v>950</v>
      </c>
      <c r="F306" s="119" t="s">
        <v>753</v>
      </c>
      <c r="G306" s="119" t="s">
        <v>753</v>
      </c>
      <c r="H306" s="119" t="s">
        <v>753</v>
      </c>
      <c r="I306" s="119" t="s">
        <v>753</v>
      </c>
      <c r="J306" s="119" t="s">
        <v>753</v>
      </c>
      <c r="K306" s="119" t="s">
        <v>753</v>
      </c>
      <c r="L306" s="119" t="s">
        <v>753</v>
      </c>
      <c r="M306" s="124" t="s">
        <v>3437</v>
      </c>
      <c r="N306" s="124" t="s">
        <v>3433</v>
      </c>
      <c r="O306" s="124"/>
      <c r="P306" s="124"/>
      <c r="Q306" s="124"/>
      <c r="R306" s="124"/>
      <c r="S306" s="124"/>
      <c r="T306" s="163"/>
      <c r="U306" s="163"/>
      <c r="V306" s="124"/>
      <c r="W306" s="124"/>
      <c r="X306" s="124"/>
      <c r="Y306" s="124"/>
      <c r="Z306" s="163"/>
      <c r="AA306" s="163"/>
      <c r="AB306" s="163"/>
      <c r="AC306" s="163"/>
      <c r="AD306" s="135"/>
    </row>
    <row r="307" spans="1:30" outlineLevel="1">
      <c r="A307" s="120" t="s">
        <v>1057</v>
      </c>
      <c r="B307" s="126" t="s">
        <v>465</v>
      </c>
      <c r="C307" s="125"/>
      <c r="D307" s="120" t="s">
        <v>1065</v>
      </c>
      <c r="E307" s="120" t="s">
        <v>3465</v>
      </c>
      <c r="F307" s="120" t="s">
        <v>753</v>
      </c>
      <c r="G307" s="120" t="s">
        <v>753</v>
      </c>
      <c r="H307" s="120" t="s">
        <v>753</v>
      </c>
      <c r="I307" s="120" t="s">
        <v>753</v>
      </c>
      <c r="J307" s="120" t="s">
        <v>753</v>
      </c>
      <c r="K307" s="120" t="s">
        <v>753</v>
      </c>
      <c r="L307" s="120" t="s">
        <v>753</v>
      </c>
      <c r="M307" s="126"/>
      <c r="N307" s="126"/>
      <c r="O307" s="126"/>
      <c r="P307" s="126"/>
      <c r="Q307" s="126"/>
      <c r="R307" s="126"/>
      <c r="S307" s="126"/>
      <c r="T307" s="125"/>
      <c r="U307" s="125"/>
      <c r="V307" s="126"/>
      <c r="W307" s="126"/>
      <c r="X307" s="126"/>
      <c r="Y307" s="126"/>
      <c r="Z307" s="125"/>
      <c r="AA307" s="125"/>
      <c r="AB307" s="125"/>
      <c r="AC307" s="125"/>
    </row>
    <row r="308" spans="1:30" outlineLevel="1">
      <c r="A308" s="120" t="s">
        <v>1056</v>
      </c>
      <c r="B308" s="126" t="s">
        <v>464</v>
      </c>
      <c r="C308" s="125"/>
      <c r="D308" s="120" t="s">
        <v>932</v>
      </c>
      <c r="E308" s="120" t="s">
        <v>3465</v>
      </c>
      <c r="F308" s="120" t="s">
        <v>753</v>
      </c>
      <c r="G308" s="120" t="s">
        <v>753</v>
      </c>
      <c r="H308" s="120" t="s">
        <v>753</v>
      </c>
      <c r="I308" s="120" t="s">
        <v>753</v>
      </c>
      <c r="J308" s="120" t="s">
        <v>753</v>
      </c>
      <c r="K308" s="120" t="s">
        <v>753</v>
      </c>
      <c r="L308" s="120" t="s">
        <v>753</v>
      </c>
      <c r="M308" s="126"/>
      <c r="N308" s="126"/>
      <c r="O308" s="126"/>
      <c r="P308" s="126"/>
      <c r="Q308" s="126"/>
      <c r="R308" s="126"/>
      <c r="S308" s="126"/>
      <c r="T308" s="125"/>
      <c r="U308" s="125"/>
      <c r="V308" s="126"/>
      <c r="W308" s="126"/>
      <c r="X308" s="126"/>
      <c r="Y308" s="126"/>
      <c r="Z308" s="125"/>
      <c r="AA308" s="125"/>
      <c r="AB308" s="125"/>
      <c r="AC308" s="125"/>
    </row>
    <row r="309" spans="1:30">
      <c r="A309" s="131" t="s">
        <v>1055</v>
      </c>
      <c r="B309" s="130"/>
      <c r="C309" s="127"/>
      <c r="D309" s="129"/>
      <c r="E309" s="129"/>
      <c r="F309" s="129"/>
      <c r="G309" s="129"/>
      <c r="H309" s="129"/>
      <c r="I309" s="129"/>
      <c r="J309" s="129"/>
      <c r="K309" s="129"/>
      <c r="L309" s="129"/>
      <c r="M309" s="127"/>
      <c r="N309" s="127"/>
      <c r="O309" s="127"/>
      <c r="P309" s="127"/>
      <c r="Q309" s="127"/>
      <c r="R309" s="127"/>
      <c r="S309" s="127"/>
      <c r="T309" s="127"/>
      <c r="U309" s="127"/>
      <c r="V309" s="127"/>
      <c r="W309" s="127"/>
      <c r="X309" s="127"/>
      <c r="Y309" s="127"/>
      <c r="Z309" s="127"/>
      <c r="AA309" s="127"/>
      <c r="AB309" s="127"/>
      <c r="AC309" s="127"/>
    </row>
    <row r="310" spans="1:30" outlineLevel="1">
      <c r="A310" s="119" t="s">
        <v>1054</v>
      </c>
      <c r="B310" s="118" t="s">
        <v>195</v>
      </c>
      <c r="C310" s="122"/>
      <c r="D310" s="119" t="s">
        <v>753</v>
      </c>
      <c r="E310" s="119" t="s">
        <v>1053</v>
      </c>
      <c r="F310" s="119" t="s">
        <v>753</v>
      </c>
      <c r="G310" s="119" t="s">
        <v>753</v>
      </c>
      <c r="H310" s="119" t="s">
        <v>753</v>
      </c>
      <c r="I310" s="119" t="s">
        <v>753</v>
      </c>
      <c r="J310" s="119" t="s">
        <v>753</v>
      </c>
      <c r="K310" s="119" t="s">
        <v>753</v>
      </c>
      <c r="L310" s="119" t="s">
        <v>753</v>
      </c>
      <c r="M310" s="122" t="s">
        <v>1052</v>
      </c>
      <c r="N310" s="122" t="s">
        <v>1051</v>
      </c>
      <c r="O310" s="122"/>
      <c r="P310" s="122"/>
      <c r="Q310" s="122"/>
      <c r="R310" s="122"/>
      <c r="S310" s="122"/>
      <c r="T310" s="122"/>
      <c r="U310" s="122"/>
      <c r="V310" s="122"/>
      <c r="W310" s="122"/>
      <c r="X310" s="122"/>
      <c r="Y310" s="122"/>
      <c r="Z310" s="122"/>
      <c r="AA310" s="122"/>
      <c r="AB310" s="122"/>
      <c r="AC310" s="122"/>
    </row>
    <row r="311" spans="1:30" outlineLevel="1">
      <c r="A311" s="119" t="s">
        <v>1050</v>
      </c>
      <c r="B311" s="118" t="s">
        <v>213</v>
      </c>
      <c r="C311" s="122"/>
      <c r="D311" s="119" t="s">
        <v>753</v>
      </c>
      <c r="E311" s="119" t="s">
        <v>1049</v>
      </c>
      <c r="F311" s="119" t="s">
        <v>753</v>
      </c>
      <c r="G311" s="119" t="s">
        <v>753</v>
      </c>
      <c r="H311" s="119" t="s">
        <v>753</v>
      </c>
      <c r="I311" s="119" t="s">
        <v>753</v>
      </c>
      <c r="J311" s="119" t="s">
        <v>753</v>
      </c>
      <c r="K311" s="119" t="s">
        <v>753</v>
      </c>
      <c r="L311" s="119" t="s">
        <v>753</v>
      </c>
      <c r="M311" s="122" t="s">
        <v>1048</v>
      </c>
      <c r="N311" s="122" t="s">
        <v>1047</v>
      </c>
      <c r="O311" s="122"/>
      <c r="P311" s="122"/>
      <c r="Q311" s="122"/>
      <c r="R311" s="122"/>
      <c r="S311" s="122"/>
      <c r="T311" s="122"/>
      <c r="U311" s="122"/>
      <c r="V311" s="122"/>
      <c r="W311" s="122"/>
      <c r="X311" s="122"/>
      <c r="Y311" s="122"/>
      <c r="Z311" s="122"/>
      <c r="AA311" s="122"/>
      <c r="AB311" s="122"/>
      <c r="AC311" s="122"/>
    </row>
    <row r="312" spans="1:30" outlineLevel="1">
      <c r="A312" s="119" t="s">
        <v>1046</v>
      </c>
      <c r="B312" s="118" t="s">
        <v>138</v>
      </c>
      <c r="C312" s="122"/>
      <c r="D312" s="119" t="s">
        <v>753</v>
      </c>
      <c r="E312" s="119" t="s">
        <v>1004</v>
      </c>
      <c r="F312" s="119" t="s">
        <v>753</v>
      </c>
      <c r="G312" s="119" t="s">
        <v>753</v>
      </c>
      <c r="H312" s="119" t="s">
        <v>753</v>
      </c>
      <c r="I312" s="119" t="s">
        <v>753</v>
      </c>
      <c r="J312" s="119" t="s">
        <v>753</v>
      </c>
      <c r="K312" s="119" t="s">
        <v>753</v>
      </c>
      <c r="L312" s="119" t="s">
        <v>753</v>
      </c>
      <c r="M312" s="122" t="s">
        <v>1045</v>
      </c>
      <c r="N312" s="122" t="s">
        <v>1044</v>
      </c>
      <c r="O312" s="122"/>
      <c r="P312" s="122"/>
      <c r="Q312" s="122"/>
      <c r="R312" s="122"/>
      <c r="S312" s="122"/>
      <c r="T312" s="122"/>
      <c r="U312" s="122"/>
      <c r="V312" s="122"/>
      <c r="W312" s="122"/>
      <c r="X312" s="122"/>
      <c r="Y312" s="122"/>
      <c r="Z312" s="122"/>
      <c r="AA312" s="122"/>
      <c r="AB312" s="122"/>
      <c r="AC312" s="122"/>
    </row>
    <row r="313" spans="1:30" outlineLevel="1">
      <c r="A313" s="119" t="s">
        <v>1043</v>
      </c>
      <c r="B313" s="118" t="s">
        <v>110</v>
      </c>
      <c r="C313" s="122"/>
      <c r="D313" s="119" t="s">
        <v>753</v>
      </c>
      <c r="E313" s="119" t="s">
        <v>1042</v>
      </c>
      <c r="F313" s="119" t="s">
        <v>753</v>
      </c>
      <c r="G313" s="119" t="s">
        <v>753</v>
      </c>
      <c r="H313" s="119" t="s">
        <v>753</v>
      </c>
      <c r="I313" s="119" t="s">
        <v>753</v>
      </c>
      <c r="J313" s="119" t="s">
        <v>753</v>
      </c>
      <c r="K313" s="119" t="s">
        <v>753</v>
      </c>
      <c r="L313" s="119" t="s">
        <v>753</v>
      </c>
      <c r="M313" s="122" t="s">
        <v>1041</v>
      </c>
      <c r="N313" s="122" t="s">
        <v>1040</v>
      </c>
      <c r="O313" s="122"/>
      <c r="P313" s="122"/>
      <c r="Q313" s="122"/>
      <c r="R313" s="122"/>
      <c r="S313" s="122"/>
      <c r="T313" s="122"/>
      <c r="U313" s="122"/>
      <c r="V313" s="122"/>
      <c r="W313" s="122"/>
      <c r="X313" s="122"/>
      <c r="Y313" s="122"/>
      <c r="Z313" s="122"/>
      <c r="AA313" s="122"/>
      <c r="AB313" s="122"/>
      <c r="AC313" s="122"/>
    </row>
    <row r="314" spans="1:30" outlineLevel="1">
      <c r="A314" s="119" t="s">
        <v>1039</v>
      </c>
      <c r="B314" s="118" t="s">
        <v>109</v>
      </c>
      <c r="C314" s="122"/>
      <c r="D314" s="119" t="s">
        <v>753</v>
      </c>
      <c r="E314" s="119" t="s">
        <v>1004</v>
      </c>
      <c r="F314" s="119" t="s">
        <v>753</v>
      </c>
      <c r="G314" s="119" t="s">
        <v>753</v>
      </c>
      <c r="H314" s="119" t="s">
        <v>753</v>
      </c>
      <c r="I314" s="119" t="s">
        <v>753</v>
      </c>
      <c r="J314" s="119" t="s">
        <v>753</v>
      </c>
      <c r="K314" s="119" t="s">
        <v>753</v>
      </c>
      <c r="L314" s="119" t="s">
        <v>753</v>
      </c>
      <c r="M314" s="122" t="s">
        <v>1038</v>
      </c>
      <c r="N314" s="122" t="s">
        <v>1037</v>
      </c>
      <c r="O314" s="122"/>
      <c r="P314" s="122"/>
      <c r="Q314" s="122"/>
      <c r="R314" s="122"/>
      <c r="S314" s="122"/>
      <c r="T314" s="122"/>
      <c r="U314" s="122"/>
      <c r="V314" s="122"/>
      <c r="W314" s="122"/>
      <c r="X314" s="122"/>
      <c r="Y314" s="122"/>
      <c r="Z314" s="122"/>
      <c r="AA314" s="122"/>
      <c r="AB314" s="122"/>
      <c r="AC314" s="122"/>
    </row>
    <row r="315" spans="1:30" outlineLevel="1">
      <c r="A315" s="119" t="s">
        <v>1036</v>
      </c>
      <c r="B315" s="118" t="s">
        <v>136</v>
      </c>
      <c r="C315" s="122"/>
      <c r="D315" s="119" t="s">
        <v>753</v>
      </c>
      <c r="E315" s="119" t="s">
        <v>1006</v>
      </c>
      <c r="F315" s="119" t="s">
        <v>753</v>
      </c>
      <c r="G315" s="119" t="s">
        <v>753</v>
      </c>
      <c r="H315" s="119" t="s">
        <v>753</v>
      </c>
      <c r="I315" s="119" t="s">
        <v>753</v>
      </c>
      <c r="J315" s="119" t="s">
        <v>753</v>
      </c>
      <c r="K315" s="119" t="s">
        <v>753</v>
      </c>
      <c r="L315" s="119" t="s">
        <v>753</v>
      </c>
      <c r="M315" s="122" t="s">
        <v>1035</v>
      </c>
      <c r="N315" s="122" t="s">
        <v>1034</v>
      </c>
      <c r="O315" s="122"/>
      <c r="P315" s="122"/>
      <c r="Q315" s="122"/>
      <c r="R315" s="122"/>
      <c r="S315" s="122"/>
      <c r="T315" s="122"/>
      <c r="U315" s="122"/>
      <c r="V315" s="122"/>
      <c r="W315" s="122"/>
      <c r="X315" s="122"/>
      <c r="Y315" s="122"/>
      <c r="Z315" s="122"/>
      <c r="AA315" s="122"/>
      <c r="AB315" s="122"/>
      <c r="AC315" s="122"/>
    </row>
    <row r="316" spans="1:30" outlineLevel="1">
      <c r="A316" s="119" t="s">
        <v>1033</v>
      </c>
      <c r="B316" s="118" t="s">
        <v>135</v>
      </c>
      <c r="C316" s="122"/>
      <c r="D316" s="119" t="s">
        <v>753</v>
      </c>
      <c r="E316" s="119" t="s">
        <v>1006</v>
      </c>
      <c r="F316" s="119" t="s">
        <v>753</v>
      </c>
      <c r="G316" s="119" t="s">
        <v>753</v>
      </c>
      <c r="H316" s="119" t="s">
        <v>753</v>
      </c>
      <c r="I316" s="119" t="s">
        <v>753</v>
      </c>
      <c r="J316" s="119" t="s">
        <v>753</v>
      </c>
      <c r="K316" s="119" t="s">
        <v>753</v>
      </c>
      <c r="L316" s="119" t="s">
        <v>753</v>
      </c>
      <c r="M316" s="122" t="s">
        <v>1032</v>
      </c>
      <c r="N316" s="122" t="s">
        <v>1031</v>
      </c>
      <c r="O316" s="122"/>
      <c r="P316" s="122"/>
      <c r="Q316" s="122"/>
      <c r="R316" s="122"/>
      <c r="S316" s="122"/>
      <c r="T316" s="122"/>
      <c r="U316" s="122"/>
      <c r="V316" s="122"/>
      <c r="W316" s="122"/>
      <c r="X316" s="122"/>
      <c r="Y316" s="122"/>
      <c r="Z316" s="122"/>
      <c r="AA316" s="122"/>
      <c r="AB316" s="122"/>
      <c r="AC316" s="122"/>
    </row>
    <row r="317" spans="1:30" outlineLevel="1">
      <c r="A317" s="119" t="s">
        <v>1030</v>
      </c>
      <c r="B317" s="118" t="s">
        <v>108</v>
      </c>
      <c r="C317" s="122"/>
      <c r="D317" s="119" t="s">
        <v>753</v>
      </c>
      <c r="E317" s="119" t="s">
        <v>1006</v>
      </c>
      <c r="F317" s="119" t="s">
        <v>753</v>
      </c>
      <c r="G317" s="119" t="s">
        <v>753</v>
      </c>
      <c r="H317" s="119" t="s">
        <v>753</v>
      </c>
      <c r="I317" s="119" t="s">
        <v>753</v>
      </c>
      <c r="J317" s="119" t="s">
        <v>753</v>
      </c>
      <c r="K317" s="119" t="s">
        <v>753</v>
      </c>
      <c r="L317" s="119" t="s">
        <v>753</v>
      </c>
      <c r="M317" s="122" t="s">
        <v>1029</v>
      </c>
      <c r="N317" s="122" t="s">
        <v>1028</v>
      </c>
      <c r="O317" s="122"/>
      <c r="P317" s="122"/>
      <c r="Q317" s="122"/>
      <c r="R317" s="122"/>
      <c r="S317" s="122"/>
      <c r="T317" s="122"/>
      <c r="U317" s="122"/>
      <c r="V317" s="122"/>
      <c r="W317" s="122"/>
      <c r="X317" s="122"/>
      <c r="Y317" s="122"/>
      <c r="Z317" s="122"/>
      <c r="AA317" s="122"/>
      <c r="AB317" s="122"/>
      <c r="AC317" s="122"/>
    </row>
    <row r="318" spans="1:30" outlineLevel="1">
      <c r="A318" s="119" t="s">
        <v>1027</v>
      </c>
      <c r="B318" s="118" t="s">
        <v>111</v>
      </c>
      <c r="C318" s="122"/>
      <c r="D318" s="119" t="s">
        <v>753</v>
      </c>
      <c r="E318" s="119" t="s">
        <v>1006</v>
      </c>
      <c r="F318" s="119" t="s">
        <v>753</v>
      </c>
      <c r="G318" s="119" t="s">
        <v>753</v>
      </c>
      <c r="H318" s="119" t="s">
        <v>753</v>
      </c>
      <c r="I318" s="119" t="s">
        <v>753</v>
      </c>
      <c r="J318" s="119" t="s">
        <v>753</v>
      </c>
      <c r="K318" s="119" t="s">
        <v>753</v>
      </c>
      <c r="L318" s="119" t="s">
        <v>753</v>
      </c>
      <c r="M318" s="122" t="s">
        <v>1026</v>
      </c>
      <c r="N318" s="122" t="s">
        <v>1025</v>
      </c>
      <c r="O318" s="122"/>
      <c r="P318" s="122"/>
      <c r="Q318" s="122"/>
      <c r="R318" s="122"/>
      <c r="S318" s="122"/>
      <c r="T318" s="122"/>
      <c r="U318" s="122"/>
      <c r="V318" s="122"/>
      <c r="W318" s="122"/>
      <c r="X318" s="122"/>
      <c r="Y318" s="122"/>
      <c r="Z318" s="122"/>
      <c r="AA318" s="122"/>
      <c r="AB318" s="122"/>
      <c r="AC318" s="122"/>
    </row>
    <row r="319" spans="1:30" outlineLevel="1">
      <c r="A319" s="119" t="s">
        <v>1024</v>
      </c>
      <c r="B319" s="118" t="s">
        <v>139</v>
      </c>
      <c r="C319" s="122"/>
      <c r="D319" s="119" t="s">
        <v>753</v>
      </c>
      <c r="E319" s="119" t="s">
        <v>1006</v>
      </c>
      <c r="F319" s="119" t="s">
        <v>753</v>
      </c>
      <c r="G319" s="119" t="s">
        <v>753</v>
      </c>
      <c r="H319" s="119" t="s">
        <v>753</v>
      </c>
      <c r="I319" s="119" t="s">
        <v>753</v>
      </c>
      <c r="J319" s="119" t="s">
        <v>753</v>
      </c>
      <c r="K319" s="119" t="s">
        <v>753</v>
      </c>
      <c r="L319" s="119" t="s">
        <v>753</v>
      </c>
      <c r="M319" s="122" t="s">
        <v>1023</v>
      </c>
      <c r="N319" s="122" t="s">
        <v>1022</v>
      </c>
      <c r="O319" s="122"/>
      <c r="P319" s="122"/>
      <c r="Q319" s="122"/>
      <c r="R319" s="122"/>
      <c r="S319" s="122"/>
      <c r="T319" s="122"/>
      <c r="U319" s="122"/>
      <c r="V319" s="122"/>
      <c r="W319" s="122"/>
      <c r="X319" s="122"/>
      <c r="Y319" s="122"/>
      <c r="Z319" s="122"/>
      <c r="AA319" s="122"/>
      <c r="AB319" s="122"/>
      <c r="AC319" s="122"/>
    </row>
    <row r="320" spans="1:30" outlineLevel="1">
      <c r="A320" s="119" t="s">
        <v>1021</v>
      </c>
      <c r="B320" s="118" t="s">
        <v>289</v>
      </c>
      <c r="C320" s="122"/>
      <c r="D320" s="119" t="s">
        <v>753</v>
      </c>
      <c r="E320" s="119" t="s">
        <v>1002</v>
      </c>
      <c r="F320" s="119" t="s">
        <v>753</v>
      </c>
      <c r="G320" s="119" t="s">
        <v>753</v>
      </c>
      <c r="H320" s="119" t="s">
        <v>753</v>
      </c>
      <c r="I320" s="119" t="s">
        <v>753</v>
      </c>
      <c r="J320" s="119" t="s">
        <v>753</v>
      </c>
      <c r="K320" s="119" t="s">
        <v>753</v>
      </c>
      <c r="L320" s="119" t="s">
        <v>753</v>
      </c>
      <c r="M320" s="122" t="s">
        <v>1020</v>
      </c>
      <c r="N320" s="122" t="s">
        <v>1019</v>
      </c>
      <c r="O320" s="122"/>
      <c r="P320" s="122"/>
      <c r="Q320" s="122"/>
      <c r="R320" s="122"/>
      <c r="S320" s="122"/>
      <c r="T320" s="122"/>
      <c r="U320" s="122"/>
      <c r="V320" s="122"/>
      <c r="W320" s="122"/>
      <c r="X320" s="122"/>
      <c r="Y320" s="122"/>
      <c r="Z320" s="122"/>
      <c r="AA320" s="122"/>
      <c r="AB320" s="122"/>
      <c r="AC320" s="122"/>
    </row>
    <row r="321" spans="1:30" outlineLevel="1">
      <c r="A321" s="120" t="s">
        <v>1018</v>
      </c>
      <c r="B321" s="126" t="s">
        <v>269</v>
      </c>
      <c r="C321" s="125"/>
      <c r="D321" s="120" t="s">
        <v>926</v>
      </c>
      <c r="E321" s="120" t="s">
        <v>945</v>
      </c>
      <c r="F321" s="120" t="s">
        <v>753</v>
      </c>
      <c r="G321" s="120" t="s">
        <v>753</v>
      </c>
      <c r="H321" s="120" t="s">
        <v>753</v>
      </c>
      <c r="I321" s="120" t="s">
        <v>753</v>
      </c>
      <c r="J321" s="120" t="s">
        <v>753</v>
      </c>
      <c r="K321" s="120" t="s">
        <v>753</v>
      </c>
      <c r="L321" s="120" t="s">
        <v>753</v>
      </c>
      <c r="M321" s="125"/>
      <c r="N321" s="125"/>
      <c r="O321" s="125"/>
      <c r="P321" s="125"/>
      <c r="Q321" s="125"/>
      <c r="R321" s="125"/>
      <c r="S321" s="125"/>
      <c r="T321" s="125"/>
      <c r="U321" s="125"/>
      <c r="V321" s="125"/>
      <c r="W321" s="125"/>
      <c r="X321" s="125"/>
      <c r="Y321" s="125"/>
      <c r="Z321" s="125"/>
      <c r="AA321" s="125"/>
      <c r="AB321" s="125"/>
      <c r="AC321" s="125"/>
    </row>
    <row r="322" spans="1:30" outlineLevel="1">
      <c r="A322" s="120" t="s">
        <v>1017</v>
      </c>
      <c r="B322" s="126" t="s">
        <v>290</v>
      </c>
      <c r="C322" s="125"/>
      <c r="D322" s="120" t="s">
        <v>926</v>
      </c>
      <c r="E322" s="120" t="s">
        <v>931</v>
      </c>
      <c r="F322" s="120" t="s">
        <v>753</v>
      </c>
      <c r="G322" s="120" t="s">
        <v>753</v>
      </c>
      <c r="H322" s="120" t="s">
        <v>753</v>
      </c>
      <c r="I322" s="120" t="s">
        <v>753</v>
      </c>
      <c r="J322" s="120" t="s">
        <v>753</v>
      </c>
      <c r="K322" s="120" t="s">
        <v>753</v>
      </c>
      <c r="L322" s="120" t="s">
        <v>753</v>
      </c>
      <c r="M322" s="125"/>
      <c r="N322" s="125"/>
      <c r="O322" s="125"/>
      <c r="P322" s="125"/>
      <c r="Q322" s="125"/>
      <c r="R322" s="125"/>
      <c r="S322" s="125"/>
      <c r="T322" s="125"/>
      <c r="U322" s="125"/>
      <c r="V322" s="125"/>
      <c r="W322" s="125"/>
      <c r="X322" s="125"/>
      <c r="Y322" s="125"/>
      <c r="Z322" s="125"/>
      <c r="AA322" s="125"/>
      <c r="AB322" s="125"/>
      <c r="AC322" s="125"/>
    </row>
    <row r="323" spans="1:30" outlineLevel="1">
      <c r="A323" s="120" t="s">
        <v>1016</v>
      </c>
      <c r="B323" s="126" t="s">
        <v>267</v>
      </c>
      <c r="C323" s="125"/>
      <c r="D323" s="120" t="s">
        <v>932</v>
      </c>
      <c r="E323" s="120" t="s">
        <v>945</v>
      </c>
      <c r="F323" s="120" t="s">
        <v>753</v>
      </c>
      <c r="G323" s="120" t="s">
        <v>753</v>
      </c>
      <c r="H323" s="120" t="s">
        <v>753</v>
      </c>
      <c r="I323" s="120" t="s">
        <v>753</v>
      </c>
      <c r="J323" s="120" t="s">
        <v>753</v>
      </c>
      <c r="K323" s="120" t="s">
        <v>753</v>
      </c>
      <c r="L323" s="120" t="s">
        <v>753</v>
      </c>
      <c r="M323" s="125"/>
      <c r="N323" s="125"/>
      <c r="O323" s="125"/>
      <c r="P323" s="125"/>
      <c r="Q323" s="125"/>
      <c r="R323" s="125"/>
      <c r="S323" s="125"/>
      <c r="T323" s="125"/>
      <c r="U323" s="125"/>
      <c r="V323" s="125"/>
      <c r="W323" s="125"/>
      <c r="X323" s="125"/>
      <c r="Y323" s="125"/>
      <c r="Z323" s="125"/>
      <c r="AA323" s="125"/>
      <c r="AB323" s="125"/>
      <c r="AC323" s="125"/>
    </row>
    <row r="324" spans="1:30" outlineLevel="1">
      <c r="A324" s="120" t="s">
        <v>1015</v>
      </c>
      <c r="B324" s="126" t="s">
        <v>268</v>
      </c>
      <c r="C324" s="125"/>
      <c r="D324" s="120" t="s">
        <v>932</v>
      </c>
      <c r="E324" s="120" t="s">
        <v>945</v>
      </c>
      <c r="F324" s="120" t="s">
        <v>753</v>
      </c>
      <c r="G324" s="120" t="s">
        <v>753</v>
      </c>
      <c r="H324" s="120" t="s">
        <v>753</v>
      </c>
      <c r="I324" s="120" t="s">
        <v>753</v>
      </c>
      <c r="J324" s="120" t="s">
        <v>753</v>
      </c>
      <c r="K324" s="120" t="s">
        <v>753</v>
      </c>
      <c r="L324" s="120" t="s">
        <v>753</v>
      </c>
      <c r="M324" s="125"/>
      <c r="N324" s="125"/>
      <c r="O324" s="125"/>
      <c r="P324" s="125"/>
      <c r="Q324" s="125"/>
      <c r="R324" s="125"/>
      <c r="S324" s="125"/>
      <c r="T324" s="125"/>
      <c r="U324" s="125"/>
      <c r="V324" s="125"/>
      <c r="W324" s="125"/>
      <c r="X324" s="125"/>
      <c r="Y324" s="125"/>
      <c r="Z324" s="125"/>
      <c r="AA324" s="125"/>
      <c r="AB324" s="125"/>
      <c r="AC324" s="125"/>
    </row>
    <row r="325" spans="1:30">
      <c r="A325" s="131" t="s">
        <v>1014</v>
      </c>
      <c r="B325" s="130"/>
      <c r="C325" s="127"/>
      <c r="D325" s="129"/>
      <c r="E325" s="129"/>
      <c r="F325" s="129"/>
      <c r="G325" s="129"/>
      <c r="H325" s="129"/>
      <c r="I325" s="129"/>
      <c r="J325" s="129"/>
      <c r="K325" s="129"/>
      <c r="L325" s="129"/>
      <c r="M325" s="133"/>
      <c r="N325" s="133"/>
      <c r="O325" s="133"/>
      <c r="P325" s="133"/>
      <c r="Q325" s="133"/>
      <c r="R325" s="133"/>
      <c r="S325" s="133"/>
      <c r="T325" s="133"/>
      <c r="U325" s="133"/>
      <c r="V325" s="133"/>
      <c r="W325" s="133"/>
      <c r="X325" s="133"/>
      <c r="Y325" s="133"/>
      <c r="Z325" s="133"/>
      <c r="AA325" s="133"/>
      <c r="AB325" s="127"/>
      <c r="AC325" s="127"/>
    </row>
    <row r="326" spans="1:30" outlineLevel="1">
      <c r="A326" s="119" t="s">
        <v>1013</v>
      </c>
      <c r="B326" s="118" t="s">
        <v>106</v>
      </c>
      <c r="C326" s="122"/>
      <c r="D326" s="119" t="s">
        <v>753</v>
      </c>
      <c r="E326" s="119" t="s">
        <v>1006</v>
      </c>
      <c r="F326" s="119" t="s">
        <v>753</v>
      </c>
      <c r="G326" s="119" t="s">
        <v>753</v>
      </c>
      <c r="H326" s="119" t="s">
        <v>753</v>
      </c>
      <c r="I326" s="119" t="s">
        <v>753</v>
      </c>
      <c r="J326" s="119" t="s">
        <v>753</v>
      </c>
      <c r="K326" s="119" t="s">
        <v>753</v>
      </c>
      <c r="L326" s="119" t="s">
        <v>753</v>
      </c>
      <c r="M326" s="122" t="s">
        <v>106</v>
      </c>
      <c r="N326" s="132"/>
      <c r="O326" s="132"/>
      <c r="P326" s="132"/>
      <c r="Q326" s="132"/>
      <c r="R326" s="132"/>
      <c r="S326" s="132"/>
      <c r="T326" s="132"/>
      <c r="U326" s="122"/>
      <c r="V326" s="132"/>
      <c r="W326" s="132"/>
      <c r="X326" s="132"/>
      <c r="Y326" s="132"/>
      <c r="Z326" s="132"/>
      <c r="AA326" s="122"/>
      <c r="AB326" s="122"/>
      <c r="AC326" s="122"/>
    </row>
    <row r="327" spans="1:30" outlineLevel="1">
      <c r="A327" s="119" t="s">
        <v>1012</v>
      </c>
      <c r="B327" s="118" t="s">
        <v>132</v>
      </c>
      <c r="C327" s="122"/>
      <c r="D327" s="119" t="s">
        <v>753</v>
      </c>
      <c r="E327" s="119" t="s">
        <v>1006</v>
      </c>
      <c r="F327" s="119" t="s">
        <v>753</v>
      </c>
      <c r="G327" s="119" t="s">
        <v>753</v>
      </c>
      <c r="H327" s="119" t="s">
        <v>753</v>
      </c>
      <c r="I327" s="119" t="s">
        <v>753</v>
      </c>
      <c r="J327" s="119" t="s">
        <v>753</v>
      </c>
      <c r="K327" s="119" t="s">
        <v>753</v>
      </c>
      <c r="L327" s="119" t="s">
        <v>753</v>
      </c>
      <c r="M327" s="122" t="s">
        <v>132</v>
      </c>
      <c r="N327" s="132"/>
      <c r="O327" s="132"/>
      <c r="P327" s="132"/>
      <c r="Q327" s="132"/>
      <c r="R327" s="132"/>
      <c r="S327" s="132"/>
      <c r="T327" s="132"/>
      <c r="U327" s="122"/>
      <c r="V327" s="132"/>
      <c r="W327" s="132"/>
      <c r="X327" s="132"/>
      <c r="Y327" s="132"/>
      <c r="Z327" s="132"/>
      <c r="AA327" s="122"/>
      <c r="AB327" s="122"/>
      <c r="AC327" s="122"/>
    </row>
    <row r="328" spans="1:30" outlineLevel="1">
      <c r="A328" s="119" t="s">
        <v>1011</v>
      </c>
      <c r="B328" s="118" t="s">
        <v>194</v>
      </c>
      <c r="C328" s="122"/>
      <c r="D328" s="119" t="s">
        <v>753</v>
      </c>
      <c r="E328" s="119" t="s">
        <v>1006</v>
      </c>
      <c r="F328" s="119" t="s">
        <v>753</v>
      </c>
      <c r="G328" s="119" t="s">
        <v>753</v>
      </c>
      <c r="H328" s="119" t="s">
        <v>753</v>
      </c>
      <c r="I328" s="119" t="s">
        <v>753</v>
      </c>
      <c r="J328" s="119" t="s">
        <v>753</v>
      </c>
      <c r="K328" s="119" t="s">
        <v>753</v>
      </c>
      <c r="L328" s="119" t="s">
        <v>753</v>
      </c>
      <c r="M328" s="122" t="s">
        <v>194</v>
      </c>
      <c r="N328" s="132"/>
      <c r="O328" s="132"/>
      <c r="P328" s="132"/>
      <c r="Q328" s="132"/>
      <c r="R328" s="132"/>
      <c r="S328" s="132"/>
      <c r="T328" s="132"/>
      <c r="U328" s="122"/>
      <c r="V328" s="132"/>
      <c r="W328" s="132"/>
      <c r="X328" s="132"/>
      <c r="Y328" s="132"/>
      <c r="Z328" s="132"/>
      <c r="AA328" s="122"/>
      <c r="AB328" s="122"/>
      <c r="AC328" s="122"/>
    </row>
    <row r="329" spans="1:30" outlineLevel="1">
      <c r="A329" s="119" t="s">
        <v>1010</v>
      </c>
      <c r="B329" s="118" t="s">
        <v>212</v>
      </c>
      <c r="C329" s="122"/>
      <c r="D329" s="119" t="s">
        <v>753</v>
      </c>
      <c r="E329" s="119" t="s">
        <v>1004</v>
      </c>
      <c r="F329" s="119" t="s">
        <v>753</v>
      </c>
      <c r="G329" s="119" t="s">
        <v>753</v>
      </c>
      <c r="H329" s="119" t="s">
        <v>753</v>
      </c>
      <c r="I329" s="119" t="s">
        <v>753</v>
      </c>
      <c r="J329" s="119" t="s">
        <v>753</v>
      </c>
      <c r="K329" s="119" t="s">
        <v>753</v>
      </c>
      <c r="L329" s="119" t="s">
        <v>753</v>
      </c>
      <c r="M329" s="122" t="s">
        <v>212</v>
      </c>
      <c r="N329" s="132"/>
      <c r="O329" s="132"/>
      <c r="P329" s="132"/>
      <c r="Q329" s="132"/>
      <c r="R329" s="132"/>
      <c r="S329" s="132"/>
      <c r="T329" s="132"/>
      <c r="U329" s="122"/>
      <c r="V329" s="132"/>
      <c r="W329" s="132"/>
      <c r="X329" s="132"/>
      <c r="Y329" s="132"/>
      <c r="Z329" s="132"/>
      <c r="AA329" s="122"/>
      <c r="AB329" s="122"/>
      <c r="AC329" s="122"/>
    </row>
    <row r="330" spans="1:30" outlineLevel="1">
      <c r="A330" s="119" t="s">
        <v>1009</v>
      </c>
      <c r="B330" s="118" t="s">
        <v>107</v>
      </c>
      <c r="C330" s="122"/>
      <c r="D330" s="119" t="s">
        <v>753</v>
      </c>
      <c r="E330" s="119" t="s">
        <v>1004</v>
      </c>
      <c r="F330" s="119" t="s">
        <v>753</v>
      </c>
      <c r="G330" s="119" t="s">
        <v>753</v>
      </c>
      <c r="H330" s="119" t="s">
        <v>753</v>
      </c>
      <c r="I330" s="119" t="s">
        <v>753</v>
      </c>
      <c r="J330" s="119" t="s">
        <v>753</v>
      </c>
      <c r="K330" s="119" t="s">
        <v>753</v>
      </c>
      <c r="L330" s="119" t="s">
        <v>753</v>
      </c>
      <c r="M330" s="122" t="s">
        <v>107</v>
      </c>
      <c r="N330" s="132"/>
      <c r="O330" s="132"/>
      <c r="P330" s="132"/>
      <c r="Q330" s="132"/>
      <c r="R330" s="132"/>
      <c r="S330" s="132"/>
      <c r="T330" s="132"/>
      <c r="U330" s="132"/>
      <c r="V330" s="132"/>
      <c r="W330" s="132"/>
      <c r="X330" s="132"/>
      <c r="Y330" s="132"/>
      <c r="Z330" s="132"/>
      <c r="AA330" s="132"/>
      <c r="AB330" s="132"/>
      <c r="AC330" s="132"/>
    </row>
    <row r="331" spans="1:30" outlineLevel="1">
      <c r="A331" s="119" t="s">
        <v>1008</v>
      </c>
      <c r="B331" s="118" t="s">
        <v>133</v>
      </c>
      <c r="C331" s="122"/>
      <c r="D331" s="119" t="s">
        <v>753</v>
      </c>
      <c r="E331" s="119" t="s">
        <v>1006</v>
      </c>
      <c r="F331" s="119" t="s">
        <v>753</v>
      </c>
      <c r="G331" s="119" t="s">
        <v>753</v>
      </c>
      <c r="H331" s="119" t="s">
        <v>753</v>
      </c>
      <c r="I331" s="119" t="s">
        <v>753</v>
      </c>
      <c r="J331" s="119" t="s">
        <v>753</v>
      </c>
      <c r="K331" s="119" t="s">
        <v>753</v>
      </c>
      <c r="L331" s="119" t="s">
        <v>753</v>
      </c>
      <c r="M331" s="122" t="s">
        <v>133</v>
      </c>
      <c r="N331" s="132"/>
      <c r="O331" s="132"/>
      <c r="P331" s="132"/>
      <c r="Q331" s="132"/>
      <c r="R331" s="132"/>
      <c r="S331" s="132"/>
      <c r="T331" s="132"/>
      <c r="U331" s="132"/>
      <c r="V331" s="132"/>
      <c r="W331" s="132"/>
      <c r="X331" s="132"/>
      <c r="Y331" s="132"/>
      <c r="Z331" s="132"/>
      <c r="AA331" s="132"/>
      <c r="AB331" s="132"/>
      <c r="AC331" s="132"/>
    </row>
    <row r="332" spans="1:30" outlineLevel="1">
      <c r="A332" s="119" t="s">
        <v>1007</v>
      </c>
      <c r="B332" s="118" t="s">
        <v>105</v>
      </c>
      <c r="C332" s="122"/>
      <c r="D332" s="119" t="s">
        <v>753</v>
      </c>
      <c r="E332" s="119" t="s">
        <v>1006</v>
      </c>
      <c r="F332" s="119" t="s">
        <v>753</v>
      </c>
      <c r="G332" s="119" t="s">
        <v>753</v>
      </c>
      <c r="H332" s="119" t="s">
        <v>753</v>
      </c>
      <c r="I332" s="119" t="s">
        <v>753</v>
      </c>
      <c r="J332" s="119" t="s">
        <v>753</v>
      </c>
      <c r="K332" s="119" t="s">
        <v>753</v>
      </c>
      <c r="L332" s="119" t="s">
        <v>753</v>
      </c>
      <c r="M332" s="122" t="s">
        <v>105</v>
      </c>
      <c r="N332" s="132"/>
      <c r="O332" s="132"/>
      <c r="P332" s="132"/>
      <c r="Q332" s="132"/>
      <c r="R332" s="132"/>
      <c r="S332" s="132"/>
      <c r="T332" s="132"/>
      <c r="U332" s="132"/>
      <c r="V332" s="132"/>
      <c r="W332" s="132"/>
      <c r="X332" s="132"/>
      <c r="Y332" s="132"/>
      <c r="Z332" s="132"/>
      <c r="AA332" s="132"/>
      <c r="AB332" s="132"/>
      <c r="AC332" s="132"/>
    </row>
    <row r="333" spans="1:30" outlineLevel="1">
      <c r="A333" s="119" t="s">
        <v>1005</v>
      </c>
      <c r="B333" s="118" t="s">
        <v>130</v>
      </c>
      <c r="C333" s="122"/>
      <c r="D333" s="119" t="s">
        <v>753</v>
      </c>
      <c r="E333" s="119" t="s">
        <v>1004</v>
      </c>
      <c r="F333" s="119" t="s">
        <v>753</v>
      </c>
      <c r="G333" s="119" t="s">
        <v>753</v>
      </c>
      <c r="H333" s="119" t="s">
        <v>753</v>
      </c>
      <c r="I333" s="119" t="s">
        <v>753</v>
      </c>
      <c r="J333" s="119" t="s">
        <v>753</v>
      </c>
      <c r="K333" s="119" t="s">
        <v>753</v>
      </c>
      <c r="L333" s="119" t="s">
        <v>753</v>
      </c>
      <c r="M333" s="122" t="s">
        <v>130</v>
      </c>
      <c r="N333" s="132"/>
      <c r="O333" s="132"/>
      <c r="P333" s="132"/>
      <c r="Q333" s="132"/>
      <c r="R333" s="132"/>
      <c r="S333" s="132"/>
      <c r="T333" s="132"/>
      <c r="U333" s="132"/>
      <c r="V333" s="132"/>
      <c r="W333" s="132"/>
      <c r="X333" s="132"/>
      <c r="Y333" s="132"/>
      <c r="Z333" s="132"/>
      <c r="AA333" s="132"/>
      <c r="AB333" s="132"/>
      <c r="AC333" s="132"/>
    </row>
    <row r="334" spans="1:30" outlineLevel="1">
      <c r="A334" s="119" t="s">
        <v>1003</v>
      </c>
      <c r="B334" s="118" t="s">
        <v>104</v>
      </c>
      <c r="C334" s="122"/>
      <c r="D334" s="119" t="s">
        <v>753</v>
      </c>
      <c r="E334" s="119" t="s">
        <v>1004</v>
      </c>
      <c r="F334" s="119" t="s">
        <v>753</v>
      </c>
      <c r="G334" s="119" t="s">
        <v>753</v>
      </c>
      <c r="H334" s="119" t="s">
        <v>753</v>
      </c>
      <c r="I334" s="119" t="s">
        <v>753</v>
      </c>
      <c r="J334" s="119" t="s">
        <v>753</v>
      </c>
      <c r="K334" s="119" t="s">
        <v>753</v>
      </c>
      <c r="L334" s="119" t="s">
        <v>753</v>
      </c>
      <c r="M334" s="122" t="s">
        <v>104</v>
      </c>
      <c r="N334" s="122"/>
      <c r="O334" s="122"/>
      <c r="P334" s="122"/>
      <c r="Q334" s="122"/>
      <c r="R334" s="122"/>
      <c r="S334" s="122"/>
      <c r="T334" s="122"/>
      <c r="U334" s="122"/>
      <c r="V334" s="122"/>
      <c r="W334" s="122"/>
      <c r="X334" s="122"/>
      <c r="Y334" s="122"/>
      <c r="Z334" s="122"/>
      <c r="AA334" s="122"/>
      <c r="AB334" s="122"/>
      <c r="AC334" s="122"/>
    </row>
    <row r="335" spans="1:30" s="134" customFormat="1" outlineLevel="1">
      <c r="A335" s="162" t="s">
        <v>1001</v>
      </c>
      <c r="B335" s="124" t="s">
        <v>129</v>
      </c>
      <c r="C335" s="163"/>
      <c r="D335" s="162" t="s">
        <v>753</v>
      </c>
      <c r="E335" s="119" t="s">
        <v>1004</v>
      </c>
      <c r="F335" s="162" t="s">
        <v>753</v>
      </c>
      <c r="G335" s="162" t="s">
        <v>753</v>
      </c>
      <c r="H335" s="162" t="s">
        <v>753</v>
      </c>
      <c r="I335" s="162" t="s">
        <v>753</v>
      </c>
      <c r="J335" s="162" t="s">
        <v>753</v>
      </c>
      <c r="K335" s="162" t="s">
        <v>753</v>
      </c>
      <c r="L335" s="162" t="s">
        <v>753</v>
      </c>
      <c r="M335" s="163" t="s">
        <v>129</v>
      </c>
      <c r="N335" s="163"/>
      <c r="O335" s="163"/>
      <c r="P335" s="163"/>
      <c r="Q335" s="163"/>
      <c r="R335" s="163"/>
      <c r="S335" s="163"/>
      <c r="T335" s="163"/>
      <c r="U335" s="163"/>
      <c r="V335" s="163"/>
      <c r="W335" s="163"/>
      <c r="X335" s="163"/>
      <c r="Y335" s="163"/>
      <c r="Z335" s="163"/>
      <c r="AA335" s="163"/>
      <c r="AB335" s="163"/>
      <c r="AC335" s="163"/>
      <c r="AD335" s="135"/>
    </row>
    <row r="336" spans="1:30" outlineLevel="1">
      <c r="A336" s="120" t="s">
        <v>1000</v>
      </c>
      <c r="B336" s="126" t="s">
        <v>266</v>
      </c>
      <c r="C336" s="125"/>
      <c r="D336" s="120" t="s">
        <v>3438</v>
      </c>
      <c r="E336" s="120" t="s">
        <v>931</v>
      </c>
      <c r="F336" s="120" t="s">
        <v>753</v>
      </c>
      <c r="G336" s="120" t="s">
        <v>753</v>
      </c>
      <c r="H336" s="120" t="s">
        <v>753</v>
      </c>
      <c r="I336" s="120" t="s">
        <v>753</v>
      </c>
      <c r="J336" s="120" t="s">
        <v>753</v>
      </c>
      <c r="K336" s="120" t="s">
        <v>753</v>
      </c>
      <c r="L336" s="120" t="s">
        <v>753</v>
      </c>
      <c r="M336" s="125"/>
      <c r="N336" s="125"/>
      <c r="O336" s="125"/>
      <c r="P336" s="125"/>
      <c r="Q336" s="125"/>
      <c r="R336" s="125"/>
      <c r="S336" s="125"/>
      <c r="T336" s="125"/>
      <c r="U336" s="125"/>
      <c r="V336" s="125"/>
      <c r="W336" s="125"/>
      <c r="X336" s="125"/>
      <c r="Y336" s="125"/>
      <c r="Z336" s="125"/>
      <c r="AA336" s="125"/>
      <c r="AB336" s="125"/>
      <c r="AC336" s="125"/>
    </row>
    <row r="337" spans="1:29" outlineLevel="1">
      <c r="A337" s="120" t="s">
        <v>999</v>
      </c>
      <c r="B337" s="126" t="s">
        <v>288</v>
      </c>
      <c r="C337" s="125"/>
      <c r="D337" s="120" t="s">
        <v>932</v>
      </c>
      <c r="E337" s="120" t="s">
        <v>945</v>
      </c>
      <c r="F337" s="120" t="s">
        <v>753</v>
      </c>
      <c r="G337" s="120" t="s">
        <v>753</v>
      </c>
      <c r="H337" s="120" t="s">
        <v>753</v>
      </c>
      <c r="I337" s="120" t="s">
        <v>753</v>
      </c>
      <c r="J337" s="120" t="s">
        <v>753</v>
      </c>
      <c r="K337" s="120" t="s">
        <v>753</v>
      </c>
      <c r="L337" s="120" t="s">
        <v>753</v>
      </c>
      <c r="M337" s="125"/>
      <c r="N337" s="125"/>
      <c r="O337" s="125"/>
      <c r="P337" s="125"/>
      <c r="Q337" s="125"/>
      <c r="R337" s="125"/>
      <c r="S337" s="125"/>
      <c r="T337" s="125"/>
      <c r="U337" s="125"/>
      <c r="V337" s="125"/>
      <c r="W337" s="125"/>
      <c r="X337" s="125"/>
      <c r="Y337" s="125"/>
      <c r="Z337" s="125"/>
      <c r="AA337" s="125"/>
      <c r="AB337" s="125"/>
      <c r="AC337" s="125"/>
    </row>
    <row r="338" spans="1:29">
      <c r="A338" s="131" t="s">
        <v>998</v>
      </c>
      <c r="B338" s="130"/>
      <c r="C338" s="127"/>
      <c r="D338" s="129"/>
      <c r="E338" s="129"/>
      <c r="F338" s="129"/>
      <c r="G338" s="129"/>
      <c r="H338" s="129"/>
      <c r="I338" s="129"/>
      <c r="J338" s="129"/>
      <c r="K338" s="129"/>
      <c r="L338" s="129"/>
      <c r="M338" s="127"/>
      <c r="N338" s="127"/>
      <c r="O338" s="127"/>
      <c r="P338" s="127"/>
      <c r="Q338" s="127"/>
      <c r="R338" s="127"/>
      <c r="S338" s="127"/>
      <c r="T338" s="127"/>
      <c r="U338" s="127"/>
      <c r="V338" s="127"/>
      <c r="W338" s="127"/>
      <c r="X338" s="127"/>
      <c r="Y338" s="127"/>
      <c r="Z338" s="127"/>
      <c r="AA338" s="127"/>
      <c r="AB338" s="127"/>
      <c r="AC338" s="127"/>
    </row>
    <row r="339" spans="1:29" outlineLevel="1">
      <c r="A339" s="119" t="s">
        <v>997</v>
      </c>
      <c r="B339" s="118" t="s">
        <v>996</v>
      </c>
      <c r="C339" s="122"/>
      <c r="D339" s="119" t="s">
        <v>753</v>
      </c>
      <c r="E339" s="119" t="s">
        <v>950</v>
      </c>
      <c r="F339" s="119" t="s">
        <v>753</v>
      </c>
      <c r="G339" s="119" t="s">
        <v>753</v>
      </c>
      <c r="H339" s="119" t="s">
        <v>753</v>
      </c>
      <c r="I339" s="119" t="s">
        <v>753</v>
      </c>
      <c r="J339" s="119" t="s">
        <v>753</v>
      </c>
      <c r="K339" s="119" t="s">
        <v>753</v>
      </c>
      <c r="L339" s="119" t="s">
        <v>753</v>
      </c>
      <c r="M339" s="122" t="s">
        <v>996</v>
      </c>
      <c r="N339" s="122"/>
      <c r="O339" s="122"/>
      <c r="P339" s="122"/>
      <c r="Q339" s="122"/>
      <c r="R339" s="122"/>
      <c r="S339" s="122"/>
      <c r="T339" s="122"/>
      <c r="U339" s="122"/>
      <c r="V339" s="122"/>
      <c r="W339" s="122"/>
      <c r="X339" s="122"/>
      <c r="Y339" s="122"/>
      <c r="Z339" s="122"/>
      <c r="AA339" s="122"/>
      <c r="AB339" s="122"/>
      <c r="AC339" s="122"/>
    </row>
    <row r="340" spans="1:29" outlineLevel="1">
      <c r="A340" s="119" t="s">
        <v>995</v>
      </c>
      <c r="B340" s="118" t="s">
        <v>994</v>
      </c>
      <c r="C340" s="122"/>
      <c r="D340" s="119" t="s">
        <v>753</v>
      </c>
      <c r="E340" s="119" t="s">
        <v>950</v>
      </c>
      <c r="F340" s="119" t="s">
        <v>753</v>
      </c>
      <c r="G340" s="119" t="s">
        <v>753</v>
      </c>
      <c r="H340" s="119" t="s">
        <v>753</v>
      </c>
      <c r="I340" s="119" t="s">
        <v>753</v>
      </c>
      <c r="J340" s="119" t="s">
        <v>753</v>
      </c>
      <c r="K340" s="119" t="s">
        <v>753</v>
      </c>
      <c r="L340" s="119" t="s">
        <v>753</v>
      </c>
      <c r="M340" s="122" t="s">
        <v>994</v>
      </c>
      <c r="N340" s="122"/>
      <c r="O340" s="122"/>
      <c r="P340" s="122"/>
      <c r="Q340" s="122"/>
      <c r="R340" s="122"/>
      <c r="S340" s="122"/>
      <c r="T340" s="122"/>
      <c r="U340" s="122"/>
      <c r="V340" s="122"/>
      <c r="W340" s="122"/>
      <c r="X340" s="122"/>
      <c r="Y340" s="122"/>
      <c r="Z340" s="122"/>
      <c r="AA340" s="122"/>
      <c r="AB340" s="122"/>
      <c r="AC340" s="122"/>
    </row>
    <row r="341" spans="1:29" outlineLevel="1">
      <c r="A341" s="119" t="s">
        <v>993</v>
      </c>
      <c r="B341" s="118" t="s">
        <v>992</v>
      </c>
      <c r="C341" s="122"/>
      <c r="D341" s="119" t="s">
        <v>753</v>
      </c>
      <c r="E341" s="119" t="s">
        <v>950</v>
      </c>
      <c r="F341" s="119" t="s">
        <v>753</v>
      </c>
      <c r="G341" s="119" t="s">
        <v>753</v>
      </c>
      <c r="H341" s="119" t="s">
        <v>753</v>
      </c>
      <c r="I341" s="119" t="s">
        <v>753</v>
      </c>
      <c r="J341" s="119" t="s">
        <v>753</v>
      </c>
      <c r="K341" s="119" t="s">
        <v>753</v>
      </c>
      <c r="L341" s="119" t="s">
        <v>753</v>
      </c>
      <c r="M341" s="122" t="s">
        <v>992</v>
      </c>
      <c r="N341" s="122"/>
      <c r="O341" s="122"/>
      <c r="P341" s="122"/>
      <c r="Q341" s="122"/>
      <c r="R341" s="122"/>
      <c r="S341" s="122"/>
      <c r="T341" s="122"/>
      <c r="U341" s="122"/>
      <c r="V341" s="122"/>
      <c r="W341" s="122"/>
      <c r="X341" s="122"/>
      <c r="Y341" s="122"/>
      <c r="Z341" s="122"/>
      <c r="AA341" s="122"/>
      <c r="AB341" s="122"/>
      <c r="AC341" s="122"/>
    </row>
    <row r="342" spans="1:29" outlineLevel="1">
      <c r="A342" s="119" t="s">
        <v>991</v>
      </c>
      <c r="B342" s="118" t="s">
        <v>990</v>
      </c>
      <c r="C342" s="122"/>
      <c r="D342" s="119" t="s">
        <v>753</v>
      </c>
      <c r="E342" s="119" t="s">
        <v>950</v>
      </c>
      <c r="F342" s="119" t="s">
        <v>753</v>
      </c>
      <c r="G342" s="119" t="s">
        <v>753</v>
      </c>
      <c r="H342" s="119" t="s">
        <v>753</v>
      </c>
      <c r="I342" s="119" t="s">
        <v>753</v>
      </c>
      <c r="J342" s="119" t="s">
        <v>753</v>
      </c>
      <c r="K342" s="119" t="s">
        <v>753</v>
      </c>
      <c r="L342" s="119" t="s">
        <v>753</v>
      </c>
      <c r="M342" s="122" t="s">
        <v>990</v>
      </c>
      <c r="N342" s="122"/>
      <c r="O342" s="122"/>
      <c r="P342" s="122"/>
      <c r="Q342" s="122"/>
      <c r="R342" s="122"/>
      <c r="S342" s="122"/>
      <c r="T342" s="122"/>
      <c r="U342" s="122"/>
      <c r="V342" s="122"/>
      <c r="W342" s="122"/>
      <c r="X342" s="122"/>
      <c r="Y342" s="122"/>
      <c r="Z342" s="122"/>
      <c r="AA342" s="122"/>
      <c r="AB342" s="122"/>
      <c r="AC342" s="122"/>
    </row>
    <row r="343" spans="1:29" outlineLevel="1">
      <c r="A343" s="119" t="s">
        <v>989</v>
      </c>
      <c r="B343" s="118" t="s">
        <v>988</v>
      </c>
      <c r="C343" s="122"/>
      <c r="D343" s="119" t="s">
        <v>753</v>
      </c>
      <c r="E343" s="119" t="s">
        <v>950</v>
      </c>
      <c r="F343" s="119" t="s">
        <v>753</v>
      </c>
      <c r="G343" s="119" t="s">
        <v>753</v>
      </c>
      <c r="H343" s="119" t="s">
        <v>753</v>
      </c>
      <c r="I343" s="119" t="s">
        <v>753</v>
      </c>
      <c r="J343" s="119" t="s">
        <v>753</v>
      </c>
      <c r="K343" s="119" t="s">
        <v>753</v>
      </c>
      <c r="L343" s="119" t="s">
        <v>753</v>
      </c>
      <c r="M343" s="122" t="s">
        <v>988</v>
      </c>
      <c r="N343" s="122"/>
      <c r="O343" s="122"/>
      <c r="P343" s="122"/>
      <c r="Q343" s="122"/>
      <c r="R343" s="122"/>
      <c r="S343" s="122"/>
      <c r="T343" s="122"/>
      <c r="U343" s="122"/>
      <c r="V343" s="122"/>
      <c r="W343" s="122"/>
      <c r="X343" s="122"/>
      <c r="Y343" s="122"/>
      <c r="Z343" s="122"/>
      <c r="AA343" s="122"/>
      <c r="AB343" s="122"/>
      <c r="AC343" s="122"/>
    </row>
    <row r="344" spans="1:29" outlineLevel="1">
      <c r="A344" s="119" t="s">
        <v>987</v>
      </c>
      <c r="B344" s="118" t="s">
        <v>986</v>
      </c>
      <c r="C344" s="122"/>
      <c r="D344" s="119" t="s">
        <v>753</v>
      </c>
      <c r="E344" s="119" t="s">
        <v>950</v>
      </c>
      <c r="F344" s="119" t="s">
        <v>753</v>
      </c>
      <c r="G344" s="119" t="s">
        <v>753</v>
      </c>
      <c r="H344" s="119" t="s">
        <v>753</v>
      </c>
      <c r="I344" s="119" t="s">
        <v>753</v>
      </c>
      <c r="J344" s="119" t="s">
        <v>753</v>
      </c>
      <c r="K344" s="119" t="s">
        <v>753</v>
      </c>
      <c r="L344" s="119" t="s">
        <v>753</v>
      </c>
      <c r="M344" s="122" t="s">
        <v>986</v>
      </c>
      <c r="N344" s="122"/>
      <c r="O344" s="122"/>
      <c r="P344" s="122"/>
      <c r="Q344" s="122"/>
      <c r="R344" s="122"/>
      <c r="S344" s="122"/>
      <c r="T344" s="122"/>
      <c r="U344" s="122"/>
      <c r="V344" s="122"/>
      <c r="W344" s="122"/>
      <c r="X344" s="122"/>
      <c r="Y344" s="122"/>
      <c r="Z344" s="122"/>
      <c r="AA344" s="122"/>
      <c r="AB344" s="122"/>
      <c r="AC344" s="122"/>
    </row>
    <row r="345" spans="1:29" outlineLevel="1">
      <c r="A345" s="119" t="s">
        <v>985</v>
      </c>
      <c r="B345" s="118" t="s">
        <v>984</v>
      </c>
      <c r="C345" s="122"/>
      <c r="D345" s="119" t="s">
        <v>753</v>
      </c>
      <c r="E345" s="119" t="s">
        <v>950</v>
      </c>
      <c r="F345" s="119" t="s">
        <v>753</v>
      </c>
      <c r="G345" s="119" t="s">
        <v>753</v>
      </c>
      <c r="H345" s="119" t="s">
        <v>753</v>
      </c>
      <c r="I345" s="119" t="s">
        <v>753</v>
      </c>
      <c r="J345" s="119" t="s">
        <v>753</v>
      </c>
      <c r="K345" s="119" t="s">
        <v>753</v>
      </c>
      <c r="L345" s="119" t="s">
        <v>753</v>
      </c>
      <c r="M345" s="122" t="s">
        <v>3439</v>
      </c>
      <c r="N345" s="122" t="s">
        <v>3443</v>
      </c>
      <c r="O345" s="122"/>
      <c r="P345" s="122"/>
      <c r="Q345" s="122"/>
      <c r="R345" s="122"/>
      <c r="S345" s="122"/>
      <c r="T345" s="122"/>
      <c r="U345" s="122"/>
      <c r="V345" s="122"/>
      <c r="W345" s="122"/>
      <c r="X345" s="122"/>
      <c r="Y345" s="122"/>
      <c r="Z345" s="122"/>
      <c r="AA345" s="122"/>
      <c r="AB345" s="122"/>
      <c r="AC345" s="122"/>
    </row>
    <row r="346" spans="1:29" outlineLevel="1">
      <c r="A346" s="119" t="s">
        <v>983</v>
      </c>
      <c r="B346" s="118" t="s">
        <v>982</v>
      </c>
      <c r="C346" s="122"/>
      <c r="D346" s="119" t="s">
        <v>753</v>
      </c>
      <c r="E346" s="119" t="s">
        <v>950</v>
      </c>
      <c r="F346" s="119" t="s">
        <v>753</v>
      </c>
      <c r="G346" s="119" t="s">
        <v>753</v>
      </c>
      <c r="H346" s="119" t="s">
        <v>753</v>
      </c>
      <c r="I346" s="119" t="s">
        <v>753</v>
      </c>
      <c r="J346" s="119" t="s">
        <v>753</v>
      </c>
      <c r="K346" s="119" t="s">
        <v>753</v>
      </c>
      <c r="L346" s="119" t="s">
        <v>753</v>
      </c>
      <c r="M346" s="122" t="s">
        <v>3440</v>
      </c>
      <c r="N346" s="122" t="s">
        <v>3444</v>
      </c>
      <c r="O346" s="122"/>
      <c r="P346" s="122"/>
      <c r="Q346" s="122"/>
      <c r="R346" s="122"/>
      <c r="S346" s="122"/>
      <c r="T346" s="122"/>
      <c r="U346" s="122"/>
      <c r="V346" s="122"/>
      <c r="W346" s="122"/>
      <c r="X346" s="122"/>
      <c r="Y346" s="122"/>
      <c r="Z346" s="122"/>
      <c r="AA346" s="122"/>
      <c r="AB346" s="122"/>
      <c r="AC346" s="122"/>
    </row>
    <row r="347" spans="1:29" outlineLevel="1">
      <c r="A347" s="119" t="s">
        <v>981</v>
      </c>
      <c r="B347" s="118" t="s">
        <v>980</v>
      </c>
      <c r="C347" s="122"/>
      <c r="D347" s="119" t="s">
        <v>753</v>
      </c>
      <c r="E347" s="119" t="s">
        <v>950</v>
      </c>
      <c r="F347" s="119" t="s">
        <v>753</v>
      </c>
      <c r="G347" s="119" t="s">
        <v>753</v>
      </c>
      <c r="H347" s="119" t="s">
        <v>753</v>
      </c>
      <c r="I347" s="119" t="s">
        <v>753</v>
      </c>
      <c r="J347" s="119" t="s">
        <v>753</v>
      </c>
      <c r="K347" s="119" t="s">
        <v>753</v>
      </c>
      <c r="L347" s="119" t="s">
        <v>753</v>
      </c>
      <c r="M347" s="122" t="s">
        <v>3441</v>
      </c>
      <c r="N347" s="122" t="s">
        <v>3445</v>
      </c>
      <c r="O347" s="122"/>
      <c r="P347" s="122"/>
      <c r="Q347" s="122"/>
      <c r="R347" s="122"/>
      <c r="S347" s="122"/>
      <c r="T347" s="122"/>
      <c r="U347" s="122"/>
      <c r="V347" s="122"/>
      <c r="W347" s="122"/>
      <c r="X347" s="122"/>
      <c r="Y347" s="122"/>
      <c r="Z347" s="122"/>
      <c r="AA347" s="122"/>
      <c r="AB347" s="122"/>
      <c r="AC347" s="122"/>
    </row>
    <row r="348" spans="1:29" outlineLevel="1">
      <c r="A348" s="119" t="s">
        <v>979</v>
      </c>
      <c r="B348" s="118" t="s">
        <v>978</v>
      </c>
      <c r="C348" s="122"/>
      <c r="D348" s="119" t="s">
        <v>753</v>
      </c>
      <c r="E348" s="119" t="s">
        <v>950</v>
      </c>
      <c r="F348" s="119" t="s">
        <v>753</v>
      </c>
      <c r="G348" s="119" t="s">
        <v>753</v>
      </c>
      <c r="H348" s="119" t="s">
        <v>753</v>
      </c>
      <c r="I348" s="119" t="s">
        <v>753</v>
      </c>
      <c r="J348" s="119" t="s">
        <v>753</v>
      </c>
      <c r="K348" s="119" t="s">
        <v>753</v>
      </c>
      <c r="L348" s="119" t="s">
        <v>753</v>
      </c>
      <c r="M348" s="122" t="s">
        <v>3442</v>
      </c>
      <c r="N348" s="122" t="s">
        <v>3446</v>
      </c>
      <c r="O348" s="122"/>
      <c r="P348" s="122"/>
      <c r="Q348" s="122"/>
      <c r="R348" s="122"/>
      <c r="S348" s="122"/>
      <c r="T348" s="122"/>
      <c r="U348" s="122"/>
      <c r="V348" s="122"/>
      <c r="W348" s="122"/>
      <c r="X348" s="122"/>
      <c r="Y348" s="122"/>
      <c r="Z348" s="122"/>
      <c r="AA348" s="122"/>
      <c r="AB348" s="122"/>
      <c r="AC348" s="122"/>
    </row>
    <row r="349" spans="1:29" outlineLevel="1">
      <c r="A349" s="119" t="s">
        <v>977</v>
      </c>
      <c r="B349" s="118" t="s">
        <v>713</v>
      </c>
      <c r="C349" s="122"/>
      <c r="D349" s="119" t="s">
        <v>753</v>
      </c>
      <c r="E349" s="119" t="s">
        <v>950</v>
      </c>
      <c r="F349" s="119" t="s">
        <v>753</v>
      </c>
      <c r="G349" s="119" t="s">
        <v>753</v>
      </c>
      <c r="H349" s="119" t="s">
        <v>753</v>
      </c>
      <c r="I349" s="119" t="s">
        <v>753</v>
      </c>
      <c r="J349" s="119" t="s">
        <v>753</v>
      </c>
      <c r="K349" s="119" t="s">
        <v>753</v>
      </c>
      <c r="L349" s="119" t="s">
        <v>753</v>
      </c>
      <c r="M349" s="122"/>
      <c r="N349" s="122" t="s">
        <v>713</v>
      </c>
      <c r="O349" s="122"/>
      <c r="P349" s="122"/>
      <c r="Q349" s="122"/>
      <c r="R349" s="122"/>
      <c r="S349" s="122"/>
      <c r="T349" s="122"/>
      <c r="U349" s="122"/>
      <c r="V349" s="122"/>
      <c r="W349" s="122"/>
      <c r="X349" s="122"/>
      <c r="Y349" s="122"/>
      <c r="Z349" s="122"/>
      <c r="AA349" s="122"/>
      <c r="AB349" s="122"/>
      <c r="AC349" s="122"/>
    </row>
    <row r="350" spans="1:29" outlineLevel="1">
      <c r="A350" s="119" t="s">
        <v>976</v>
      </c>
      <c r="B350" s="118" t="s">
        <v>683</v>
      </c>
      <c r="C350" s="122"/>
      <c r="D350" s="119" t="s">
        <v>753</v>
      </c>
      <c r="E350" s="119" t="s">
        <v>950</v>
      </c>
      <c r="F350" s="119" t="s">
        <v>753</v>
      </c>
      <c r="G350" s="119" t="s">
        <v>753</v>
      </c>
      <c r="H350" s="119" t="s">
        <v>753</v>
      </c>
      <c r="I350" s="119" t="s">
        <v>753</v>
      </c>
      <c r="J350" s="119" t="s">
        <v>753</v>
      </c>
      <c r="K350" s="119" t="s">
        <v>753</v>
      </c>
      <c r="L350" s="119" t="s">
        <v>753</v>
      </c>
      <c r="M350" s="122"/>
      <c r="N350" s="122" t="s">
        <v>683</v>
      </c>
      <c r="O350" s="122"/>
      <c r="P350" s="122"/>
      <c r="Q350" s="122"/>
      <c r="R350" s="122"/>
      <c r="S350" s="122"/>
      <c r="T350" s="122"/>
      <c r="U350" s="122"/>
      <c r="V350" s="122"/>
      <c r="W350" s="122"/>
      <c r="X350" s="122"/>
      <c r="Y350" s="122"/>
      <c r="Z350" s="122"/>
      <c r="AA350" s="122"/>
      <c r="AB350" s="122"/>
      <c r="AC350" s="122"/>
    </row>
    <row r="351" spans="1:29" outlineLevel="1">
      <c r="A351" s="120" t="s">
        <v>975</v>
      </c>
      <c r="B351" s="126" t="s">
        <v>974</v>
      </c>
      <c r="C351" s="125"/>
      <c r="D351" s="120" t="s">
        <v>926</v>
      </c>
      <c r="E351" s="120" t="s">
        <v>973</v>
      </c>
      <c r="F351" s="120" t="s">
        <v>753</v>
      </c>
      <c r="G351" s="120" t="s">
        <v>753</v>
      </c>
      <c r="H351" s="120" t="s">
        <v>753</v>
      </c>
      <c r="I351" s="120" t="s">
        <v>753</v>
      </c>
      <c r="J351" s="120" t="s">
        <v>753</v>
      </c>
      <c r="K351" s="120" t="s">
        <v>753</v>
      </c>
      <c r="L351" s="120" t="s">
        <v>753</v>
      </c>
      <c r="M351" s="125"/>
      <c r="N351" s="125"/>
      <c r="O351" s="125"/>
      <c r="P351" s="125"/>
      <c r="Q351" s="125"/>
      <c r="R351" s="125"/>
      <c r="S351" s="125"/>
      <c r="T351" s="125"/>
      <c r="U351" s="125"/>
      <c r="V351" s="125"/>
      <c r="W351" s="125"/>
      <c r="X351" s="125"/>
      <c r="Y351" s="125"/>
      <c r="Z351" s="125"/>
      <c r="AA351" s="125"/>
      <c r="AB351" s="125"/>
      <c r="AC351" s="125"/>
    </row>
    <row r="352" spans="1:29" outlineLevel="1">
      <c r="A352" s="120" t="s">
        <v>972</v>
      </c>
      <c r="B352" s="126" t="s">
        <v>971</v>
      </c>
      <c r="C352" s="125"/>
      <c r="D352" s="120" t="s">
        <v>932</v>
      </c>
      <c r="E352" s="120" t="s">
        <v>945</v>
      </c>
      <c r="F352" s="120" t="s">
        <v>753</v>
      </c>
      <c r="G352" s="120" t="s">
        <v>753</v>
      </c>
      <c r="H352" s="120" t="s">
        <v>753</v>
      </c>
      <c r="I352" s="120" t="s">
        <v>753</v>
      </c>
      <c r="J352" s="120" t="s">
        <v>753</v>
      </c>
      <c r="K352" s="120" t="s">
        <v>753</v>
      </c>
      <c r="L352" s="120" t="s">
        <v>753</v>
      </c>
      <c r="M352" s="125"/>
      <c r="N352" s="125"/>
      <c r="O352" s="125"/>
      <c r="P352" s="125"/>
      <c r="Q352" s="125"/>
      <c r="R352" s="125"/>
      <c r="S352" s="125"/>
      <c r="T352" s="125"/>
      <c r="U352" s="125"/>
      <c r="V352" s="125"/>
      <c r="W352" s="125"/>
      <c r="X352" s="125"/>
      <c r="Y352" s="125"/>
      <c r="Z352" s="125"/>
      <c r="AA352" s="125"/>
      <c r="AB352" s="125"/>
      <c r="AC352" s="125"/>
    </row>
    <row r="353" spans="1:29" outlineLevel="1">
      <c r="A353" s="119" t="s">
        <v>970</v>
      </c>
      <c r="B353" s="118" t="s">
        <v>969</v>
      </c>
      <c r="C353" s="122"/>
      <c r="D353" s="119" t="s">
        <v>753</v>
      </c>
      <c r="E353" s="119" t="s">
        <v>950</v>
      </c>
      <c r="F353" s="119" t="s">
        <v>753</v>
      </c>
      <c r="G353" s="119" t="s">
        <v>753</v>
      </c>
      <c r="H353" s="119" t="s">
        <v>753</v>
      </c>
      <c r="I353" s="119" t="s">
        <v>753</v>
      </c>
      <c r="J353" s="119" t="s">
        <v>753</v>
      </c>
      <c r="K353" s="119" t="s">
        <v>753</v>
      </c>
      <c r="L353" s="119" t="s">
        <v>753</v>
      </c>
      <c r="M353" s="122" t="s">
        <v>969</v>
      </c>
      <c r="N353" s="122"/>
      <c r="O353" s="122"/>
      <c r="P353" s="122"/>
      <c r="Q353" s="122"/>
      <c r="R353" s="122"/>
      <c r="S353" s="122"/>
      <c r="T353" s="122"/>
      <c r="U353" s="122"/>
      <c r="V353" s="122"/>
      <c r="W353" s="122"/>
      <c r="X353" s="122"/>
      <c r="Y353" s="122"/>
      <c r="Z353" s="122"/>
      <c r="AA353" s="122"/>
      <c r="AB353" s="122"/>
      <c r="AC353" s="122"/>
    </row>
    <row r="354" spans="1:29" outlineLevel="1">
      <c r="A354" s="119" t="s">
        <v>968</v>
      </c>
      <c r="B354" s="118" t="s">
        <v>967</v>
      </c>
      <c r="C354" s="122"/>
      <c r="D354" s="119" t="s">
        <v>753</v>
      </c>
      <c r="E354" s="119" t="s">
        <v>950</v>
      </c>
      <c r="F354" s="119" t="s">
        <v>753</v>
      </c>
      <c r="G354" s="119" t="s">
        <v>753</v>
      </c>
      <c r="H354" s="119" t="s">
        <v>753</v>
      </c>
      <c r="I354" s="119" t="s">
        <v>753</v>
      </c>
      <c r="J354" s="119" t="s">
        <v>753</v>
      </c>
      <c r="K354" s="119" t="s">
        <v>753</v>
      </c>
      <c r="L354" s="119" t="s">
        <v>753</v>
      </c>
      <c r="M354" s="122" t="s">
        <v>967</v>
      </c>
      <c r="N354" s="122"/>
      <c r="O354" s="122"/>
      <c r="P354" s="122"/>
      <c r="Q354" s="122"/>
      <c r="R354" s="122"/>
      <c r="S354" s="122"/>
      <c r="T354" s="122"/>
      <c r="U354" s="122"/>
      <c r="V354" s="122"/>
      <c r="W354" s="122"/>
      <c r="X354" s="122"/>
      <c r="Y354" s="122"/>
      <c r="Z354" s="122"/>
      <c r="AA354" s="122"/>
      <c r="AB354" s="122"/>
      <c r="AC354" s="122"/>
    </row>
    <row r="355" spans="1:29" outlineLevel="1">
      <c r="A355" s="119" t="s">
        <v>966</v>
      </c>
      <c r="B355" s="118" t="s">
        <v>965</v>
      </c>
      <c r="C355" s="122"/>
      <c r="D355" s="119" t="s">
        <v>753</v>
      </c>
      <c r="E355" s="119" t="s">
        <v>950</v>
      </c>
      <c r="F355" s="119" t="s">
        <v>753</v>
      </c>
      <c r="G355" s="119" t="s">
        <v>753</v>
      </c>
      <c r="H355" s="119" t="s">
        <v>753</v>
      </c>
      <c r="I355" s="119" t="s">
        <v>753</v>
      </c>
      <c r="J355" s="119" t="s">
        <v>753</v>
      </c>
      <c r="K355" s="119" t="s">
        <v>753</v>
      </c>
      <c r="L355" s="119" t="s">
        <v>753</v>
      </c>
      <c r="M355" s="122" t="s">
        <v>965</v>
      </c>
      <c r="N355" s="122"/>
      <c r="O355" s="122"/>
      <c r="P355" s="122"/>
      <c r="Q355" s="122"/>
      <c r="R355" s="122"/>
      <c r="S355" s="122"/>
      <c r="T355" s="122"/>
      <c r="U355" s="122"/>
      <c r="V355" s="122"/>
      <c r="W355" s="122"/>
      <c r="X355" s="122"/>
      <c r="Y355" s="122"/>
      <c r="Z355" s="122"/>
      <c r="AA355" s="122"/>
      <c r="AB355" s="122"/>
      <c r="AC355" s="122"/>
    </row>
    <row r="356" spans="1:29" outlineLevel="1">
      <c r="A356" s="119" t="s">
        <v>964</v>
      </c>
      <c r="B356" s="118" t="s">
        <v>963</v>
      </c>
      <c r="C356" s="122"/>
      <c r="D356" s="119" t="s">
        <v>753</v>
      </c>
      <c r="E356" s="119" t="s">
        <v>950</v>
      </c>
      <c r="F356" s="119" t="s">
        <v>753</v>
      </c>
      <c r="G356" s="119" t="s">
        <v>753</v>
      </c>
      <c r="H356" s="119" t="s">
        <v>753</v>
      </c>
      <c r="I356" s="119" t="s">
        <v>753</v>
      </c>
      <c r="J356" s="119" t="s">
        <v>753</v>
      </c>
      <c r="K356" s="119" t="s">
        <v>753</v>
      </c>
      <c r="L356" s="119" t="s">
        <v>753</v>
      </c>
      <c r="M356" s="122" t="s">
        <v>963</v>
      </c>
      <c r="N356" s="122"/>
      <c r="O356" s="122"/>
      <c r="P356" s="122"/>
      <c r="Q356" s="122"/>
      <c r="R356" s="122"/>
      <c r="S356" s="122"/>
      <c r="T356" s="122"/>
      <c r="U356" s="122"/>
      <c r="V356" s="122"/>
      <c r="W356" s="122"/>
      <c r="X356" s="122"/>
      <c r="Y356" s="122"/>
      <c r="Z356" s="122"/>
      <c r="AA356" s="122"/>
      <c r="AB356" s="122"/>
      <c r="AC356" s="122"/>
    </row>
    <row r="357" spans="1:29" outlineLevel="1">
      <c r="A357" s="119" t="s">
        <v>962</v>
      </c>
      <c r="B357" s="118" t="s">
        <v>629</v>
      </c>
      <c r="C357" s="122"/>
      <c r="D357" s="119" t="s">
        <v>753</v>
      </c>
      <c r="E357" s="119" t="s">
        <v>950</v>
      </c>
      <c r="F357" s="119" t="s">
        <v>753</v>
      </c>
      <c r="G357" s="119" t="s">
        <v>753</v>
      </c>
      <c r="H357" s="119" t="s">
        <v>753</v>
      </c>
      <c r="I357" s="119" t="s">
        <v>753</v>
      </c>
      <c r="J357" s="119" t="s">
        <v>753</v>
      </c>
      <c r="K357" s="119" t="s">
        <v>753</v>
      </c>
      <c r="L357" s="119" t="s">
        <v>753</v>
      </c>
      <c r="M357" s="122" t="s">
        <v>629</v>
      </c>
      <c r="N357" s="122"/>
      <c r="O357" s="122"/>
      <c r="P357" s="122"/>
      <c r="Q357" s="122"/>
      <c r="R357" s="122"/>
      <c r="S357" s="122"/>
      <c r="T357" s="122"/>
      <c r="U357" s="122"/>
      <c r="V357" s="122"/>
      <c r="W357" s="122"/>
      <c r="X357" s="122"/>
      <c r="Y357" s="122"/>
      <c r="Z357" s="122"/>
      <c r="AA357" s="122"/>
      <c r="AB357" s="122"/>
      <c r="AC357" s="122"/>
    </row>
    <row r="358" spans="1:29" outlineLevel="1">
      <c r="A358" s="119" t="s">
        <v>961</v>
      </c>
      <c r="B358" s="118" t="s">
        <v>612</v>
      </c>
      <c r="C358" s="122"/>
      <c r="D358" s="119" t="s">
        <v>753</v>
      </c>
      <c r="E358" s="119" t="s">
        <v>950</v>
      </c>
      <c r="F358" s="119" t="s">
        <v>753</v>
      </c>
      <c r="G358" s="119" t="s">
        <v>753</v>
      </c>
      <c r="H358" s="119" t="s">
        <v>753</v>
      </c>
      <c r="I358" s="119" t="s">
        <v>753</v>
      </c>
      <c r="J358" s="119" t="s">
        <v>753</v>
      </c>
      <c r="K358" s="119" t="s">
        <v>753</v>
      </c>
      <c r="L358" s="119" t="s">
        <v>753</v>
      </c>
      <c r="M358" s="122" t="s">
        <v>612</v>
      </c>
      <c r="N358" s="122"/>
      <c r="O358" s="122"/>
      <c r="P358" s="122"/>
      <c r="Q358" s="122"/>
      <c r="R358" s="122"/>
      <c r="S358" s="122"/>
      <c r="T358" s="122"/>
      <c r="U358" s="122"/>
      <c r="V358" s="122"/>
      <c r="W358" s="122"/>
      <c r="X358" s="122"/>
      <c r="Y358" s="122"/>
      <c r="Z358" s="122"/>
      <c r="AA358" s="122"/>
      <c r="AB358" s="122"/>
      <c r="AC358" s="122"/>
    </row>
    <row r="359" spans="1:29" outlineLevel="1">
      <c r="A359" s="119" t="s">
        <v>960</v>
      </c>
      <c r="B359" s="118" t="s">
        <v>959</v>
      </c>
      <c r="C359" s="122"/>
      <c r="D359" s="119" t="s">
        <v>753</v>
      </c>
      <c r="E359" s="119" t="s">
        <v>950</v>
      </c>
      <c r="F359" s="119" t="s">
        <v>753</v>
      </c>
      <c r="G359" s="119" t="s">
        <v>753</v>
      </c>
      <c r="H359" s="119" t="s">
        <v>753</v>
      </c>
      <c r="I359" s="119" t="s">
        <v>753</v>
      </c>
      <c r="J359" s="119" t="s">
        <v>753</v>
      </c>
      <c r="K359" s="119" t="s">
        <v>753</v>
      </c>
      <c r="L359" s="119" t="s">
        <v>753</v>
      </c>
      <c r="M359" s="122" t="s">
        <v>3451</v>
      </c>
      <c r="N359" s="122" t="s">
        <v>3450</v>
      </c>
      <c r="O359" s="122"/>
      <c r="P359" s="122"/>
      <c r="Q359" s="122"/>
      <c r="R359" s="122"/>
      <c r="S359" s="122"/>
      <c r="T359" s="122"/>
      <c r="U359" s="122"/>
      <c r="V359" s="122"/>
      <c r="W359" s="122"/>
      <c r="X359" s="122"/>
      <c r="Y359" s="122"/>
      <c r="Z359" s="122"/>
      <c r="AA359" s="122"/>
      <c r="AB359" s="122"/>
      <c r="AC359" s="122"/>
    </row>
    <row r="360" spans="1:29" outlineLevel="1">
      <c r="A360" s="119" t="s">
        <v>958</v>
      </c>
      <c r="B360" s="118" t="s">
        <v>957</v>
      </c>
      <c r="C360" s="122"/>
      <c r="D360" s="119" t="s">
        <v>753</v>
      </c>
      <c r="E360" s="119" t="s">
        <v>950</v>
      </c>
      <c r="F360" s="119" t="s">
        <v>753</v>
      </c>
      <c r="G360" s="119" t="s">
        <v>753</v>
      </c>
      <c r="H360" s="119" t="s">
        <v>753</v>
      </c>
      <c r="I360" s="119" t="s">
        <v>753</v>
      </c>
      <c r="J360" s="119" t="s">
        <v>753</v>
      </c>
      <c r="K360" s="119" t="s">
        <v>753</v>
      </c>
      <c r="L360" s="119" t="s">
        <v>753</v>
      </c>
      <c r="M360" s="122" t="s">
        <v>3452</v>
      </c>
      <c r="N360" s="122" t="s">
        <v>3449</v>
      </c>
      <c r="O360" s="122"/>
      <c r="P360" s="122"/>
      <c r="Q360" s="122"/>
      <c r="R360" s="122"/>
      <c r="S360" s="122"/>
      <c r="T360" s="122"/>
      <c r="U360" s="122"/>
      <c r="V360" s="122"/>
      <c r="W360" s="122"/>
      <c r="X360" s="122"/>
      <c r="Y360" s="122"/>
      <c r="Z360" s="122"/>
      <c r="AA360" s="122"/>
      <c r="AB360" s="122"/>
      <c r="AC360" s="122"/>
    </row>
    <row r="361" spans="1:29" outlineLevel="1">
      <c r="A361" s="119" t="s">
        <v>956</v>
      </c>
      <c r="B361" s="118" t="s">
        <v>955</v>
      </c>
      <c r="C361" s="122"/>
      <c r="D361" s="119" t="s">
        <v>753</v>
      </c>
      <c r="E361" s="119" t="s">
        <v>950</v>
      </c>
      <c r="F361" s="119" t="s">
        <v>753</v>
      </c>
      <c r="G361" s="119" t="s">
        <v>753</v>
      </c>
      <c r="H361" s="119" t="s">
        <v>753</v>
      </c>
      <c r="I361" s="119" t="s">
        <v>753</v>
      </c>
      <c r="J361" s="119" t="s">
        <v>753</v>
      </c>
      <c r="K361" s="119" t="s">
        <v>753</v>
      </c>
      <c r="L361" s="119" t="s">
        <v>753</v>
      </c>
      <c r="M361" s="122" t="s">
        <v>3453</v>
      </c>
      <c r="N361" s="122" t="s">
        <v>3448</v>
      </c>
      <c r="O361" s="122"/>
      <c r="P361" s="122"/>
      <c r="Q361" s="122"/>
      <c r="R361" s="122"/>
      <c r="S361" s="122"/>
      <c r="T361" s="122"/>
      <c r="U361" s="122"/>
      <c r="V361" s="122"/>
      <c r="W361" s="122"/>
      <c r="X361" s="122"/>
      <c r="Y361" s="122"/>
      <c r="Z361" s="122"/>
      <c r="AA361" s="122"/>
      <c r="AB361" s="122"/>
      <c r="AC361" s="122"/>
    </row>
    <row r="362" spans="1:29" outlineLevel="1">
      <c r="A362" s="119" t="s">
        <v>954</v>
      </c>
      <c r="B362" s="118" t="s">
        <v>953</v>
      </c>
      <c r="C362" s="122"/>
      <c r="D362" s="119" t="s">
        <v>753</v>
      </c>
      <c r="E362" s="119" t="s">
        <v>950</v>
      </c>
      <c r="F362" s="119" t="s">
        <v>753</v>
      </c>
      <c r="G362" s="119" t="s">
        <v>753</v>
      </c>
      <c r="H362" s="119" t="s">
        <v>753</v>
      </c>
      <c r="I362" s="119" t="s">
        <v>753</v>
      </c>
      <c r="J362" s="119" t="s">
        <v>753</v>
      </c>
      <c r="K362" s="119" t="s">
        <v>753</v>
      </c>
      <c r="L362" s="119" t="s">
        <v>753</v>
      </c>
      <c r="M362" s="122" t="s">
        <v>3454</v>
      </c>
      <c r="N362" s="122" t="s">
        <v>3447</v>
      </c>
      <c r="O362" s="122"/>
      <c r="P362" s="122"/>
      <c r="Q362" s="122"/>
      <c r="R362" s="122"/>
      <c r="S362" s="122"/>
      <c r="T362" s="122"/>
      <c r="U362" s="122"/>
      <c r="V362" s="122"/>
      <c r="W362" s="122"/>
      <c r="X362" s="122"/>
      <c r="Y362" s="122"/>
      <c r="Z362" s="122"/>
      <c r="AA362" s="122"/>
      <c r="AB362" s="122"/>
      <c r="AC362" s="122"/>
    </row>
    <row r="363" spans="1:29" outlineLevel="1">
      <c r="A363" s="119" t="s">
        <v>952</v>
      </c>
      <c r="B363" s="118" t="s">
        <v>717</v>
      </c>
      <c r="C363" s="122"/>
      <c r="D363" s="119" t="s">
        <v>753</v>
      </c>
      <c r="E363" s="119" t="s">
        <v>950</v>
      </c>
      <c r="F363" s="119" t="s">
        <v>753</v>
      </c>
      <c r="G363" s="119" t="s">
        <v>753</v>
      </c>
      <c r="H363" s="119" t="s">
        <v>753</v>
      </c>
      <c r="I363" s="119" t="s">
        <v>753</v>
      </c>
      <c r="J363" s="119" t="s">
        <v>753</v>
      </c>
      <c r="K363" s="119" t="s">
        <v>753</v>
      </c>
      <c r="L363" s="119" t="s">
        <v>753</v>
      </c>
      <c r="M363" s="122"/>
      <c r="N363" s="122" t="s">
        <v>717</v>
      </c>
      <c r="O363" s="122"/>
      <c r="P363" s="122"/>
      <c r="Q363" s="122"/>
      <c r="R363" s="122"/>
      <c r="S363" s="122"/>
      <c r="T363" s="122"/>
      <c r="U363" s="122"/>
      <c r="V363" s="122"/>
      <c r="W363" s="122"/>
      <c r="X363" s="122"/>
      <c r="Y363" s="122"/>
      <c r="Z363" s="122"/>
      <c r="AA363" s="122"/>
      <c r="AB363" s="122"/>
      <c r="AC363" s="122"/>
    </row>
    <row r="364" spans="1:29" outlineLevel="1">
      <c r="A364" s="119" t="s">
        <v>951</v>
      </c>
      <c r="B364" s="118" t="s">
        <v>689</v>
      </c>
      <c r="C364" s="122"/>
      <c r="D364" s="119" t="s">
        <v>753</v>
      </c>
      <c r="E364" s="119" t="s">
        <v>950</v>
      </c>
      <c r="F364" s="119" t="s">
        <v>753</v>
      </c>
      <c r="G364" s="119" t="s">
        <v>753</v>
      </c>
      <c r="H364" s="119" t="s">
        <v>753</v>
      </c>
      <c r="I364" s="119" t="s">
        <v>753</v>
      </c>
      <c r="J364" s="119" t="s">
        <v>753</v>
      </c>
      <c r="K364" s="119" t="s">
        <v>753</v>
      </c>
      <c r="L364" s="119" t="s">
        <v>753</v>
      </c>
      <c r="M364" s="122"/>
      <c r="N364" s="122" t="s">
        <v>689</v>
      </c>
      <c r="O364" s="122"/>
      <c r="P364" s="122"/>
      <c r="Q364" s="122"/>
      <c r="R364" s="122"/>
      <c r="S364" s="122"/>
      <c r="T364" s="122"/>
      <c r="U364" s="122"/>
      <c r="V364" s="122"/>
      <c r="W364" s="122"/>
      <c r="X364" s="122"/>
      <c r="Y364" s="122"/>
      <c r="Z364" s="122"/>
      <c r="AA364" s="122"/>
      <c r="AB364" s="122"/>
      <c r="AC364" s="122"/>
    </row>
    <row r="365" spans="1:29" outlineLevel="1">
      <c r="A365" s="120" t="s">
        <v>949</v>
      </c>
      <c r="B365" s="126" t="s">
        <v>948</v>
      </c>
      <c r="C365" s="125"/>
      <c r="D365" s="120" t="s">
        <v>926</v>
      </c>
      <c r="E365" s="120" t="s">
        <v>945</v>
      </c>
      <c r="F365" s="120" t="s">
        <v>753</v>
      </c>
      <c r="G365" s="120" t="s">
        <v>753</v>
      </c>
      <c r="H365" s="120" t="s">
        <v>753</v>
      </c>
      <c r="I365" s="120" t="s">
        <v>753</v>
      </c>
      <c r="J365" s="120" t="s">
        <v>753</v>
      </c>
      <c r="K365" s="120" t="s">
        <v>753</v>
      </c>
      <c r="L365" s="120" t="s">
        <v>753</v>
      </c>
      <c r="M365" s="125"/>
      <c r="N365" s="125"/>
      <c r="O365" s="125"/>
      <c r="P365" s="125"/>
      <c r="Q365" s="125"/>
      <c r="R365" s="125"/>
      <c r="S365" s="125"/>
      <c r="T365" s="125"/>
      <c r="U365" s="125"/>
      <c r="V365" s="125"/>
      <c r="W365" s="125"/>
      <c r="X365" s="125"/>
      <c r="Y365" s="125"/>
      <c r="Z365" s="125"/>
      <c r="AA365" s="125"/>
      <c r="AB365" s="125"/>
      <c r="AC365" s="125"/>
    </row>
    <row r="366" spans="1:29" outlineLevel="1">
      <c r="A366" s="120" t="s">
        <v>947</v>
      </c>
      <c r="B366" s="126" t="s">
        <v>946</v>
      </c>
      <c r="C366" s="125"/>
      <c r="D366" s="120" t="s">
        <v>932</v>
      </c>
      <c r="E366" s="120" t="s">
        <v>945</v>
      </c>
      <c r="F366" s="120" t="s">
        <v>753</v>
      </c>
      <c r="G366" s="120" t="s">
        <v>753</v>
      </c>
      <c r="H366" s="120" t="s">
        <v>753</v>
      </c>
      <c r="I366" s="120" t="s">
        <v>753</v>
      </c>
      <c r="J366" s="120" t="s">
        <v>753</v>
      </c>
      <c r="K366" s="120" t="s">
        <v>753</v>
      </c>
      <c r="L366" s="120" t="s">
        <v>753</v>
      </c>
      <c r="M366" s="125"/>
      <c r="N366" s="125"/>
      <c r="O366" s="125"/>
      <c r="P366" s="125"/>
      <c r="Q366" s="125"/>
      <c r="R366" s="125"/>
      <c r="S366" s="125"/>
      <c r="T366" s="125"/>
      <c r="U366" s="125"/>
      <c r="V366" s="125"/>
      <c r="W366" s="125"/>
      <c r="X366" s="125"/>
      <c r="Y366" s="125"/>
      <c r="Z366" s="125"/>
      <c r="AA366" s="125"/>
      <c r="AB366" s="125"/>
      <c r="AC366" s="125"/>
    </row>
    <row r="367" spans="1:29">
      <c r="A367" s="131" t="s">
        <v>944</v>
      </c>
      <c r="B367" s="130"/>
      <c r="C367" s="127"/>
      <c r="D367" s="129"/>
      <c r="E367" s="129"/>
      <c r="F367" s="129"/>
      <c r="G367" s="129"/>
      <c r="H367" s="129"/>
      <c r="I367" s="129"/>
      <c r="J367" s="129"/>
      <c r="K367" s="129"/>
      <c r="L367" s="129"/>
      <c r="M367" s="127"/>
      <c r="N367" s="127"/>
      <c r="O367" s="127"/>
      <c r="P367" s="127"/>
      <c r="Q367" s="127"/>
      <c r="R367" s="127"/>
      <c r="S367" s="127"/>
      <c r="T367" s="127"/>
      <c r="U367" s="127"/>
      <c r="V367" s="127"/>
      <c r="W367" s="127"/>
      <c r="X367" s="127"/>
      <c r="Y367" s="127"/>
      <c r="Z367" s="127"/>
      <c r="AA367" s="127"/>
      <c r="AB367" s="127"/>
      <c r="AC367" s="127"/>
    </row>
    <row r="368" spans="1:29" outlineLevel="1">
      <c r="A368" s="119" t="s">
        <v>943</v>
      </c>
      <c r="B368" s="118" t="s">
        <v>176</v>
      </c>
      <c r="C368" s="122"/>
      <c r="D368" s="119" t="s">
        <v>753</v>
      </c>
      <c r="E368" s="119" t="s">
        <v>934</v>
      </c>
      <c r="F368" s="119" t="s">
        <v>753</v>
      </c>
      <c r="G368" s="119" t="s">
        <v>753</v>
      </c>
      <c r="H368" s="119" t="s">
        <v>753</v>
      </c>
      <c r="I368" s="119" t="s">
        <v>753</v>
      </c>
      <c r="J368" s="119" t="s">
        <v>753</v>
      </c>
      <c r="K368" s="119" t="s">
        <v>753</v>
      </c>
      <c r="L368" s="119" t="s">
        <v>753</v>
      </c>
      <c r="M368" s="122" t="s">
        <v>176</v>
      </c>
      <c r="N368" s="122"/>
      <c r="O368" s="122"/>
      <c r="P368" s="122"/>
      <c r="Q368" s="122"/>
      <c r="R368" s="122"/>
      <c r="S368" s="122"/>
      <c r="T368" s="122"/>
      <c r="U368" s="122"/>
      <c r="V368" s="122"/>
      <c r="W368" s="122"/>
      <c r="X368" s="122"/>
      <c r="Y368" s="122"/>
      <c r="Z368" s="122"/>
      <c r="AA368" s="122"/>
      <c r="AB368" s="122"/>
      <c r="AC368" s="122"/>
    </row>
    <row r="369" spans="1:30" outlineLevel="1">
      <c r="A369" s="119" t="s">
        <v>942</v>
      </c>
      <c r="B369" s="118" t="s">
        <v>210</v>
      </c>
      <c r="C369" s="122"/>
      <c r="D369" s="119" t="s">
        <v>753</v>
      </c>
      <c r="E369" s="119" t="s">
        <v>938</v>
      </c>
      <c r="F369" s="119" t="s">
        <v>753</v>
      </c>
      <c r="G369" s="119" t="s">
        <v>753</v>
      </c>
      <c r="H369" s="119" t="s">
        <v>753</v>
      </c>
      <c r="I369" s="119" t="s">
        <v>753</v>
      </c>
      <c r="J369" s="119" t="s">
        <v>753</v>
      </c>
      <c r="K369" s="119" t="s">
        <v>753</v>
      </c>
      <c r="L369" s="119" t="s">
        <v>753</v>
      </c>
      <c r="M369" s="122" t="s">
        <v>210</v>
      </c>
      <c r="N369" s="122"/>
      <c r="O369" s="122"/>
      <c r="P369" s="122"/>
      <c r="Q369" s="122"/>
      <c r="R369" s="122"/>
      <c r="S369" s="122"/>
      <c r="T369" s="122"/>
      <c r="U369" s="122"/>
      <c r="V369" s="122"/>
      <c r="W369" s="122"/>
      <c r="X369" s="122"/>
      <c r="Y369" s="122"/>
      <c r="Z369" s="122"/>
      <c r="AA369" s="122"/>
      <c r="AB369" s="122"/>
      <c r="AC369" s="122"/>
    </row>
    <row r="370" spans="1:30" outlineLevel="1">
      <c r="A370" s="119" t="s">
        <v>941</v>
      </c>
      <c r="B370" s="118" t="s">
        <v>192</v>
      </c>
      <c r="C370" s="122"/>
      <c r="D370" s="119" t="s">
        <v>753</v>
      </c>
      <c r="E370" s="119" t="s">
        <v>938</v>
      </c>
      <c r="F370" s="119" t="s">
        <v>753</v>
      </c>
      <c r="G370" s="119" t="s">
        <v>753</v>
      </c>
      <c r="H370" s="119" t="s">
        <v>753</v>
      </c>
      <c r="I370" s="119" t="s">
        <v>753</v>
      </c>
      <c r="J370" s="119" t="s">
        <v>753</v>
      </c>
      <c r="K370" s="119" t="s">
        <v>753</v>
      </c>
      <c r="L370" s="119" t="s">
        <v>753</v>
      </c>
      <c r="M370" s="122" t="s">
        <v>192</v>
      </c>
      <c r="N370" s="122"/>
      <c r="O370" s="122"/>
      <c r="P370" s="122"/>
      <c r="Q370" s="122"/>
      <c r="R370" s="122"/>
      <c r="S370" s="122"/>
      <c r="T370" s="122"/>
      <c r="U370" s="122"/>
      <c r="V370" s="122"/>
      <c r="W370" s="122"/>
      <c r="X370" s="122"/>
      <c r="Y370" s="122"/>
      <c r="Z370" s="122"/>
      <c r="AA370" s="122"/>
      <c r="AB370" s="122"/>
      <c r="AC370" s="122"/>
    </row>
    <row r="371" spans="1:30" outlineLevel="1">
      <c r="A371" s="119" t="s">
        <v>940</v>
      </c>
      <c r="B371" s="118" t="s">
        <v>227</v>
      </c>
      <c r="C371" s="122"/>
      <c r="D371" s="119" t="s">
        <v>753</v>
      </c>
      <c r="E371" s="119" t="s">
        <v>934</v>
      </c>
      <c r="F371" s="119" t="s">
        <v>753</v>
      </c>
      <c r="G371" s="119" t="s">
        <v>753</v>
      </c>
      <c r="H371" s="119" t="s">
        <v>753</v>
      </c>
      <c r="I371" s="119" t="s">
        <v>753</v>
      </c>
      <c r="J371" s="119" t="s">
        <v>753</v>
      </c>
      <c r="K371" s="119" t="s">
        <v>753</v>
      </c>
      <c r="L371" s="119" t="s">
        <v>753</v>
      </c>
      <c r="M371" s="122" t="s">
        <v>227</v>
      </c>
      <c r="N371" s="122"/>
      <c r="O371" s="122"/>
      <c r="P371" s="122"/>
      <c r="Q371" s="122"/>
      <c r="R371" s="122"/>
      <c r="S371" s="122"/>
      <c r="T371" s="122"/>
      <c r="U371" s="122"/>
      <c r="V371" s="122"/>
      <c r="W371" s="122"/>
      <c r="X371" s="122"/>
      <c r="Y371" s="122"/>
      <c r="Z371" s="122"/>
      <c r="AA371" s="122"/>
      <c r="AB371" s="122"/>
      <c r="AC371" s="122"/>
    </row>
    <row r="372" spans="1:30" outlineLevel="1">
      <c r="A372" s="119" t="s">
        <v>939</v>
      </c>
      <c r="B372" s="118" t="s">
        <v>211</v>
      </c>
      <c r="C372" s="122"/>
      <c r="D372" s="119" t="s">
        <v>753</v>
      </c>
      <c r="E372" s="119" t="s">
        <v>938</v>
      </c>
      <c r="F372" s="119" t="s">
        <v>753</v>
      </c>
      <c r="G372" s="119" t="s">
        <v>753</v>
      </c>
      <c r="H372" s="119" t="s">
        <v>753</v>
      </c>
      <c r="I372" s="119" t="s">
        <v>753</v>
      </c>
      <c r="J372" s="119" t="s">
        <v>753</v>
      </c>
      <c r="K372" s="119" t="s">
        <v>753</v>
      </c>
      <c r="L372" s="119" t="s">
        <v>753</v>
      </c>
      <c r="M372" s="122" t="s">
        <v>211</v>
      </c>
      <c r="N372" s="122"/>
      <c r="O372" s="122"/>
      <c r="P372" s="122"/>
      <c r="Q372" s="122"/>
      <c r="R372" s="122"/>
      <c r="S372" s="122"/>
      <c r="T372" s="122"/>
      <c r="U372" s="122"/>
      <c r="V372" s="122"/>
      <c r="W372" s="122"/>
      <c r="X372" s="122"/>
      <c r="Y372" s="122"/>
      <c r="Z372" s="122"/>
      <c r="AA372" s="122"/>
      <c r="AB372" s="122"/>
      <c r="AC372" s="122"/>
    </row>
    <row r="373" spans="1:30" outlineLevel="1">
      <c r="A373" s="119" t="s">
        <v>937</v>
      </c>
      <c r="B373" s="118" t="s">
        <v>193</v>
      </c>
      <c r="C373" s="122"/>
      <c r="D373" s="119" t="s">
        <v>753</v>
      </c>
      <c r="E373" s="119" t="s">
        <v>934</v>
      </c>
      <c r="F373" s="119" t="s">
        <v>753</v>
      </c>
      <c r="G373" s="119" t="s">
        <v>753</v>
      </c>
      <c r="H373" s="119" t="s">
        <v>753</v>
      </c>
      <c r="I373" s="119" t="s">
        <v>753</v>
      </c>
      <c r="J373" s="119" t="s">
        <v>753</v>
      </c>
      <c r="K373" s="119" t="s">
        <v>753</v>
      </c>
      <c r="L373" s="119" t="s">
        <v>753</v>
      </c>
      <c r="M373" s="122" t="s">
        <v>193</v>
      </c>
      <c r="N373" s="122"/>
      <c r="O373" s="122"/>
      <c r="P373" s="122"/>
      <c r="Q373" s="122"/>
      <c r="R373" s="122"/>
      <c r="S373" s="122"/>
      <c r="T373" s="122"/>
      <c r="U373" s="122"/>
      <c r="V373" s="122"/>
      <c r="W373" s="122"/>
      <c r="X373" s="122"/>
      <c r="Y373" s="122"/>
      <c r="Z373" s="122"/>
      <c r="AA373" s="122"/>
      <c r="AB373" s="122"/>
      <c r="AC373" s="122"/>
    </row>
    <row r="374" spans="1:30" outlineLevel="1">
      <c r="A374" s="119" t="s">
        <v>936</v>
      </c>
      <c r="B374" s="118" t="s">
        <v>229</v>
      </c>
      <c r="C374" s="122"/>
      <c r="D374" s="119" t="s">
        <v>753</v>
      </c>
      <c r="E374" s="119" t="s">
        <v>934</v>
      </c>
      <c r="F374" s="119" t="s">
        <v>753</v>
      </c>
      <c r="G374" s="119" t="s">
        <v>753</v>
      </c>
      <c r="H374" s="119" t="s">
        <v>753</v>
      </c>
      <c r="I374" s="119" t="s">
        <v>753</v>
      </c>
      <c r="J374" s="119" t="s">
        <v>753</v>
      </c>
      <c r="K374" s="119" t="s">
        <v>753</v>
      </c>
      <c r="L374" s="119" t="s">
        <v>753</v>
      </c>
      <c r="M374" s="122" t="s">
        <v>229</v>
      </c>
      <c r="N374" s="122"/>
      <c r="O374" s="122"/>
      <c r="P374" s="122"/>
      <c r="Q374" s="122"/>
      <c r="R374" s="122"/>
      <c r="S374" s="122"/>
      <c r="T374" s="122"/>
      <c r="U374" s="122"/>
      <c r="V374" s="122"/>
      <c r="W374" s="122"/>
      <c r="X374" s="122"/>
      <c r="Y374" s="122"/>
      <c r="Z374" s="122"/>
      <c r="AA374" s="122"/>
      <c r="AB374" s="122"/>
      <c r="AC374" s="122"/>
    </row>
    <row r="375" spans="1:30" outlineLevel="1">
      <c r="A375" s="119" t="s">
        <v>935</v>
      </c>
      <c r="B375" s="118" t="s">
        <v>264</v>
      </c>
      <c r="C375" s="122"/>
      <c r="D375" s="119" t="s">
        <v>753</v>
      </c>
      <c r="E375" s="119" t="s">
        <v>934</v>
      </c>
      <c r="F375" s="119" t="s">
        <v>753</v>
      </c>
      <c r="G375" s="119" t="s">
        <v>753</v>
      </c>
      <c r="H375" s="119" t="s">
        <v>753</v>
      </c>
      <c r="I375" s="119" t="s">
        <v>753</v>
      </c>
      <c r="J375" s="119" t="s">
        <v>753</v>
      </c>
      <c r="K375" s="119" t="s">
        <v>753</v>
      </c>
      <c r="L375" s="119" t="s">
        <v>753</v>
      </c>
      <c r="M375" s="122" t="s">
        <v>264</v>
      </c>
      <c r="N375" s="122"/>
      <c r="O375" s="122"/>
      <c r="P375" s="122"/>
      <c r="Q375" s="122"/>
      <c r="R375" s="122"/>
      <c r="S375" s="122"/>
      <c r="T375" s="122"/>
      <c r="U375" s="122"/>
      <c r="V375" s="122"/>
      <c r="W375" s="122"/>
      <c r="X375" s="122"/>
      <c r="Y375" s="122"/>
      <c r="Z375" s="122"/>
      <c r="AA375" s="122"/>
      <c r="AB375" s="122"/>
      <c r="AC375" s="122"/>
    </row>
    <row r="376" spans="1:30" outlineLevel="1">
      <c r="A376" s="120" t="s">
        <v>933</v>
      </c>
      <c r="B376" s="126" t="s">
        <v>284</v>
      </c>
      <c r="C376" s="125"/>
      <c r="D376" s="120" t="s">
        <v>932</v>
      </c>
      <c r="E376" s="120" t="s">
        <v>931</v>
      </c>
      <c r="F376" s="120" t="s">
        <v>753</v>
      </c>
      <c r="G376" s="120" t="s">
        <v>753</v>
      </c>
      <c r="H376" s="120" t="s">
        <v>753</v>
      </c>
      <c r="I376" s="120" t="s">
        <v>753</v>
      </c>
      <c r="J376" s="120" t="s">
        <v>753</v>
      </c>
      <c r="K376" s="120" t="s">
        <v>753</v>
      </c>
      <c r="L376" s="120" t="s">
        <v>753</v>
      </c>
      <c r="M376" s="125"/>
      <c r="N376" s="125"/>
      <c r="O376" s="125"/>
      <c r="P376" s="125"/>
      <c r="Q376" s="125"/>
      <c r="R376" s="125"/>
      <c r="S376" s="125"/>
      <c r="T376" s="125"/>
      <c r="U376" s="125"/>
      <c r="V376" s="125"/>
      <c r="W376" s="125"/>
      <c r="X376" s="125"/>
      <c r="Y376" s="125"/>
      <c r="Z376" s="125"/>
      <c r="AA376" s="125"/>
      <c r="AB376" s="125"/>
      <c r="AC376" s="125"/>
    </row>
    <row r="377" spans="1:30" outlineLevel="1">
      <c r="A377" s="119" t="s">
        <v>930</v>
      </c>
      <c r="B377" s="118" t="s">
        <v>929</v>
      </c>
      <c r="C377" s="122"/>
      <c r="D377" s="119" t="s">
        <v>753</v>
      </c>
      <c r="E377" s="119" t="s">
        <v>753</v>
      </c>
      <c r="F377" s="119" t="s">
        <v>753</v>
      </c>
      <c r="G377" s="119" t="s">
        <v>753</v>
      </c>
      <c r="H377" s="119" t="s">
        <v>753</v>
      </c>
      <c r="I377" s="119" t="s">
        <v>753</v>
      </c>
      <c r="J377" s="119" t="s">
        <v>753</v>
      </c>
      <c r="K377" s="119" t="s">
        <v>753</v>
      </c>
      <c r="L377" s="119" t="s">
        <v>753</v>
      </c>
      <c r="M377" s="119"/>
      <c r="N377" s="122"/>
      <c r="O377" s="122"/>
      <c r="P377" s="122"/>
      <c r="Q377" s="122"/>
      <c r="R377" s="122"/>
      <c r="S377" s="122"/>
      <c r="T377" s="122"/>
      <c r="U377" s="122"/>
      <c r="V377" s="122"/>
      <c r="W377" s="122"/>
      <c r="X377" s="122"/>
      <c r="Y377" s="122"/>
      <c r="Z377" s="122"/>
      <c r="AA377" s="122"/>
      <c r="AB377" s="122"/>
      <c r="AC377" s="122"/>
    </row>
    <row r="378" spans="1:30" s="134" customFormat="1" outlineLevel="1">
      <c r="A378" s="162" t="s">
        <v>928</v>
      </c>
      <c r="B378" s="124" t="s">
        <v>927</v>
      </c>
      <c r="C378" s="163"/>
      <c r="D378" s="119" t="s">
        <v>753</v>
      </c>
      <c r="E378" s="119" t="s">
        <v>753</v>
      </c>
      <c r="F378" s="162" t="s">
        <v>753</v>
      </c>
      <c r="G378" s="162" t="s">
        <v>753</v>
      </c>
      <c r="H378" s="162" t="s">
        <v>753</v>
      </c>
      <c r="I378" s="162" t="s">
        <v>753</v>
      </c>
      <c r="J378" s="162" t="s">
        <v>753</v>
      </c>
      <c r="K378" s="162" t="s">
        <v>753</v>
      </c>
      <c r="L378" s="162" t="s">
        <v>753</v>
      </c>
      <c r="M378" s="119"/>
      <c r="N378" s="163"/>
      <c r="O378" s="163"/>
      <c r="P378" s="163"/>
      <c r="Q378" s="163"/>
      <c r="R378" s="163"/>
      <c r="S378" s="163"/>
      <c r="T378" s="163"/>
      <c r="U378" s="163"/>
      <c r="V378" s="163"/>
      <c r="W378" s="163"/>
      <c r="X378" s="163"/>
      <c r="Y378" s="163"/>
      <c r="Z378" s="163"/>
      <c r="AA378" s="163"/>
      <c r="AB378" s="163"/>
      <c r="AC378" s="163"/>
      <c r="AD378" s="135"/>
    </row>
    <row r="379" spans="1:30" outlineLevel="1">
      <c r="A379" s="120" t="s">
        <v>925</v>
      </c>
      <c r="B379" s="126" t="s">
        <v>442</v>
      </c>
      <c r="C379" s="125"/>
      <c r="D379" s="120" t="s">
        <v>926</v>
      </c>
      <c r="E379" s="162" t="s">
        <v>3466</v>
      </c>
      <c r="F379" s="120" t="s">
        <v>753</v>
      </c>
      <c r="G379" s="120" t="s">
        <v>753</v>
      </c>
      <c r="H379" s="120" t="s">
        <v>753</v>
      </c>
      <c r="I379" s="120" t="s">
        <v>753</v>
      </c>
      <c r="J379" s="120" t="s">
        <v>753</v>
      </c>
      <c r="K379" s="120" t="s">
        <v>753</v>
      </c>
      <c r="L379" s="120" t="s">
        <v>753</v>
      </c>
      <c r="M379" s="125"/>
      <c r="N379" s="125"/>
      <c r="O379" s="125"/>
      <c r="P379" s="125"/>
      <c r="Q379" s="125"/>
      <c r="R379" s="125"/>
      <c r="S379" s="125"/>
      <c r="T379" s="125"/>
      <c r="U379" s="125"/>
      <c r="V379" s="125"/>
      <c r="W379" s="125"/>
      <c r="X379" s="125"/>
      <c r="Y379" s="125"/>
      <c r="Z379" s="125"/>
      <c r="AA379" s="125"/>
      <c r="AB379" s="125"/>
      <c r="AC379" s="125"/>
    </row>
    <row r="380" spans="1:30">
      <c r="A380" s="131" t="s">
        <v>924</v>
      </c>
      <c r="B380" s="130"/>
      <c r="C380" s="127"/>
      <c r="D380" s="129"/>
      <c r="E380" s="129"/>
      <c r="F380" s="129"/>
      <c r="G380" s="129"/>
      <c r="H380" s="129"/>
      <c r="I380" s="129"/>
      <c r="J380" s="129"/>
      <c r="K380" s="129"/>
      <c r="L380" s="129"/>
      <c r="M380" s="127"/>
      <c r="N380" s="127"/>
      <c r="O380" s="127"/>
      <c r="P380" s="127"/>
      <c r="Q380" s="127"/>
      <c r="R380" s="127"/>
      <c r="S380" s="127"/>
      <c r="T380" s="127"/>
      <c r="U380" s="127"/>
      <c r="V380" s="127"/>
      <c r="W380" s="127"/>
      <c r="X380" s="127"/>
      <c r="Y380" s="127"/>
      <c r="Z380" s="127"/>
      <c r="AA380" s="127"/>
      <c r="AB380" s="127"/>
      <c r="AC380" s="127"/>
    </row>
    <row r="381" spans="1:30" outlineLevel="1">
      <c r="A381" s="120" t="s">
        <v>923</v>
      </c>
      <c r="B381" s="126" t="s">
        <v>334</v>
      </c>
      <c r="C381" s="125"/>
      <c r="D381" s="264" t="s">
        <v>898</v>
      </c>
      <c r="E381" s="120" t="s">
        <v>895</v>
      </c>
      <c r="F381" s="120" t="s">
        <v>753</v>
      </c>
      <c r="G381" s="120" t="s">
        <v>753</v>
      </c>
      <c r="H381" s="120" t="s">
        <v>753</v>
      </c>
      <c r="I381" s="120" t="s">
        <v>753</v>
      </c>
      <c r="J381" s="120" t="s">
        <v>753</v>
      </c>
      <c r="K381" s="120" t="s">
        <v>753</v>
      </c>
      <c r="L381" s="120" t="s">
        <v>753</v>
      </c>
      <c r="M381" s="125"/>
      <c r="N381" s="125"/>
      <c r="O381" s="125"/>
      <c r="P381" s="125"/>
      <c r="Q381" s="125"/>
      <c r="R381" s="125"/>
      <c r="S381" s="125"/>
      <c r="T381" s="125"/>
      <c r="U381" s="125"/>
      <c r="V381" s="125"/>
      <c r="W381" s="125"/>
      <c r="X381" s="125"/>
      <c r="Y381" s="125"/>
      <c r="Z381" s="125"/>
      <c r="AA381" s="125"/>
      <c r="AB381" s="125"/>
      <c r="AC381" s="125"/>
    </row>
    <row r="382" spans="1:30" outlineLevel="1">
      <c r="A382" s="120" t="s">
        <v>922</v>
      </c>
      <c r="B382" s="126" t="s">
        <v>333</v>
      </c>
      <c r="C382" s="125"/>
      <c r="D382" s="265"/>
      <c r="E382" s="120" t="s">
        <v>893</v>
      </c>
      <c r="F382" s="120" t="s">
        <v>753</v>
      </c>
      <c r="G382" s="120" t="s">
        <v>753</v>
      </c>
      <c r="H382" s="120" t="s">
        <v>753</v>
      </c>
      <c r="I382" s="120" t="s">
        <v>753</v>
      </c>
      <c r="J382" s="120" t="s">
        <v>753</v>
      </c>
      <c r="K382" s="120" t="s">
        <v>753</v>
      </c>
      <c r="L382" s="120" t="s">
        <v>753</v>
      </c>
      <c r="M382" s="125"/>
      <c r="N382" s="125"/>
      <c r="O382" s="125"/>
      <c r="P382" s="125"/>
      <c r="Q382" s="125"/>
      <c r="R382" s="125"/>
      <c r="S382" s="125"/>
      <c r="T382" s="125"/>
      <c r="U382" s="125"/>
      <c r="V382" s="125"/>
      <c r="W382" s="125"/>
      <c r="X382" s="125"/>
      <c r="Y382" s="125"/>
      <c r="Z382" s="125"/>
      <c r="AA382" s="125"/>
      <c r="AB382" s="125"/>
      <c r="AC382" s="125"/>
    </row>
    <row r="383" spans="1:30" outlineLevel="1">
      <c r="A383" s="120" t="s">
        <v>921</v>
      </c>
      <c r="B383" s="126" t="s">
        <v>354</v>
      </c>
      <c r="C383" s="125"/>
      <c r="D383" s="265"/>
      <c r="E383" s="120" t="s">
        <v>893</v>
      </c>
      <c r="F383" s="120" t="s">
        <v>753</v>
      </c>
      <c r="G383" s="120" t="s">
        <v>753</v>
      </c>
      <c r="H383" s="120" t="s">
        <v>753</v>
      </c>
      <c r="I383" s="120" t="s">
        <v>753</v>
      </c>
      <c r="J383" s="120" t="s">
        <v>753</v>
      </c>
      <c r="K383" s="120" t="s">
        <v>753</v>
      </c>
      <c r="L383" s="120" t="s">
        <v>753</v>
      </c>
      <c r="M383" s="125"/>
      <c r="N383" s="125"/>
      <c r="O383" s="125"/>
      <c r="P383" s="125"/>
      <c r="Q383" s="125"/>
      <c r="R383" s="125"/>
      <c r="S383" s="125"/>
      <c r="T383" s="125"/>
      <c r="U383" s="125"/>
      <c r="V383" s="125"/>
      <c r="W383" s="125"/>
      <c r="X383" s="125"/>
      <c r="Y383" s="125"/>
      <c r="Z383" s="125"/>
      <c r="AA383" s="125"/>
      <c r="AB383" s="125"/>
      <c r="AC383" s="125"/>
    </row>
    <row r="384" spans="1:30" outlineLevel="1">
      <c r="A384" s="120" t="s">
        <v>920</v>
      </c>
      <c r="B384" s="126" t="s">
        <v>355</v>
      </c>
      <c r="C384" s="125"/>
      <c r="D384" s="265"/>
      <c r="E384" s="120" t="s">
        <v>895</v>
      </c>
      <c r="F384" s="120" t="s">
        <v>753</v>
      </c>
      <c r="G384" s="120" t="s">
        <v>753</v>
      </c>
      <c r="H384" s="120" t="s">
        <v>753</v>
      </c>
      <c r="I384" s="120" t="s">
        <v>753</v>
      </c>
      <c r="J384" s="120" t="s">
        <v>753</v>
      </c>
      <c r="K384" s="120" t="s">
        <v>753</v>
      </c>
      <c r="L384" s="120" t="s">
        <v>753</v>
      </c>
      <c r="M384" s="125"/>
      <c r="N384" s="125"/>
      <c r="O384" s="125"/>
      <c r="P384" s="125"/>
      <c r="Q384" s="125"/>
      <c r="R384" s="125"/>
      <c r="S384" s="125"/>
      <c r="T384" s="125"/>
      <c r="U384" s="125"/>
      <c r="V384" s="125"/>
      <c r="W384" s="125"/>
      <c r="X384" s="125"/>
      <c r="Y384" s="125"/>
      <c r="Z384" s="125"/>
      <c r="AA384" s="125"/>
      <c r="AB384" s="125"/>
      <c r="AC384" s="125"/>
    </row>
    <row r="385" spans="1:29" outlineLevel="1">
      <c r="A385" s="120" t="s">
        <v>919</v>
      </c>
      <c r="B385" s="126" t="s">
        <v>356</v>
      </c>
      <c r="C385" s="125"/>
      <c r="D385" s="265"/>
      <c r="E385" s="120" t="s">
        <v>895</v>
      </c>
      <c r="F385" s="120" t="s">
        <v>753</v>
      </c>
      <c r="G385" s="120" t="s">
        <v>753</v>
      </c>
      <c r="H385" s="120" t="s">
        <v>753</v>
      </c>
      <c r="I385" s="120" t="s">
        <v>753</v>
      </c>
      <c r="J385" s="120" t="s">
        <v>753</v>
      </c>
      <c r="K385" s="120" t="s">
        <v>753</v>
      </c>
      <c r="L385" s="120" t="s">
        <v>753</v>
      </c>
      <c r="M385" s="125"/>
      <c r="N385" s="125"/>
      <c r="O385" s="125"/>
      <c r="P385" s="125"/>
      <c r="Q385" s="125"/>
      <c r="R385" s="125"/>
      <c r="S385" s="125"/>
      <c r="T385" s="125"/>
      <c r="U385" s="125"/>
      <c r="V385" s="125"/>
      <c r="W385" s="125"/>
      <c r="X385" s="125"/>
      <c r="Y385" s="125"/>
      <c r="Z385" s="125"/>
      <c r="AA385" s="125"/>
      <c r="AB385" s="125"/>
      <c r="AC385" s="125"/>
    </row>
    <row r="386" spans="1:29" outlineLevel="1">
      <c r="A386" s="120" t="s">
        <v>918</v>
      </c>
      <c r="B386" s="126" t="s">
        <v>381</v>
      </c>
      <c r="C386" s="125"/>
      <c r="D386" s="265"/>
      <c r="E386" s="120" t="s">
        <v>895</v>
      </c>
      <c r="F386" s="120" t="s">
        <v>753</v>
      </c>
      <c r="G386" s="120" t="s">
        <v>753</v>
      </c>
      <c r="H386" s="120" t="s">
        <v>753</v>
      </c>
      <c r="I386" s="120" t="s">
        <v>753</v>
      </c>
      <c r="J386" s="120" t="s">
        <v>753</v>
      </c>
      <c r="K386" s="120" t="s">
        <v>753</v>
      </c>
      <c r="L386" s="120" t="s">
        <v>753</v>
      </c>
      <c r="M386" s="125"/>
      <c r="N386" s="125"/>
      <c r="O386" s="125"/>
      <c r="P386" s="125"/>
      <c r="Q386" s="125"/>
      <c r="R386" s="125"/>
      <c r="S386" s="125"/>
      <c r="T386" s="125"/>
      <c r="U386" s="125"/>
      <c r="V386" s="125"/>
      <c r="W386" s="125"/>
      <c r="X386" s="125"/>
      <c r="Y386" s="125"/>
      <c r="Z386" s="125"/>
      <c r="AA386" s="125"/>
      <c r="AB386" s="125"/>
      <c r="AC386" s="125"/>
    </row>
    <row r="387" spans="1:29" outlineLevel="1">
      <c r="A387" s="120" t="s">
        <v>917</v>
      </c>
      <c r="B387" s="126" t="s">
        <v>358</v>
      </c>
      <c r="C387" s="125"/>
      <c r="D387" s="265"/>
      <c r="E387" s="120" t="s">
        <v>893</v>
      </c>
      <c r="F387" s="120" t="s">
        <v>753</v>
      </c>
      <c r="G387" s="120" t="s">
        <v>753</v>
      </c>
      <c r="H387" s="120" t="s">
        <v>753</v>
      </c>
      <c r="I387" s="120" t="s">
        <v>753</v>
      </c>
      <c r="J387" s="120" t="s">
        <v>753</v>
      </c>
      <c r="K387" s="120" t="s">
        <v>753</v>
      </c>
      <c r="L387" s="120" t="s">
        <v>753</v>
      </c>
      <c r="M387" s="125"/>
      <c r="N387" s="125"/>
      <c r="O387" s="125"/>
      <c r="P387" s="125"/>
      <c r="Q387" s="125"/>
      <c r="R387" s="125"/>
      <c r="S387" s="125"/>
      <c r="T387" s="125"/>
      <c r="U387" s="125"/>
      <c r="V387" s="125"/>
      <c r="W387" s="125"/>
      <c r="X387" s="125"/>
      <c r="Y387" s="125"/>
      <c r="Z387" s="125"/>
      <c r="AA387" s="125"/>
      <c r="AB387" s="125"/>
      <c r="AC387" s="125"/>
    </row>
    <row r="388" spans="1:29" outlineLevel="1">
      <c r="A388" s="120" t="s">
        <v>916</v>
      </c>
      <c r="B388" s="126" t="s">
        <v>337</v>
      </c>
      <c r="C388" s="125"/>
      <c r="D388" s="266"/>
      <c r="E388" s="120" t="s">
        <v>893</v>
      </c>
      <c r="F388" s="120" t="s">
        <v>753</v>
      </c>
      <c r="G388" s="120" t="s">
        <v>753</v>
      </c>
      <c r="H388" s="120" t="s">
        <v>753</v>
      </c>
      <c r="I388" s="120" t="s">
        <v>753</v>
      </c>
      <c r="J388" s="120" t="s">
        <v>753</v>
      </c>
      <c r="K388" s="120" t="s">
        <v>753</v>
      </c>
      <c r="L388" s="120" t="s">
        <v>753</v>
      </c>
      <c r="M388" s="125"/>
      <c r="N388" s="125"/>
      <c r="O388" s="125"/>
      <c r="P388" s="125"/>
      <c r="Q388" s="125"/>
      <c r="R388" s="125"/>
      <c r="S388" s="125"/>
      <c r="T388" s="125"/>
      <c r="U388" s="125"/>
      <c r="V388" s="125"/>
      <c r="W388" s="125"/>
      <c r="X388" s="125"/>
      <c r="Y388" s="125"/>
      <c r="Z388" s="125"/>
      <c r="AA388" s="125"/>
      <c r="AB388" s="125"/>
      <c r="AC388" s="125"/>
    </row>
    <row r="389" spans="1:29" outlineLevel="1">
      <c r="A389" s="120" t="s">
        <v>915</v>
      </c>
      <c r="B389" s="126" t="s">
        <v>314</v>
      </c>
      <c r="C389" s="125"/>
      <c r="D389" s="264" t="s">
        <v>914</v>
      </c>
      <c r="E389" s="120" t="s">
        <v>895</v>
      </c>
      <c r="F389" s="120" t="s">
        <v>753</v>
      </c>
      <c r="G389" s="120" t="s">
        <v>753</v>
      </c>
      <c r="H389" s="120" t="s">
        <v>753</v>
      </c>
      <c r="I389" s="120" t="s">
        <v>753</v>
      </c>
      <c r="J389" s="120" t="s">
        <v>753</v>
      </c>
      <c r="K389" s="120" t="s">
        <v>753</v>
      </c>
      <c r="L389" s="120" t="s">
        <v>753</v>
      </c>
      <c r="M389" s="125"/>
      <c r="N389" s="125"/>
      <c r="O389" s="125"/>
      <c r="P389" s="125"/>
      <c r="Q389" s="125"/>
      <c r="R389" s="125"/>
      <c r="S389" s="125"/>
      <c r="T389" s="125"/>
      <c r="U389" s="125"/>
      <c r="V389" s="125"/>
      <c r="W389" s="125"/>
      <c r="X389" s="125"/>
      <c r="Y389" s="125"/>
      <c r="Z389" s="125"/>
      <c r="AA389" s="125"/>
      <c r="AB389" s="125"/>
      <c r="AC389" s="125"/>
    </row>
    <row r="390" spans="1:29" outlineLevel="1">
      <c r="A390" s="120" t="s">
        <v>913</v>
      </c>
      <c r="B390" s="126" t="s">
        <v>336</v>
      </c>
      <c r="C390" s="125"/>
      <c r="D390" s="265"/>
      <c r="E390" s="120" t="s">
        <v>893</v>
      </c>
      <c r="F390" s="120" t="s">
        <v>753</v>
      </c>
      <c r="G390" s="120" t="s">
        <v>753</v>
      </c>
      <c r="H390" s="120" t="s">
        <v>753</v>
      </c>
      <c r="I390" s="120" t="s">
        <v>753</v>
      </c>
      <c r="J390" s="120" t="s">
        <v>753</v>
      </c>
      <c r="K390" s="120" t="s">
        <v>753</v>
      </c>
      <c r="L390" s="120" t="s">
        <v>753</v>
      </c>
      <c r="M390" s="125"/>
      <c r="N390" s="125"/>
      <c r="O390" s="125"/>
      <c r="P390" s="125"/>
      <c r="Q390" s="125"/>
      <c r="R390" s="125"/>
      <c r="S390" s="125"/>
      <c r="T390" s="125"/>
      <c r="U390" s="125"/>
      <c r="V390" s="125"/>
      <c r="W390" s="125"/>
      <c r="X390" s="125"/>
      <c r="Y390" s="125"/>
      <c r="Z390" s="125"/>
      <c r="AA390" s="125"/>
      <c r="AB390" s="125"/>
      <c r="AC390" s="125"/>
    </row>
    <row r="391" spans="1:29" outlineLevel="1">
      <c r="A391" s="120" t="s">
        <v>912</v>
      </c>
      <c r="B391" s="126" t="s">
        <v>357</v>
      </c>
      <c r="C391" s="125"/>
      <c r="D391" s="265"/>
      <c r="E391" s="120" t="s">
        <v>895</v>
      </c>
      <c r="F391" s="120" t="s">
        <v>753</v>
      </c>
      <c r="G391" s="120" t="s">
        <v>753</v>
      </c>
      <c r="H391" s="120" t="s">
        <v>753</v>
      </c>
      <c r="I391" s="120" t="s">
        <v>753</v>
      </c>
      <c r="J391" s="120" t="s">
        <v>753</v>
      </c>
      <c r="K391" s="120" t="s">
        <v>753</v>
      </c>
      <c r="L391" s="120" t="s">
        <v>753</v>
      </c>
      <c r="M391" s="125"/>
      <c r="N391" s="125"/>
      <c r="O391" s="125"/>
      <c r="P391" s="125"/>
      <c r="Q391" s="125"/>
      <c r="R391" s="125"/>
      <c r="S391" s="125"/>
      <c r="T391" s="125"/>
      <c r="U391" s="125"/>
      <c r="V391" s="125"/>
      <c r="W391" s="125"/>
      <c r="X391" s="125"/>
      <c r="Y391" s="125"/>
      <c r="Z391" s="125"/>
      <c r="AA391" s="125"/>
      <c r="AB391" s="125"/>
      <c r="AC391" s="125"/>
    </row>
    <row r="392" spans="1:29" outlineLevel="1">
      <c r="A392" s="120" t="s">
        <v>911</v>
      </c>
      <c r="B392" s="126" t="s">
        <v>424</v>
      </c>
      <c r="C392" s="125"/>
      <c r="D392" s="265"/>
      <c r="E392" s="120" t="s">
        <v>893</v>
      </c>
      <c r="F392" s="120" t="s">
        <v>753</v>
      </c>
      <c r="G392" s="120" t="s">
        <v>753</v>
      </c>
      <c r="H392" s="120" t="s">
        <v>753</v>
      </c>
      <c r="I392" s="120" t="s">
        <v>753</v>
      </c>
      <c r="J392" s="120" t="s">
        <v>753</v>
      </c>
      <c r="K392" s="120" t="s">
        <v>753</v>
      </c>
      <c r="L392" s="120" t="s">
        <v>753</v>
      </c>
      <c r="M392" s="125"/>
      <c r="N392" s="125"/>
      <c r="O392" s="125"/>
      <c r="P392" s="125"/>
      <c r="Q392" s="125"/>
      <c r="R392" s="125"/>
      <c r="S392" s="125"/>
      <c r="T392" s="125"/>
      <c r="U392" s="125"/>
      <c r="V392" s="125"/>
      <c r="W392" s="125"/>
      <c r="X392" s="125"/>
      <c r="Y392" s="125"/>
      <c r="Z392" s="125"/>
      <c r="AA392" s="125"/>
      <c r="AB392" s="125"/>
      <c r="AC392" s="125"/>
    </row>
    <row r="393" spans="1:29" outlineLevel="1">
      <c r="A393" s="120" t="s">
        <v>910</v>
      </c>
      <c r="B393" s="126" t="s">
        <v>402</v>
      </c>
      <c r="C393" s="125"/>
      <c r="D393" s="266"/>
      <c r="E393" s="120" t="s">
        <v>901</v>
      </c>
      <c r="F393" s="120" t="s">
        <v>753</v>
      </c>
      <c r="G393" s="120" t="s">
        <v>753</v>
      </c>
      <c r="H393" s="120" t="s">
        <v>753</v>
      </c>
      <c r="I393" s="120" t="s">
        <v>753</v>
      </c>
      <c r="J393" s="120" t="s">
        <v>753</v>
      </c>
      <c r="K393" s="120" t="s">
        <v>753</v>
      </c>
      <c r="L393" s="120" t="s">
        <v>753</v>
      </c>
      <c r="M393" s="125"/>
      <c r="N393" s="125"/>
      <c r="O393" s="125"/>
      <c r="P393" s="125"/>
      <c r="Q393" s="125"/>
      <c r="R393" s="125"/>
      <c r="S393" s="125"/>
      <c r="T393" s="125"/>
      <c r="U393" s="125"/>
      <c r="V393" s="125"/>
      <c r="W393" s="125"/>
      <c r="X393" s="125"/>
      <c r="Y393" s="125"/>
      <c r="Z393" s="125"/>
      <c r="AA393" s="125"/>
      <c r="AB393" s="125"/>
      <c r="AC393" s="125"/>
    </row>
    <row r="394" spans="1:29" outlineLevel="1">
      <c r="A394" s="120" t="s">
        <v>909</v>
      </c>
      <c r="B394" s="126" t="s">
        <v>422</v>
      </c>
      <c r="C394" s="125"/>
      <c r="D394" s="264" t="s">
        <v>898</v>
      </c>
      <c r="E394" s="120" t="s">
        <v>895</v>
      </c>
      <c r="F394" s="120" t="s">
        <v>753</v>
      </c>
      <c r="G394" s="120" t="s">
        <v>753</v>
      </c>
      <c r="H394" s="120" t="s">
        <v>753</v>
      </c>
      <c r="I394" s="120" t="s">
        <v>753</v>
      </c>
      <c r="J394" s="120" t="s">
        <v>753</v>
      </c>
      <c r="K394" s="120" t="s">
        <v>753</v>
      </c>
      <c r="L394" s="120" t="s">
        <v>753</v>
      </c>
      <c r="M394" s="125"/>
      <c r="N394" s="125"/>
      <c r="O394" s="125"/>
      <c r="P394" s="125"/>
      <c r="Q394" s="125"/>
      <c r="R394" s="125"/>
      <c r="S394" s="125"/>
      <c r="T394" s="125"/>
      <c r="U394" s="125"/>
      <c r="V394" s="125"/>
      <c r="W394" s="125"/>
      <c r="X394" s="125"/>
      <c r="Y394" s="125"/>
      <c r="Z394" s="125"/>
      <c r="AA394" s="125"/>
      <c r="AB394" s="125"/>
      <c r="AC394" s="125"/>
    </row>
    <row r="395" spans="1:29" outlineLevel="1">
      <c r="A395" s="120" t="s">
        <v>908</v>
      </c>
      <c r="B395" s="126" t="s">
        <v>401</v>
      </c>
      <c r="C395" s="125"/>
      <c r="D395" s="265"/>
      <c r="E395" s="120" t="s">
        <v>895</v>
      </c>
      <c r="F395" s="120" t="s">
        <v>753</v>
      </c>
      <c r="G395" s="120" t="s">
        <v>753</v>
      </c>
      <c r="H395" s="120" t="s">
        <v>753</v>
      </c>
      <c r="I395" s="120" t="s">
        <v>753</v>
      </c>
      <c r="J395" s="120" t="s">
        <v>753</v>
      </c>
      <c r="K395" s="120" t="s">
        <v>753</v>
      </c>
      <c r="L395" s="120" t="s">
        <v>753</v>
      </c>
      <c r="M395" s="125"/>
      <c r="N395" s="125"/>
      <c r="O395" s="125"/>
      <c r="P395" s="125"/>
      <c r="Q395" s="125"/>
      <c r="R395" s="125"/>
      <c r="S395" s="125"/>
      <c r="T395" s="125"/>
      <c r="U395" s="125"/>
      <c r="V395" s="125"/>
      <c r="W395" s="125"/>
      <c r="X395" s="125"/>
      <c r="Y395" s="125"/>
      <c r="Z395" s="125"/>
      <c r="AA395" s="125"/>
      <c r="AB395" s="125"/>
      <c r="AC395" s="125"/>
    </row>
    <row r="396" spans="1:29" outlineLevel="1">
      <c r="A396" s="120" t="s">
        <v>907</v>
      </c>
      <c r="B396" s="126" t="s">
        <v>400</v>
      </c>
      <c r="C396" s="125"/>
      <c r="D396" s="265"/>
      <c r="E396" s="120" t="s">
        <v>893</v>
      </c>
      <c r="F396" s="120" t="s">
        <v>753</v>
      </c>
      <c r="G396" s="120" t="s">
        <v>753</v>
      </c>
      <c r="H396" s="120" t="s">
        <v>753</v>
      </c>
      <c r="I396" s="120" t="s">
        <v>753</v>
      </c>
      <c r="J396" s="120" t="s">
        <v>753</v>
      </c>
      <c r="K396" s="120" t="s">
        <v>753</v>
      </c>
      <c r="L396" s="120" t="s">
        <v>753</v>
      </c>
      <c r="M396" s="125"/>
      <c r="N396" s="125"/>
      <c r="O396" s="125"/>
      <c r="P396" s="125"/>
      <c r="Q396" s="125"/>
      <c r="R396" s="125"/>
      <c r="S396" s="125"/>
      <c r="T396" s="125"/>
      <c r="U396" s="125"/>
      <c r="V396" s="125"/>
      <c r="W396" s="125"/>
      <c r="X396" s="125"/>
      <c r="Y396" s="125"/>
      <c r="Z396" s="125"/>
      <c r="AA396" s="125"/>
      <c r="AB396" s="125"/>
      <c r="AC396" s="125"/>
    </row>
    <row r="397" spans="1:29" outlineLevel="1">
      <c r="A397" s="120" t="s">
        <v>906</v>
      </c>
      <c r="B397" s="126" t="s">
        <v>471</v>
      </c>
      <c r="C397" s="125"/>
      <c r="D397" s="265"/>
      <c r="E397" s="120" t="s">
        <v>893</v>
      </c>
      <c r="F397" s="120" t="s">
        <v>753</v>
      </c>
      <c r="G397" s="120" t="s">
        <v>753</v>
      </c>
      <c r="H397" s="120" t="s">
        <v>753</v>
      </c>
      <c r="I397" s="120" t="s">
        <v>753</v>
      </c>
      <c r="J397" s="120" t="s">
        <v>753</v>
      </c>
      <c r="K397" s="120" t="s">
        <v>753</v>
      </c>
      <c r="L397" s="120" t="s">
        <v>753</v>
      </c>
      <c r="M397" s="125"/>
      <c r="N397" s="125"/>
      <c r="O397" s="125"/>
      <c r="P397" s="125"/>
      <c r="Q397" s="125"/>
      <c r="R397" s="125"/>
      <c r="S397" s="125"/>
      <c r="T397" s="125"/>
      <c r="U397" s="125"/>
      <c r="V397" s="125"/>
      <c r="W397" s="125"/>
      <c r="X397" s="125"/>
      <c r="Y397" s="125"/>
      <c r="Z397" s="125"/>
      <c r="AA397" s="125"/>
      <c r="AB397" s="125"/>
      <c r="AC397" s="125"/>
    </row>
    <row r="398" spans="1:29" outlineLevel="1">
      <c r="A398" s="120" t="s">
        <v>905</v>
      </c>
      <c r="B398" s="126" t="s">
        <v>448</v>
      </c>
      <c r="C398" s="125"/>
      <c r="D398" s="265"/>
      <c r="E398" s="120" t="s">
        <v>895</v>
      </c>
      <c r="F398" s="120" t="s">
        <v>753</v>
      </c>
      <c r="G398" s="120" t="s">
        <v>753</v>
      </c>
      <c r="H398" s="120" t="s">
        <v>753</v>
      </c>
      <c r="I398" s="120" t="s">
        <v>753</v>
      </c>
      <c r="J398" s="120" t="s">
        <v>753</v>
      </c>
      <c r="K398" s="120" t="s">
        <v>753</v>
      </c>
      <c r="L398" s="120" t="s">
        <v>753</v>
      </c>
      <c r="M398" s="125"/>
      <c r="N398" s="125"/>
      <c r="O398" s="125"/>
      <c r="P398" s="125"/>
      <c r="Q398" s="125"/>
      <c r="R398" s="125"/>
      <c r="S398" s="125"/>
      <c r="T398" s="125"/>
      <c r="U398" s="125"/>
      <c r="V398" s="125"/>
      <c r="W398" s="125"/>
      <c r="X398" s="125"/>
      <c r="Y398" s="125"/>
      <c r="Z398" s="125"/>
      <c r="AA398" s="125"/>
      <c r="AB398" s="125"/>
      <c r="AC398" s="125"/>
    </row>
    <row r="399" spans="1:29" outlineLevel="1">
      <c r="A399" s="120" t="s">
        <v>904</v>
      </c>
      <c r="B399" s="126" t="s">
        <v>470</v>
      </c>
      <c r="C399" s="125"/>
      <c r="D399" s="265"/>
      <c r="E399" s="120" t="s">
        <v>895</v>
      </c>
      <c r="F399" s="120" t="s">
        <v>753</v>
      </c>
      <c r="G399" s="120" t="s">
        <v>753</v>
      </c>
      <c r="H399" s="120" t="s">
        <v>753</v>
      </c>
      <c r="I399" s="120" t="s">
        <v>753</v>
      </c>
      <c r="J399" s="120" t="s">
        <v>753</v>
      </c>
      <c r="K399" s="120" t="s">
        <v>753</v>
      </c>
      <c r="L399" s="120" t="s">
        <v>753</v>
      </c>
      <c r="M399" s="125"/>
      <c r="N399" s="125"/>
      <c r="O399" s="125"/>
      <c r="P399" s="125"/>
      <c r="Q399" s="125"/>
      <c r="R399" s="125"/>
      <c r="S399" s="125"/>
      <c r="T399" s="125"/>
      <c r="U399" s="125"/>
      <c r="V399" s="125"/>
      <c r="W399" s="125"/>
      <c r="X399" s="125"/>
      <c r="Y399" s="125"/>
      <c r="Z399" s="125"/>
      <c r="AA399" s="125"/>
      <c r="AB399" s="125"/>
      <c r="AC399" s="125"/>
    </row>
    <row r="400" spans="1:29" outlineLevel="1">
      <c r="A400" s="120" t="s">
        <v>903</v>
      </c>
      <c r="B400" s="126" t="s">
        <v>447</v>
      </c>
      <c r="C400" s="125"/>
      <c r="D400" s="266"/>
      <c r="E400" s="120" t="s">
        <v>895</v>
      </c>
      <c r="F400" s="120" t="s">
        <v>753</v>
      </c>
      <c r="G400" s="120" t="s">
        <v>753</v>
      </c>
      <c r="H400" s="120" t="s">
        <v>753</v>
      </c>
      <c r="I400" s="120" t="s">
        <v>753</v>
      </c>
      <c r="J400" s="120" t="s">
        <v>753</v>
      </c>
      <c r="K400" s="120" t="s">
        <v>753</v>
      </c>
      <c r="L400" s="120" t="s">
        <v>753</v>
      </c>
      <c r="M400" s="125"/>
      <c r="N400" s="125"/>
      <c r="O400" s="125"/>
      <c r="P400" s="125"/>
      <c r="Q400" s="125"/>
      <c r="R400" s="125"/>
      <c r="S400" s="125"/>
      <c r="T400" s="125"/>
      <c r="U400" s="125"/>
      <c r="V400" s="125"/>
      <c r="W400" s="125"/>
      <c r="X400" s="125"/>
      <c r="Y400" s="125"/>
      <c r="Z400" s="125"/>
      <c r="AA400" s="125"/>
      <c r="AB400" s="125"/>
      <c r="AC400" s="125"/>
    </row>
    <row r="401" spans="1:29" outlineLevel="1">
      <c r="A401" s="120" t="s">
        <v>902</v>
      </c>
      <c r="B401" s="126" t="s">
        <v>490</v>
      </c>
      <c r="C401" s="125"/>
      <c r="D401" s="264" t="s">
        <v>898</v>
      </c>
      <c r="E401" s="120" t="s">
        <v>901</v>
      </c>
      <c r="F401" s="120" t="s">
        <v>753</v>
      </c>
      <c r="G401" s="120" t="s">
        <v>753</v>
      </c>
      <c r="H401" s="120" t="s">
        <v>753</v>
      </c>
      <c r="I401" s="120" t="s">
        <v>753</v>
      </c>
      <c r="J401" s="120" t="s">
        <v>753</v>
      </c>
      <c r="K401" s="120" t="s">
        <v>753</v>
      </c>
      <c r="L401" s="120" t="s">
        <v>753</v>
      </c>
      <c r="M401" s="125"/>
      <c r="N401" s="125"/>
      <c r="O401" s="125"/>
      <c r="P401" s="125"/>
      <c r="Q401" s="125"/>
      <c r="R401" s="125"/>
      <c r="S401" s="125"/>
      <c r="T401" s="125"/>
      <c r="U401" s="125"/>
      <c r="V401" s="125"/>
      <c r="W401" s="125"/>
      <c r="X401" s="125"/>
      <c r="Y401" s="125"/>
      <c r="Z401" s="125"/>
      <c r="AA401" s="125"/>
      <c r="AB401" s="125"/>
      <c r="AC401" s="125"/>
    </row>
    <row r="402" spans="1:29" outlineLevel="1">
      <c r="A402" s="120" t="s">
        <v>900</v>
      </c>
      <c r="B402" s="126" t="s">
        <v>489</v>
      </c>
      <c r="C402" s="125"/>
      <c r="D402" s="266"/>
      <c r="E402" s="120" t="s">
        <v>893</v>
      </c>
      <c r="F402" s="120" t="s">
        <v>753</v>
      </c>
      <c r="G402" s="120" t="s">
        <v>753</v>
      </c>
      <c r="H402" s="120" t="s">
        <v>753</v>
      </c>
      <c r="I402" s="120" t="s">
        <v>753</v>
      </c>
      <c r="J402" s="120" t="s">
        <v>753</v>
      </c>
      <c r="K402" s="120" t="s">
        <v>753</v>
      </c>
      <c r="L402" s="120" t="s">
        <v>753</v>
      </c>
      <c r="M402" s="125"/>
      <c r="N402" s="125"/>
      <c r="O402" s="125"/>
      <c r="P402" s="125"/>
      <c r="Q402" s="125"/>
      <c r="R402" s="125"/>
      <c r="S402" s="125"/>
      <c r="T402" s="125"/>
      <c r="U402" s="125"/>
      <c r="V402" s="125"/>
      <c r="W402" s="125"/>
      <c r="X402" s="125"/>
      <c r="Y402" s="125"/>
      <c r="Z402" s="125"/>
      <c r="AA402" s="125"/>
      <c r="AB402" s="125"/>
      <c r="AC402" s="125"/>
    </row>
    <row r="403" spans="1:29" outlineLevel="1">
      <c r="A403" s="120" t="s">
        <v>899</v>
      </c>
      <c r="B403" s="126" t="s">
        <v>469</v>
      </c>
      <c r="C403" s="125"/>
      <c r="D403" s="264" t="s">
        <v>898</v>
      </c>
      <c r="E403" s="120" t="s">
        <v>895</v>
      </c>
      <c r="F403" s="120" t="s">
        <v>753</v>
      </c>
      <c r="G403" s="120" t="s">
        <v>753</v>
      </c>
      <c r="H403" s="120" t="s">
        <v>753</v>
      </c>
      <c r="I403" s="120" t="s">
        <v>753</v>
      </c>
      <c r="J403" s="120" t="s">
        <v>753</v>
      </c>
      <c r="K403" s="120" t="s">
        <v>753</v>
      </c>
      <c r="L403" s="120" t="s">
        <v>753</v>
      </c>
      <c r="M403" s="125"/>
      <c r="N403" s="125"/>
      <c r="O403" s="125"/>
      <c r="P403" s="125"/>
      <c r="Q403" s="125"/>
      <c r="R403" s="125"/>
      <c r="S403" s="125"/>
      <c r="T403" s="125"/>
      <c r="U403" s="125"/>
      <c r="V403" s="125"/>
      <c r="W403" s="125"/>
      <c r="X403" s="125"/>
      <c r="Y403" s="125"/>
      <c r="Z403" s="125"/>
      <c r="AA403" s="125"/>
      <c r="AB403" s="125"/>
      <c r="AC403" s="125"/>
    </row>
    <row r="404" spans="1:29" outlineLevel="1">
      <c r="A404" s="120" t="s">
        <v>897</v>
      </c>
      <c r="B404" s="126" t="s">
        <v>468</v>
      </c>
      <c r="C404" s="125"/>
      <c r="D404" s="265"/>
      <c r="E404" s="120" t="s">
        <v>895</v>
      </c>
      <c r="F404" s="120" t="s">
        <v>753</v>
      </c>
      <c r="G404" s="120" t="s">
        <v>753</v>
      </c>
      <c r="H404" s="120" t="s">
        <v>753</v>
      </c>
      <c r="I404" s="120" t="s">
        <v>753</v>
      </c>
      <c r="J404" s="120" t="s">
        <v>753</v>
      </c>
      <c r="K404" s="120" t="s">
        <v>753</v>
      </c>
      <c r="L404" s="120" t="s">
        <v>753</v>
      </c>
      <c r="M404" s="125"/>
      <c r="N404" s="125"/>
      <c r="O404" s="125"/>
      <c r="P404" s="125"/>
      <c r="Q404" s="125"/>
      <c r="R404" s="125"/>
      <c r="S404" s="125"/>
      <c r="T404" s="125"/>
      <c r="U404" s="125"/>
      <c r="V404" s="125"/>
      <c r="W404" s="125"/>
      <c r="X404" s="125"/>
      <c r="Y404" s="125"/>
      <c r="Z404" s="125"/>
      <c r="AA404" s="125"/>
      <c r="AB404" s="125"/>
      <c r="AC404" s="125"/>
    </row>
    <row r="405" spans="1:29" outlineLevel="1">
      <c r="A405" s="120" t="s">
        <v>896</v>
      </c>
      <c r="B405" s="126" t="s">
        <v>467</v>
      </c>
      <c r="C405" s="125"/>
      <c r="D405" s="265"/>
      <c r="E405" s="120" t="s">
        <v>895</v>
      </c>
      <c r="F405" s="120" t="s">
        <v>753</v>
      </c>
      <c r="G405" s="120" t="s">
        <v>753</v>
      </c>
      <c r="H405" s="120" t="s">
        <v>753</v>
      </c>
      <c r="I405" s="120" t="s">
        <v>753</v>
      </c>
      <c r="J405" s="120" t="s">
        <v>753</v>
      </c>
      <c r="K405" s="120" t="s">
        <v>753</v>
      </c>
      <c r="L405" s="120" t="s">
        <v>753</v>
      </c>
      <c r="M405" s="125"/>
      <c r="N405" s="125"/>
      <c r="O405" s="125"/>
      <c r="P405" s="125"/>
      <c r="Q405" s="125"/>
      <c r="R405" s="125"/>
      <c r="S405" s="125"/>
      <c r="T405" s="125"/>
      <c r="U405" s="125"/>
      <c r="V405" s="125"/>
      <c r="W405" s="125"/>
      <c r="X405" s="125"/>
      <c r="Y405" s="125"/>
      <c r="Z405" s="125"/>
      <c r="AA405" s="125"/>
      <c r="AB405" s="125"/>
      <c r="AC405" s="125"/>
    </row>
    <row r="406" spans="1:29" outlineLevel="1">
      <c r="A406" s="120" t="s">
        <v>894</v>
      </c>
      <c r="B406" s="126" t="s">
        <v>446</v>
      </c>
      <c r="C406" s="125"/>
      <c r="D406" s="265"/>
      <c r="E406" s="120" t="s">
        <v>893</v>
      </c>
      <c r="F406" s="120" t="s">
        <v>753</v>
      </c>
      <c r="G406" s="120" t="s">
        <v>753</v>
      </c>
      <c r="H406" s="120" t="s">
        <v>753</v>
      </c>
      <c r="I406" s="120" t="s">
        <v>753</v>
      </c>
      <c r="J406" s="120" t="s">
        <v>753</v>
      </c>
      <c r="K406" s="120" t="s">
        <v>753</v>
      </c>
      <c r="L406" s="120" t="s">
        <v>753</v>
      </c>
      <c r="M406" s="125"/>
      <c r="N406" s="125"/>
      <c r="O406" s="125"/>
      <c r="P406" s="125"/>
      <c r="Q406" s="125"/>
      <c r="R406" s="125"/>
      <c r="S406" s="125"/>
      <c r="T406" s="125"/>
      <c r="U406" s="125"/>
      <c r="V406" s="125"/>
      <c r="W406" s="125"/>
      <c r="X406" s="125"/>
      <c r="Y406" s="125"/>
      <c r="Z406" s="125"/>
      <c r="AA406" s="125"/>
      <c r="AB406" s="125"/>
      <c r="AC406" s="125"/>
    </row>
    <row r="407" spans="1:29">
      <c r="A407" s="131" t="s">
        <v>892</v>
      </c>
      <c r="B407" s="130"/>
      <c r="C407" s="127"/>
      <c r="D407" s="129"/>
      <c r="E407" s="129"/>
      <c r="F407" s="129"/>
      <c r="G407" s="129"/>
      <c r="H407" s="129"/>
      <c r="I407" s="129"/>
      <c r="J407" s="129"/>
      <c r="K407" s="129"/>
      <c r="L407" s="129"/>
      <c r="M407" s="127"/>
      <c r="N407" s="127"/>
      <c r="O407" s="127"/>
      <c r="P407" s="127"/>
      <c r="Q407" s="127"/>
      <c r="R407" s="127"/>
      <c r="S407" s="127"/>
      <c r="T407" s="127"/>
      <c r="U407" s="127"/>
      <c r="V407" s="127"/>
      <c r="W407" s="127"/>
      <c r="X407" s="127"/>
      <c r="Y407" s="127"/>
      <c r="Z407" s="127"/>
      <c r="AA407" s="127"/>
      <c r="AB407" s="127"/>
      <c r="AC407" s="127"/>
    </row>
    <row r="408" spans="1:29" outlineLevel="1">
      <c r="A408" s="120" t="s">
        <v>891</v>
      </c>
      <c r="B408" s="126" t="s">
        <v>704</v>
      </c>
      <c r="C408" s="125"/>
      <c r="D408" s="120" t="s">
        <v>753</v>
      </c>
      <c r="E408" s="120" t="s">
        <v>3467</v>
      </c>
      <c r="F408" s="120" t="s">
        <v>753</v>
      </c>
      <c r="G408" s="120" t="s">
        <v>753</v>
      </c>
      <c r="H408" s="120" t="s">
        <v>753</v>
      </c>
      <c r="I408" s="120" t="s">
        <v>753</v>
      </c>
      <c r="J408" s="120" t="s">
        <v>753</v>
      </c>
      <c r="K408" s="120" t="s">
        <v>753</v>
      </c>
      <c r="L408" s="120" t="s">
        <v>753</v>
      </c>
      <c r="M408" s="125"/>
      <c r="N408" s="125"/>
      <c r="O408" s="125"/>
      <c r="P408" s="125"/>
      <c r="Q408" s="125"/>
      <c r="R408" s="125"/>
      <c r="S408" s="125"/>
      <c r="T408" s="125"/>
      <c r="U408" s="125"/>
      <c r="V408" s="125"/>
      <c r="W408" s="125"/>
      <c r="X408" s="125"/>
      <c r="Y408" s="125"/>
      <c r="Z408" s="125"/>
      <c r="AA408" s="125"/>
      <c r="AB408" s="125"/>
      <c r="AC408" s="125"/>
    </row>
    <row r="409" spans="1:29" outlineLevel="1">
      <c r="A409" s="120" t="s">
        <v>890</v>
      </c>
      <c r="B409" s="126" t="s">
        <v>691</v>
      </c>
      <c r="C409" s="125"/>
      <c r="D409" s="120" t="s">
        <v>753</v>
      </c>
      <c r="E409" s="120" t="s">
        <v>3467</v>
      </c>
      <c r="F409" s="120" t="s">
        <v>753</v>
      </c>
      <c r="G409" s="120" t="s">
        <v>753</v>
      </c>
      <c r="H409" s="120" t="s">
        <v>753</v>
      </c>
      <c r="I409" s="120" t="s">
        <v>753</v>
      </c>
      <c r="J409" s="120" t="s">
        <v>753</v>
      </c>
      <c r="K409" s="120" t="s">
        <v>753</v>
      </c>
      <c r="L409" s="120" t="s">
        <v>753</v>
      </c>
      <c r="M409" s="125"/>
      <c r="N409" s="125"/>
      <c r="O409" s="125"/>
      <c r="P409" s="125"/>
      <c r="Q409" s="125"/>
      <c r="R409" s="125"/>
      <c r="S409" s="125"/>
      <c r="T409" s="125"/>
      <c r="U409" s="125"/>
      <c r="V409" s="125"/>
      <c r="W409" s="125"/>
      <c r="X409" s="125"/>
      <c r="Y409" s="125"/>
      <c r="Z409" s="125"/>
      <c r="AA409" s="125"/>
      <c r="AB409" s="125"/>
      <c r="AC409" s="125"/>
    </row>
    <row r="410" spans="1:29" outlineLevel="1">
      <c r="A410" s="120" t="s">
        <v>889</v>
      </c>
      <c r="B410" s="126" t="s">
        <v>688</v>
      </c>
      <c r="C410" s="125"/>
      <c r="D410" s="120" t="s">
        <v>753</v>
      </c>
      <c r="E410" s="120" t="s">
        <v>3467</v>
      </c>
      <c r="F410" s="120" t="s">
        <v>753</v>
      </c>
      <c r="G410" s="120" t="s">
        <v>753</v>
      </c>
      <c r="H410" s="120" t="s">
        <v>753</v>
      </c>
      <c r="I410" s="120" t="s">
        <v>753</v>
      </c>
      <c r="J410" s="120" t="s">
        <v>753</v>
      </c>
      <c r="K410" s="120" t="s">
        <v>753</v>
      </c>
      <c r="L410" s="120" t="s">
        <v>753</v>
      </c>
      <c r="M410" s="125"/>
      <c r="N410" s="125"/>
      <c r="O410" s="125"/>
      <c r="P410" s="125"/>
      <c r="Q410" s="125"/>
      <c r="R410" s="125"/>
      <c r="S410" s="125"/>
      <c r="T410" s="125"/>
      <c r="U410" s="125"/>
      <c r="V410" s="125"/>
      <c r="W410" s="125"/>
      <c r="X410" s="125"/>
      <c r="Y410" s="125"/>
      <c r="Z410" s="125"/>
      <c r="AA410" s="125"/>
      <c r="AB410" s="125"/>
      <c r="AC410" s="125"/>
    </row>
    <row r="411" spans="1:29" outlineLevel="1">
      <c r="A411" s="120" t="s">
        <v>888</v>
      </c>
      <c r="B411" s="126" t="s">
        <v>685</v>
      </c>
      <c r="C411" s="125"/>
      <c r="D411" s="120" t="s">
        <v>753</v>
      </c>
      <c r="E411" s="120" t="s">
        <v>3467</v>
      </c>
      <c r="F411" s="120" t="s">
        <v>753</v>
      </c>
      <c r="G411" s="120" t="s">
        <v>753</v>
      </c>
      <c r="H411" s="120" t="s">
        <v>753</v>
      </c>
      <c r="I411" s="120" t="s">
        <v>753</v>
      </c>
      <c r="J411" s="120" t="s">
        <v>753</v>
      </c>
      <c r="K411" s="120" t="s">
        <v>753</v>
      </c>
      <c r="L411" s="120" t="s">
        <v>753</v>
      </c>
      <c r="M411" s="125"/>
      <c r="N411" s="125"/>
      <c r="O411" s="125"/>
      <c r="P411" s="125"/>
      <c r="Q411" s="125"/>
      <c r="R411" s="125"/>
      <c r="S411" s="125"/>
      <c r="T411" s="125"/>
      <c r="U411" s="125"/>
      <c r="V411" s="125"/>
      <c r="W411" s="125"/>
      <c r="X411" s="125"/>
      <c r="Y411" s="125"/>
      <c r="Z411" s="125"/>
      <c r="AA411" s="125"/>
      <c r="AB411" s="125"/>
      <c r="AC411" s="125"/>
    </row>
    <row r="412" spans="1:29" outlineLevel="1">
      <c r="A412" s="120" t="s">
        <v>887</v>
      </c>
      <c r="B412" s="126" t="s">
        <v>682</v>
      </c>
      <c r="C412" s="125"/>
      <c r="D412" s="120" t="s">
        <v>753</v>
      </c>
      <c r="E412" s="120" t="s">
        <v>3467</v>
      </c>
      <c r="F412" s="120" t="s">
        <v>753</v>
      </c>
      <c r="G412" s="120" t="s">
        <v>753</v>
      </c>
      <c r="H412" s="120" t="s">
        <v>753</v>
      </c>
      <c r="I412" s="120" t="s">
        <v>753</v>
      </c>
      <c r="J412" s="120" t="s">
        <v>753</v>
      </c>
      <c r="K412" s="120" t="s">
        <v>753</v>
      </c>
      <c r="L412" s="120" t="s">
        <v>753</v>
      </c>
      <c r="M412" s="125"/>
      <c r="N412" s="125"/>
      <c r="O412" s="125"/>
      <c r="P412" s="125"/>
      <c r="Q412" s="125"/>
      <c r="R412" s="125"/>
      <c r="S412" s="125"/>
      <c r="T412" s="125"/>
      <c r="U412" s="125"/>
      <c r="V412" s="125"/>
      <c r="W412" s="125"/>
      <c r="X412" s="125"/>
      <c r="Y412" s="125"/>
      <c r="Z412" s="125"/>
      <c r="AA412" s="125"/>
      <c r="AB412" s="125"/>
      <c r="AC412" s="125"/>
    </row>
    <row r="413" spans="1:29" outlineLevel="1">
      <c r="A413" s="120" t="s">
        <v>886</v>
      </c>
      <c r="B413" s="126" t="s">
        <v>679</v>
      </c>
      <c r="C413" s="125"/>
      <c r="D413" s="120" t="s">
        <v>753</v>
      </c>
      <c r="E413" s="120" t="s">
        <v>3467</v>
      </c>
      <c r="F413" s="120" t="s">
        <v>753</v>
      </c>
      <c r="G413" s="120" t="s">
        <v>753</v>
      </c>
      <c r="H413" s="120" t="s">
        <v>753</v>
      </c>
      <c r="I413" s="120" t="s">
        <v>753</v>
      </c>
      <c r="J413" s="120" t="s">
        <v>753</v>
      </c>
      <c r="K413" s="120" t="s">
        <v>753</v>
      </c>
      <c r="L413" s="120" t="s">
        <v>753</v>
      </c>
      <c r="M413" s="125"/>
      <c r="N413" s="125"/>
      <c r="O413" s="125"/>
      <c r="P413" s="125"/>
      <c r="Q413" s="125"/>
      <c r="R413" s="125"/>
      <c r="S413" s="125"/>
      <c r="T413" s="125"/>
      <c r="U413" s="125"/>
      <c r="V413" s="125"/>
      <c r="W413" s="125"/>
      <c r="X413" s="125"/>
      <c r="Y413" s="125"/>
      <c r="Z413" s="125"/>
      <c r="AA413" s="125"/>
      <c r="AB413" s="125"/>
      <c r="AC413" s="125"/>
    </row>
    <row r="414" spans="1:29" outlineLevel="1">
      <c r="A414" s="120" t="s">
        <v>885</v>
      </c>
      <c r="B414" s="126" t="s">
        <v>676</v>
      </c>
      <c r="C414" s="125"/>
      <c r="D414" s="120" t="s">
        <v>753</v>
      </c>
      <c r="E414" s="120" t="s">
        <v>3467</v>
      </c>
      <c r="F414" s="120" t="s">
        <v>753</v>
      </c>
      <c r="G414" s="120" t="s">
        <v>753</v>
      </c>
      <c r="H414" s="120" t="s">
        <v>753</v>
      </c>
      <c r="I414" s="120" t="s">
        <v>753</v>
      </c>
      <c r="J414" s="120" t="s">
        <v>753</v>
      </c>
      <c r="K414" s="120" t="s">
        <v>753</v>
      </c>
      <c r="L414" s="120" t="s">
        <v>753</v>
      </c>
      <c r="M414" s="125"/>
      <c r="N414" s="125"/>
      <c r="O414" s="125"/>
      <c r="P414" s="125"/>
      <c r="Q414" s="125"/>
      <c r="R414" s="125"/>
      <c r="S414" s="125"/>
      <c r="T414" s="125"/>
      <c r="U414" s="125"/>
      <c r="V414" s="125"/>
      <c r="W414" s="125"/>
      <c r="X414" s="125"/>
      <c r="Y414" s="125"/>
      <c r="Z414" s="125"/>
      <c r="AA414" s="125"/>
      <c r="AB414" s="125"/>
      <c r="AC414" s="125"/>
    </row>
    <row r="415" spans="1:29" outlineLevel="1">
      <c r="A415" s="120" t="s">
        <v>884</v>
      </c>
      <c r="B415" s="126" t="s">
        <v>674</v>
      </c>
      <c r="C415" s="125"/>
      <c r="D415" s="120" t="s">
        <v>753</v>
      </c>
      <c r="E415" s="120" t="s">
        <v>3467</v>
      </c>
      <c r="F415" s="120" t="s">
        <v>753</v>
      </c>
      <c r="G415" s="120" t="s">
        <v>753</v>
      </c>
      <c r="H415" s="120" t="s">
        <v>753</v>
      </c>
      <c r="I415" s="120" t="s">
        <v>753</v>
      </c>
      <c r="J415" s="120" t="s">
        <v>753</v>
      </c>
      <c r="K415" s="120" t="s">
        <v>753</v>
      </c>
      <c r="L415" s="120" t="s">
        <v>753</v>
      </c>
      <c r="M415" s="125"/>
      <c r="N415" s="125"/>
      <c r="O415" s="125"/>
      <c r="P415" s="125"/>
      <c r="Q415" s="125"/>
      <c r="R415" s="125"/>
      <c r="S415" s="125"/>
      <c r="T415" s="125"/>
      <c r="U415" s="125"/>
      <c r="V415" s="125"/>
      <c r="W415" s="125"/>
      <c r="X415" s="125"/>
      <c r="Y415" s="125"/>
      <c r="Z415" s="125"/>
      <c r="AA415" s="125"/>
      <c r="AB415" s="125"/>
      <c r="AC415" s="125"/>
    </row>
    <row r="416" spans="1:29" outlineLevel="1">
      <c r="A416" s="120" t="s">
        <v>883</v>
      </c>
      <c r="B416" s="126" t="s">
        <v>671</v>
      </c>
      <c r="C416" s="125"/>
      <c r="D416" s="120" t="s">
        <v>753</v>
      </c>
      <c r="E416" s="120" t="s">
        <v>3467</v>
      </c>
      <c r="F416" s="120" t="s">
        <v>753</v>
      </c>
      <c r="G416" s="120" t="s">
        <v>753</v>
      </c>
      <c r="H416" s="120" t="s">
        <v>753</v>
      </c>
      <c r="I416" s="120" t="s">
        <v>753</v>
      </c>
      <c r="J416" s="120" t="s">
        <v>753</v>
      </c>
      <c r="K416" s="120" t="s">
        <v>753</v>
      </c>
      <c r="L416" s="120" t="s">
        <v>753</v>
      </c>
      <c r="M416" s="125"/>
      <c r="N416" s="125"/>
      <c r="O416" s="125"/>
      <c r="P416" s="125"/>
      <c r="Q416" s="125"/>
      <c r="R416" s="125"/>
      <c r="S416" s="125"/>
      <c r="T416" s="125"/>
      <c r="U416" s="125"/>
      <c r="V416" s="125"/>
      <c r="W416" s="125"/>
      <c r="X416" s="125"/>
      <c r="Y416" s="125"/>
      <c r="Z416" s="125"/>
      <c r="AA416" s="125"/>
      <c r="AB416" s="125"/>
      <c r="AC416" s="125"/>
    </row>
    <row r="417" spans="1:29" ht="14.65" customHeight="1" outlineLevel="1">
      <c r="A417" s="120" t="s">
        <v>882</v>
      </c>
      <c r="B417" s="126" t="s">
        <v>666</v>
      </c>
      <c r="C417" s="125"/>
      <c r="D417" s="120" t="s">
        <v>753</v>
      </c>
      <c r="E417" s="120" t="s">
        <v>3467</v>
      </c>
      <c r="F417" s="120" t="s">
        <v>753</v>
      </c>
      <c r="G417" s="120" t="s">
        <v>753</v>
      </c>
      <c r="H417" s="120" t="s">
        <v>753</v>
      </c>
      <c r="I417" s="120" t="s">
        <v>753</v>
      </c>
      <c r="J417" s="120" t="s">
        <v>753</v>
      </c>
      <c r="K417" s="120" t="s">
        <v>753</v>
      </c>
      <c r="L417" s="120" t="s">
        <v>753</v>
      </c>
      <c r="M417" s="125"/>
      <c r="N417" s="125"/>
      <c r="O417" s="125"/>
      <c r="P417" s="125"/>
      <c r="Q417" s="125"/>
      <c r="R417" s="125"/>
      <c r="S417" s="125"/>
      <c r="T417" s="125"/>
      <c r="U417" s="125"/>
      <c r="V417" s="125"/>
      <c r="W417" s="125"/>
      <c r="X417" s="125"/>
      <c r="Y417" s="125"/>
      <c r="Z417" s="125"/>
      <c r="AA417" s="125"/>
      <c r="AB417" s="125"/>
      <c r="AC417" s="125"/>
    </row>
    <row r="418" spans="1:29" outlineLevel="1">
      <c r="A418" s="120" t="s">
        <v>881</v>
      </c>
      <c r="B418" s="126" t="s">
        <v>641</v>
      </c>
      <c r="C418" s="125"/>
      <c r="D418" s="120" t="s">
        <v>753</v>
      </c>
      <c r="E418" s="120" t="s">
        <v>3467</v>
      </c>
      <c r="F418" s="120" t="s">
        <v>753</v>
      </c>
      <c r="G418" s="120" t="s">
        <v>753</v>
      </c>
      <c r="H418" s="120" t="s">
        <v>753</v>
      </c>
      <c r="I418" s="120" t="s">
        <v>753</v>
      </c>
      <c r="J418" s="120" t="s">
        <v>753</v>
      </c>
      <c r="K418" s="120" t="s">
        <v>753</v>
      </c>
      <c r="L418" s="120" t="s">
        <v>753</v>
      </c>
      <c r="M418" s="125"/>
      <c r="N418" s="125"/>
      <c r="O418" s="125"/>
      <c r="P418" s="125"/>
      <c r="Q418" s="125"/>
      <c r="R418" s="125"/>
      <c r="S418" s="125"/>
      <c r="T418" s="125"/>
      <c r="U418" s="125"/>
      <c r="V418" s="125"/>
      <c r="W418" s="125"/>
      <c r="X418" s="125"/>
      <c r="Y418" s="125"/>
      <c r="Z418" s="125"/>
      <c r="AA418" s="125"/>
      <c r="AB418" s="125"/>
      <c r="AC418" s="125"/>
    </row>
    <row r="419" spans="1:29" outlineLevel="1">
      <c r="A419" s="120" t="s">
        <v>880</v>
      </c>
      <c r="B419" s="126" t="s">
        <v>588</v>
      </c>
      <c r="C419" s="125"/>
      <c r="D419" s="120" t="s">
        <v>753</v>
      </c>
      <c r="E419" s="120" t="s">
        <v>3467</v>
      </c>
      <c r="F419" s="120" t="s">
        <v>753</v>
      </c>
      <c r="G419" s="120" t="s">
        <v>753</v>
      </c>
      <c r="H419" s="120" t="s">
        <v>753</v>
      </c>
      <c r="I419" s="120" t="s">
        <v>753</v>
      </c>
      <c r="J419" s="120" t="s">
        <v>753</v>
      </c>
      <c r="K419" s="120" t="s">
        <v>753</v>
      </c>
      <c r="L419" s="120" t="s">
        <v>753</v>
      </c>
      <c r="M419" s="125"/>
      <c r="N419" s="125"/>
      <c r="O419" s="125"/>
      <c r="P419" s="125"/>
      <c r="Q419" s="125"/>
      <c r="R419" s="125"/>
      <c r="S419" s="125"/>
      <c r="T419" s="125"/>
      <c r="U419" s="125"/>
      <c r="V419" s="125"/>
      <c r="W419" s="125"/>
      <c r="X419" s="125"/>
      <c r="Y419" s="125"/>
      <c r="Z419" s="125"/>
      <c r="AA419" s="125"/>
      <c r="AB419" s="125"/>
      <c r="AC419" s="125"/>
    </row>
    <row r="420" spans="1:29" outlineLevel="1">
      <c r="A420" s="120" t="s">
        <v>879</v>
      </c>
      <c r="B420" s="126" t="s">
        <v>551</v>
      </c>
      <c r="C420" s="125"/>
      <c r="D420" s="120" t="s">
        <v>753</v>
      </c>
      <c r="E420" s="120" t="s">
        <v>3467</v>
      </c>
      <c r="F420" s="120" t="s">
        <v>753</v>
      </c>
      <c r="G420" s="120" t="s">
        <v>753</v>
      </c>
      <c r="H420" s="120" t="s">
        <v>753</v>
      </c>
      <c r="I420" s="120" t="s">
        <v>753</v>
      </c>
      <c r="J420" s="120" t="s">
        <v>753</v>
      </c>
      <c r="K420" s="120" t="s">
        <v>753</v>
      </c>
      <c r="L420" s="120" t="s">
        <v>753</v>
      </c>
      <c r="M420" s="125"/>
      <c r="N420" s="125"/>
      <c r="O420" s="125"/>
      <c r="P420" s="125"/>
      <c r="Q420" s="125"/>
      <c r="R420" s="125"/>
      <c r="S420" s="125"/>
      <c r="T420" s="125"/>
      <c r="U420" s="125"/>
      <c r="V420" s="125"/>
      <c r="W420" s="125"/>
      <c r="X420" s="125"/>
      <c r="Y420" s="125"/>
      <c r="Z420" s="125"/>
      <c r="AA420" s="125"/>
      <c r="AB420" s="125"/>
      <c r="AC420" s="125"/>
    </row>
    <row r="421" spans="1:29" outlineLevel="1">
      <c r="A421" s="120" t="s">
        <v>878</v>
      </c>
      <c r="B421" s="126" t="s">
        <v>647</v>
      </c>
      <c r="C421" s="125"/>
      <c r="D421" s="120" t="s">
        <v>753</v>
      </c>
      <c r="E421" s="120" t="s">
        <v>3467</v>
      </c>
      <c r="F421" s="120" t="s">
        <v>753</v>
      </c>
      <c r="G421" s="120" t="s">
        <v>753</v>
      </c>
      <c r="H421" s="120" t="s">
        <v>753</v>
      </c>
      <c r="I421" s="120" t="s">
        <v>753</v>
      </c>
      <c r="J421" s="120" t="s">
        <v>753</v>
      </c>
      <c r="K421" s="120" t="s">
        <v>753</v>
      </c>
      <c r="L421" s="120" t="s">
        <v>753</v>
      </c>
      <c r="M421" s="125"/>
      <c r="N421" s="125"/>
      <c r="O421" s="125"/>
      <c r="P421" s="125"/>
      <c r="Q421" s="125"/>
      <c r="R421" s="125"/>
      <c r="S421" s="125"/>
      <c r="T421" s="125"/>
      <c r="U421" s="125"/>
      <c r="V421" s="125"/>
      <c r="W421" s="125"/>
      <c r="X421" s="125"/>
      <c r="Y421" s="125"/>
      <c r="Z421" s="125"/>
      <c r="AA421" s="125"/>
      <c r="AB421" s="125"/>
      <c r="AC421" s="125"/>
    </row>
    <row r="422" spans="1:29" outlineLevel="1">
      <c r="A422" s="120" t="s">
        <v>877</v>
      </c>
      <c r="B422" s="126" t="s">
        <v>646</v>
      </c>
      <c r="C422" s="125"/>
      <c r="D422" s="120" t="s">
        <v>753</v>
      </c>
      <c r="E422" s="120" t="s">
        <v>3467</v>
      </c>
      <c r="F422" s="120" t="s">
        <v>753</v>
      </c>
      <c r="G422" s="120" t="s">
        <v>753</v>
      </c>
      <c r="H422" s="120" t="s">
        <v>753</v>
      </c>
      <c r="I422" s="120" t="s">
        <v>753</v>
      </c>
      <c r="J422" s="120" t="s">
        <v>753</v>
      </c>
      <c r="K422" s="120" t="s">
        <v>753</v>
      </c>
      <c r="L422" s="120" t="s">
        <v>753</v>
      </c>
      <c r="M422" s="125"/>
      <c r="N422" s="125"/>
      <c r="O422" s="125"/>
      <c r="P422" s="125"/>
      <c r="Q422" s="125"/>
      <c r="R422" s="125"/>
      <c r="S422" s="125"/>
      <c r="T422" s="125"/>
      <c r="U422" s="125"/>
      <c r="V422" s="125"/>
      <c r="W422" s="125"/>
      <c r="X422" s="125"/>
      <c r="Y422" s="125"/>
      <c r="Z422" s="125"/>
      <c r="AA422" s="125"/>
      <c r="AB422" s="125"/>
      <c r="AC422" s="125"/>
    </row>
    <row r="423" spans="1:29" outlineLevel="1">
      <c r="A423" s="120" t="s">
        <v>876</v>
      </c>
      <c r="B423" s="126" t="s">
        <v>645</v>
      </c>
      <c r="C423" s="125"/>
      <c r="D423" s="120" t="s">
        <v>753</v>
      </c>
      <c r="E423" s="120" t="s">
        <v>3467</v>
      </c>
      <c r="F423" s="120" t="s">
        <v>753</v>
      </c>
      <c r="G423" s="120" t="s">
        <v>753</v>
      </c>
      <c r="H423" s="120" t="s">
        <v>753</v>
      </c>
      <c r="I423" s="120" t="s">
        <v>753</v>
      </c>
      <c r="J423" s="120" t="s">
        <v>753</v>
      </c>
      <c r="K423" s="120" t="s">
        <v>753</v>
      </c>
      <c r="L423" s="120" t="s">
        <v>753</v>
      </c>
      <c r="M423" s="125"/>
      <c r="N423" s="125"/>
      <c r="O423" s="125"/>
      <c r="P423" s="125"/>
      <c r="Q423" s="125"/>
      <c r="R423" s="125"/>
      <c r="S423" s="125"/>
      <c r="T423" s="125"/>
      <c r="U423" s="125"/>
      <c r="V423" s="125"/>
      <c r="W423" s="125"/>
      <c r="X423" s="125"/>
      <c r="Y423" s="125"/>
      <c r="Z423" s="125"/>
      <c r="AA423" s="125"/>
      <c r="AB423" s="125"/>
      <c r="AC423" s="125"/>
    </row>
    <row r="424" spans="1:29" outlineLevel="1">
      <c r="A424" s="120" t="s">
        <v>875</v>
      </c>
      <c r="B424" s="126" t="s">
        <v>625</v>
      </c>
      <c r="C424" s="125"/>
      <c r="D424" s="120" t="s">
        <v>753</v>
      </c>
      <c r="E424" s="120" t="s">
        <v>3467</v>
      </c>
      <c r="F424" s="120" t="s">
        <v>753</v>
      </c>
      <c r="G424" s="120" t="s">
        <v>753</v>
      </c>
      <c r="H424" s="120" t="s">
        <v>753</v>
      </c>
      <c r="I424" s="120" t="s">
        <v>753</v>
      </c>
      <c r="J424" s="120" t="s">
        <v>753</v>
      </c>
      <c r="K424" s="120" t="s">
        <v>753</v>
      </c>
      <c r="L424" s="120" t="s">
        <v>753</v>
      </c>
      <c r="M424" s="125"/>
      <c r="N424" s="125"/>
      <c r="O424" s="125"/>
      <c r="P424" s="125"/>
      <c r="Q424" s="125"/>
      <c r="R424" s="125"/>
      <c r="S424" s="125"/>
      <c r="T424" s="125"/>
      <c r="U424" s="125"/>
      <c r="V424" s="125"/>
      <c r="W424" s="125"/>
      <c r="X424" s="125"/>
      <c r="Y424" s="125"/>
      <c r="Z424" s="125"/>
      <c r="AA424" s="125"/>
      <c r="AB424" s="125"/>
      <c r="AC424" s="125"/>
    </row>
    <row r="425" spans="1:29" outlineLevel="1">
      <c r="A425" s="120" t="s">
        <v>874</v>
      </c>
      <c r="B425" s="126" t="s">
        <v>597</v>
      </c>
      <c r="C425" s="125"/>
      <c r="D425" s="120" t="s">
        <v>753</v>
      </c>
      <c r="E425" s="120" t="s">
        <v>3467</v>
      </c>
      <c r="F425" s="120" t="s">
        <v>753</v>
      </c>
      <c r="G425" s="120" t="s">
        <v>753</v>
      </c>
      <c r="H425" s="120" t="s">
        <v>753</v>
      </c>
      <c r="I425" s="120" t="s">
        <v>753</v>
      </c>
      <c r="J425" s="120" t="s">
        <v>753</v>
      </c>
      <c r="K425" s="120" t="s">
        <v>753</v>
      </c>
      <c r="L425" s="120" t="s">
        <v>753</v>
      </c>
      <c r="M425" s="125"/>
      <c r="N425" s="125"/>
      <c r="O425" s="125"/>
      <c r="P425" s="125"/>
      <c r="Q425" s="125"/>
      <c r="R425" s="125"/>
      <c r="S425" s="125"/>
      <c r="T425" s="125"/>
      <c r="U425" s="125"/>
      <c r="V425" s="125"/>
      <c r="W425" s="125"/>
      <c r="X425" s="125"/>
      <c r="Y425" s="125"/>
      <c r="Z425" s="125"/>
      <c r="AA425" s="125"/>
      <c r="AB425" s="125"/>
      <c r="AC425" s="125"/>
    </row>
    <row r="426" spans="1:29" outlineLevel="1">
      <c r="A426" s="120" t="s">
        <v>873</v>
      </c>
      <c r="B426" s="126" t="s">
        <v>596</v>
      </c>
      <c r="C426" s="125"/>
      <c r="D426" s="120" t="s">
        <v>753</v>
      </c>
      <c r="E426" s="120" t="s">
        <v>3467</v>
      </c>
      <c r="F426" s="120" t="s">
        <v>753</v>
      </c>
      <c r="G426" s="120" t="s">
        <v>753</v>
      </c>
      <c r="H426" s="120" t="s">
        <v>753</v>
      </c>
      <c r="I426" s="120" t="s">
        <v>753</v>
      </c>
      <c r="J426" s="120" t="s">
        <v>753</v>
      </c>
      <c r="K426" s="120" t="s">
        <v>753</v>
      </c>
      <c r="L426" s="120" t="s">
        <v>753</v>
      </c>
      <c r="M426" s="125"/>
      <c r="N426" s="125"/>
      <c r="O426" s="125"/>
      <c r="P426" s="125"/>
      <c r="Q426" s="125"/>
      <c r="R426" s="125"/>
      <c r="S426" s="125"/>
      <c r="T426" s="125"/>
      <c r="U426" s="125"/>
      <c r="V426" s="125"/>
      <c r="W426" s="125"/>
      <c r="X426" s="125"/>
      <c r="Y426" s="125"/>
      <c r="Z426" s="125"/>
      <c r="AA426" s="125"/>
      <c r="AB426" s="125"/>
      <c r="AC426" s="125"/>
    </row>
    <row r="427" spans="1:29" outlineLevel="1">
      <c r="A427" s="120" t="s">
        <v>872</v>
      </c>
      <c r="B427" s="126" t="s">
        <v>595</v>
      </c>
      <c r="C427" s="125"/>
      <c r="D427" s="120" t="s">
        <v>753</v>
      </c>
      <c r="E427" s="120" t="s">
        <v>3467</v>
      </c>
      <c r="F427" s="120" t="s">
        <v>753</v>
      </c>
      <c r="G427" s="120" t="s">
        <v>753</v>
      </c>
      <c r="H427" s="120" t="s">
        <v>753</v>
      </c>
      <c r="I427" s="120" t="s">
        <v>753</v>
      </c>
      <c r="J427" s="120" t="s">
        <v>753</v>
      </c>
      <c r="K427" s="120" t="s">
        <v>753</v>
      </c>
      <c r="L427" s="120" t="s">
        <v>753</v>
      </c>
      <c r="M427" s="125"/>
      <c r="N427" s="125"/>
      <c r="O427" s="125"/>
      <c r="P427" s="125"/>
      <c r="Q427" s="125"/>
      <c r="R427" s="125"/>
      <c r="S427" s="125"/>
      <c r="T427" s="125"/>
      <c r="U427" s="125"/>
      <c r="V427" s="125"/>
      <c r="W427" s="125"/>
      <c r="X427" s="125"/>
      <c r="Y427" s="125"/>
      <c r="Z427" s="125"/>
      <c r="AA427" s="125"/>
      <c r="AB427" s="125"/>
      <c r="AC427" s="125"/>
    </row>
    <row r="428" spans="1:29" outlineLevel="1">
      <c r="A428" s="120" t="s">
        <v>871</v>
      </c>
      <c r="B428" s="126" t="s">
        <v>594</v>
      </c>
      <c r="C428" s="125"/>
      <c r="D428" s="120" t="s">
        <v>753</v>
      </c>
      <c r="E428" s="120" t="s">
        <v>3467</v>
      </c>
      <c r="F428" s="120" t="s">
        <v>753</v>
      </c>
      <c r="G428" s="120" t="s">
        <v>753</v>
      </c>
      <c r="H428" s="120" t="s">
        <v>753</v>
      </c>
      <c r="I428" s="120" t="s">
        <v>753</v>
      </c>
      <c r="J428" s="120" t="s">
        <v>753</v>
      </c>
      <c r="K428" s="120" t="s">
        <v>753</v>
      </c>
      <c r="L428" s="120" t="s">
        <v>753</v>
      </c>
      <c r="M428" s="125"/>
      <c r="N428" s="125"/>
      <c r="O428" s="125"/>
      <c r="P428" s="125"/>
      <c r="Q428" s="125"/>
      <c r="R428" s="125"/>
      <c r="S428" s="125"/>
      <c r="T428" s="125"/>
      <c r="U428" s="125"/>
      <c r="V428" s="125"/>
      <c r="W428" s="125"/>
      <c r="X428" s="125"/>
      <c r="Y428" s="125"/>
      <c r="Z428" s="125"/>
      <c r="AA428" s="125"/>
      <c r="AB428" s="125"/>
      <c r="AC428" s="125"/>
    </row>
    <row r="429" spans="1:29" outlineLevel="1">
      <c r="A429" s="120" t="s">
        <v>870</v>
      </c>
      <c r="B429" s="126" t="s">
        <v>592</v>
      </c>
      <c r="C429" s="125"/>
      <c r="D429" s="120" t="s">
        <v>753</v>
      </c>
      <c r="E429" s="120" t="s">
        <v>3467</v>
      </c>
      <c r="F429" s="120" t="s">
        <v>753</v>
      </c>
      <c r="G429" s="120" t="s">
        <v>753</v>
      </c>
      <c r="H429" s="120" t="s">
        <v>753</v>
      </c>
      <c r="I429" s="120" t="s">
        <v>753</v>
      </c>
      <c r="J429" s="120" t="s">
        <v>753</v>
      </c>
      <c r="K429" s="120" t="s">
        <v>753</v>
      </c>
      <c r="L429" s="120" t="s">
        <v>753</v>
      </c>
      <c r="M429" s="125"/>
      <c r="N429" s="125"/>
      <c r="O429" s="125"/>
      <c r="P429" s="125"/>
      <c r="Q429" s="125"/>
      <c r="R429" s="125"/>
      <c r="S429" s="125"/>
      <c r="T429" s="125"/>
      <c r="U429" s="125"/>
      <c r="V429" s="125"/>
      <c r="W429" s="125"/>
      <c r="X429" s="125"/>
      <c r="Y429" s="125"/>
      <c r="Z429" s="125"/>
      <c r="AA429" s="125"/>
      <c r="AB429" s="125"/>
      <c r="AC429" s="125"/>
    </row>
    <row r="430" spans="1:29" outlineLevel="1">
      <c r="A430" s="120" t="s">
        <v>869</v>
      </c>
      <c r="B430" s="126" t="s">
        <v>589</v>
      </c>
      <c r="C430" s="125"/>
      <c r="D430" s="120" t="s">
        <v>753</v>
      </c>
      <c r="E430" s="120" t="s">
        <v>3467</v>
      </c>
      <c r="F430" s="120" t="s">
        <v>753</v>
      </c>
      <c r="G430" s="120" t="s">
        <v>753</v>
      </c>
      <c r="H430" s="120" t="s">
        <v>753</v>
      </c>
      <c r="I430" s="120" t="s">
        <v>753</v>
      </c>
      <c r="J430" s="120" t="s">
        <v>753</v>
      </c>
      <c r="K430" s="120" t="s">
        <v>753</v>
      </c>
      <c r="L430" s="120" t="s">
        <v>753</v>
      </c>
      <c r="M430" s="125"/>
      <c r="N430" s="125"/>
      <c r="O430" s="125"/>
      <c r="P430" s="125"/>
      <c r="Q430" s="125"/>
      <c r="R430" s="125"/>
      <c r="S430" s="125"/>
      <c r="T430" s="125"/>
      <c r="U430" s="125"/>
      <c r="V430" s="125"/>
      <c r="W430" s="125"/>
      <c r="X430" s="125"/>
      <c r="Y430" s="125"/>
      <c r="Z430" s="125"/>
      <c r="AA430" s="125"/>
      <c r="AB430" s="125"/>
      <c r="AC430" s="125"/>
    </row>
    <row r="431" spans="1:29" outlineLevel="1">
      <c r="A431" s="120" t="s">
        <v>868</v>
      </c>
      <c r="B431" s="126" t="s">
        <v>574</v>
      </c>
      <c r="C431" s="125"/>
      <c r="D431" s="120" t="s">
        <v>753</v>
      </c>
      <c r="E431" s="120" t="s">
        <v>3467</v>
      </c>
      <c r="F431" s="120" t="s">
        <v>753</v>
      </c>
      <c r="G431" s="120" t="s">
        <v>753</v>
      </c>
      <c r="H431" s="120" t="s">
        <v>753</v>
      </c>
      <c r="I431" s="120" t="s">
        <v>753</v>
      </c>
      <c r="J431" s="120" t="s">
        <v>753</v>
      </c>
      <c r="K431" s="120" t="s">
        <v>753</v>
      </c>
      <c r="L431" s="120" t="s">
        <v>753</v>
      </c>
      <c r="M431" s="125"/>
      <c r="N431" s="125"/>
      <c r="O431" s="125"/>
      <c r="P431" s="125"/>
      <c r="Q431" s="125"/>
      <c r="R431" s="125"/>
      <c r="S431" s="125"/>
      <c r="T431" s="125"/>
      <c r="U431" s="125"/>
      <c r="V431" s="125"/>
      <c r="W431" s="125"/>
      <c r="X431" s="125"/>
      <c r="Y431" s="125"/>
      <c r="Z431" s="125"/>
      <c r="AA431" s="125"/>
      <c r="AB431" s="125"/>
      <c r="AC431" s="125"/>
    </row>
    <row r="432" spans="1:29" outlineLevel="1">
      <c r="A432" s="120" t="s">
        <v>867</v>
      </c>
      <c r="B432" s="126" t="s">
        <v>571</v>
      </c>
      <c r="C432" s="125"/>
      <c r="D432" s="120" t="s">
        <v>753</v>
      </c>
      <c r="E432" s="120" t="s">
        <v>3467</v>
      </c>
      <c r="F432" s="120" t="s">
        <v>753</v>
      </c>
      <c r="G432" s="120" t="s">
        <v>753</v>
      </c>
      <c r="H432" s="120" t="s">
        <v>753</v>
      </c>
      <c r="I432" s="120" t="s">
        <v>753</v>
      </c>
      <c r="J432" s="120" t="s">
        <v>753</v>
      </c>
      <c r="K432" s="120" t="s">
        <v>753</v>
      </c>
      <c r="L432" s="120" t="s">
        <v>753</v>
      </c>
      <c r="M432" s="125"/>
      <c r="N432" s="125"/>
      <c r="O432" s="125"/>
      <c r="P432" s="125"/>
      <c r="Q432" s="125"/>
      <c r="R432" s="125"/>
      <c r="S432" s="125"/>
      <c r="T432" s="125"/>
      <c r="U432" s="125"/>
      <c r="V432" s="125"/>
      <c r="W432" s="125"/>
      <c r="X432" s="125"/>
      <c r="Y432" s="125"/>
      <c r="Z432" s="125"/>
      <c r="AA432" s="125"/>
      <c r="AB432" s="125"/>
      <c r="AC432" s="125"/>
    </row>
    <row r="433" spans="1:29" outlineLevel="1">
      <c r="A433" s="120" t="s">
        <v>866</v>
      </c>
      <c r="B433" s="126" t="s">
        <v>530</v>
      </c>
      <c r="C433" s="125"/>
      <c r="D433" s="120" t="s">
        <v>753</v>
      </c>
      <c r="E433" s="120" t="s">
        <v>3467</v>
      </c>
      <c r="F433" s="120" t="s">
        <v>753</v>
      </c>
      <c r="G433" s="120" t="s">
        <v>753</v>
      </c>
      <c r="H433" s="120" t="s">
        <v>753</v>
      </c>
      <c r="I433" s="120" t="s">
        <v>753</v>
      </c>
      <c r="J433" s="120" t="s">
        <v>753</v>
      </c>
      <c r="K433" s="120" t="s">
        <v>753</v>
      </c>
      <c r="L433" s="120" t="s">
        <v>753</v>
      </c>
      <c r="M433" s="125"/>
      <c r="N433" s="125"/>
      <c r="O433" s="125"/>
      <c r="P433" s="125"/>
      <c r="Q433" s="125"/>
      <c r="R433" s="125"/>
      <c r="S433" s="125"/>
      <c r="T433" s="125"/>
      <c r="U433" s="125"/>
      <c r="V433" s="125"/>
      <c r="W433" s="125"/>
      <c r="X433" s="125"/>
      <c r="Y433" s="125"/>
      <c r="Z433" s="125"/>
      <c r="AA433" s="125"/>
      <c r="AB433" s="125"/>
      <c r="AC433" s="125"/>
    </row>
    <row r="434" spans="1:29" outlineLevel="1">
      <c r="A434" s="120" t="s">
        <v>865</v>
      </c>
      <c r="B434" s="126" t="s">
        <v>527</v>
      </c>
      <c r="C434" s="125"/>
      <c r="D434" s="120" t="s">
        <v>753</v>
      </c>
      <c r="E434" s="120" t="s">
        <v>3467</v>
      </c>
      <c r="F434" s="120" t="s">
        <v>753</v>
      </c>
      <c r="G434" s="120" t="s">
        <v>753</v>
      </c>
      <c r="H434" s="120" t="s">
        <v>753</v>
      </c>
      <c r="I434" s="120" t="s">
        <v>753</v>
      </c>
      <c r="J434" s="120" t="s">
        <v>753</v>
      </c>
      <c r="K434" s="120" t="s">
        <v>753</v>
      </c>
      <c r="L434" s="120" t="s">
        <v>753</v>
      </c>
      <c r="M434" s="125"/>
      <c r="N434" s="125"/>
      <c r="O434" s="125"/>
      <c r="P434" s="125"/>
      <c r="Q434" s="125"/>
      <c r="R434" s="125"/>
      <c r="S434" s="125"/>
      <c r="T434" s="125"/>
      <c r="U434" s="125"/>
      <c r="V434" s="125"/>
      <c r="W434" s="125"/>
      <c r="X434" s="125"/>
      <c r="Y434" s="125"/>
      <c r="Z434" s="125"/>
      <c r="AA434" s="125"/>
      <c r="AB434" s="125"/>
      <c r="AC434" s="125"/>
    </row>
    <row r="435" spans="1:29" outlineLevel="1">
      <c r="A435" s="120" t="s">
        <v>864</v>
      </c>
      <c r="B435" s="126" t="s">
        <v>560</v>
      </c>
      <c r="C435" s="125"/>
      <c r="D435" s="120" t="s">
        <v>753</v>
      </c>
      <c r="E435" s="120" t="s">
        <v>3467</v>
      </c>
      <c r="F435" s="120" t="s">
        <v>753</v>
      </c>
      <c r="G435" s="120" t="s">
        <v>753</v>
      </c>
      <c r="H435" s="120" t="s">
        <v>753</v>
      </c>
      <c r="I435" s="120" t="s">
        <v>753</v>
      </c>
      <c r="J435" s="120" t="s">
        <v>753</v>
      </c>
      <c r="K435" s="120" t="s">
        <v>753</v>
      </c>
      <c r="L435" s="120" t="s">
        <v>753</v>
      </c>
      <c r="M435" s="125"/>
      <c r="N435" s="125"/>
      <c r="O435" s="125"/>
      <c r="P435" s="125"/>
      <c r="Q435" s="125"/>
      <c r="R435" s="125"/>
      <c r="S435" s="125"/>
      <c r="T435" s="125"/>
      <c r="U435" s="125"/>
      <c r="V435" s="125"/>
      <c r="W435" s="125"/>
      <c r="X435" s="125"/>
      <c r="Y435" s="125"/>
      <c r="Z435" s="125"/>
      <c r="AA435" s="125"/>
      <c r="AB435" s="125"/>
      <c r="AC435" s="125"/>
    </row>
    <row r="436" spans="1:29" outlineLevel="1">
      <c r="A436" s="120" t="s">
        <v>863</v>
      </c>
      <c r="B436" s="126" t="s">
        <v>559</v>
      </c>
      <c r="C436" s="125"/>
      <c r="D436" s="120" t="s">
        <v>753</v>
      </c>
      <c r="E436" s="120" t="s">
        <v>3467</v>
      </c>
      <c r="F436" s="120" t="s">
        <v>753</v>
      </c>
      <c r="G436" s="120" t="s">
        <v>753</v>
      </c>
      <c r="H436" s="120" t="s">
        <v>753</v>
      </c>
      <c r="I436" s="120" t="s">
        <v>753</v>
      </c>
      <c r="J436" s="120" t="s">
        <v>753</v>
      </c>
      <c r="K436" s="120" t="s">
        <v>753</v>
      </c>
      <c r="L436" s="120" t="s">
        <v>753</v>
      </c>
      <c r="M436" s="125"/>
      <c r="N436" s="125"/>
      <c r="O436" s="125"/>
      <c r="P436" s="125"/>
      <c r="Q436" s="125"/>
      <c r="R436" s="125"/>
      <c r="S436" s="125"/>
      <c r="T436" s="125"/>
      <c r="U436" s="125"/>
      <c r="V436" s="125"/>
      <c r="W436" s="125"/>
      <c r="X436" s="125"/>
      <c r="Y436" s="125"/>
      <c r="Z436" s="125"/>
      <c r="AA436" s="125"/>
      <c r="AB436" s="125"/>
      <c r="AC436" s="125"/>
    </row>
    <row r="437" spans="1:29" outlineLevel="1">
      <c r="A437" s="120" t="s">
        <v>862</v>
      </c>
      <c r="B437" s="126" t="s">
        <v>553</v>
      </c>
      <c r="C437" s="125"/>
      <c r="D437" s="120" t="s">
        <v>753</v>
      </c>
      <c r="E437" s="120" t="s">
        <v>3467</v>
      </c>
      <c r="F437" s="120" t="s">
        <v>753</v>
      </c>
      <c r="G437" s="120" t="s">
        <v>753</v>
      </c>
      <c r="H437" s="120" t="s">
        <v>753</v>
      </c>
      <c r="I437" s="120" t="s">
        <v>753</v>
      </c>
      <c r="J437" s="120" t="s">
        <v>753</v>
      </c>
      <c r="K437" s="120" t="s">
        <v>753</v>
      </c>
      <c r="L437" s="120" t="s">
        <v>753</v>
      </c>
      <c r="M437" s="125"/>
      <c r="N437" s="125"/>
      <c r="O437" s="125"/>
      <c r="P437" s="125"/>
      <c r="Q437" s="125"/>
      <c r="R437" s="125"/>
      <c r="S437" s="125"/>
      <c r="T437" s="125"/>
      <c r="U437" s="125"/>
      <c r="V437" s="125"/>
      <c r="W437" s="125"/>
      <c r="X437" s="125"/>
      <c r="Y437" s="125"/>
      <c r="Z437" s="125"/>
      <c r="AA437" s="125"/>
      <c r="AB437" s="125"/>
      <c r="AC437" s="125"/>
    </row>
    <row r="438" spans="1:29" outlineLevel="1">
      <c r="A438" s="120" t="s">
        <v>861</v>
      </c>
      <c r="B438" s="126" t="s">
        <v>537</v>
      </c>
      <c r="C438" s="125"/>
      <c r="D438" s="120" t="s">
        <v>753</v>
      </c>
      <c r="E438" s="120" t="s">
        <v>3467</v>
      </c>
      <c r="F438" s="120" t="s">
        <v>753</v>
      </c>
      <c r="G438" s="120" t="s">
        <v>753</v>
      </c>
      <c r="H438" s="120" t="s">
        <v>753</v>
      </c>
      <c r="I438" s="120" t="s">
        <v>753</v>
      </c>
      <c r="J438" s="120" t="s">
        <v>753</v>
      </c>
      <c r="K438" s="120" t="s">
        <v>753</v>
      </c>
      <c r="L438" s="120" t="s">
        <v>753</v>
      </c>
      <c r="M438" s="125"/>
      <c r="N438" s="125"/>
      <c r="O438" s="125"/>
      <c r="P438" s="125"/>
      <c r="Q438" s="125"/>
      <c r="R438" s="125"/>
      <c r="S438" s="125"/>
      <c r="T438" s="125"/>
      <c r="U438" s="125"/>
      <c r="V438" s="125"/>
      <c r="W438" s="125"/>
      <c r="X438" s="125"/>
      <c r="Y438" s="125"/>
      <c r="Z438" s="125"/>
      <c r="AA438" s="125"/>
      <c r="AB438" s="125"/>
      <c r="AC438" s="125"/>
    </row>
    <row r="439" spans="1:29" outlineLevel="1">
      <c r="A439" s="120" t="s">
        <v>860</v>
      </c>
      <c r="B439" s="126" t="s">
        <v>536</v>
      </c>
      <c r="C439" s="125"/>
      <c r="D439" s="120" t="s">
        <v>753</v>
      </c>
      <c r="E439" s="120" t="s">
        <v>3467</v>
      </c>
      <c r="F439" s="120" t="s">
        <v>753</v>
      </c>
      <c r="G439" s="120" t="s">
        <v>753</v>
      </c>
      <c r="H439" s="120" t="s">
        <v>753</v>
      </c>
      <c r="I439" s="120" t="s">
        <v>753</v>
      </c>
      <c r="J439" s="120" t="s">
        <v>753</v>
      </c>
      <c r="K439" s="120" t="s">
        <v>753</v>
      </c>
      <c r="L439" s="120" t="s">
        <v>753</v>
      </c>
      <c r="M439" s="125"/>
      <c r="N439" s="125"/>
      <c r="O439" s="125"/>
      <c r="P439" s="125"/>
      <c r="Q439" s="125"/>
      <c r="R439" s="125"/>
      <c r="S439" s="125"/>
      <c r="T439" s="125"/>
      <c r="U439" s="125"/>
      <c r="V439" s="125"/>
      <c r="W439" s="125"/>
      <c r="X439" s="125"/>
      <c r="Y439" s="125"/>
      <c r="Z439" s="125"/>
      <c r="AA439" s="125"/>
      <c r="AB439" s="125"/>
      <c r="AC439" s="125"/>
    </row>
    <row r="440" spans="1:29" outlineLevel="1">
      <c r="A440" s="120" t="s">
        <v>859</v>
      </c>
      <c r="B440" s="126" t="s">
        <v>534</v>
      </c>
      <c r="C440" s="125"/>
      <c r="D440" s="120" t="s">
        <v>753</v>
      </c>
      <c r="E440" s="120" t="s">
        <v>3467</v>
      </c>
      <c r="F440" s="120" t="s">
        <v>753</v>
      </c>
      <c r="G440" s="120" t="s">
        <v>753</v>
      </c>
      <c r="H440" s="120" t="s">
        <v>753</v>
      </c>
      <c r="I440" s="120" t="s">
        <v>753</v>
      </c>
      <c r="J440" s="120" t="s">
        <v>753</v>
      </c>
      <c r="K440" s="120" t="s">
        <v>753</v>
      </c>
      <c r="L440" s="120" t="s">
        <v>753</v>
      </c>
      <c r="M440" s="125"/>
      <c r="N440" s="125"/>
      <c r="O440" s="125"/>
      <c r="P440" s="125"/>
      <c r="Q440" s="125"/>
      <c r="R440" s="125"/>
      <c r="S440" s="125"/>
      <c r="T440" s="125"/>
      <c r="U440" s="125"/>
      <c r="V440" s="125"/>
      <c r="W440" s="125"/>
      <c r="X440" s="125"/>
      <c r="Y440" s="125"/>
      <c r="Z440" s="125"/>
      <c r="AA440" s="125"/>
      <c r="AB440" s="125"/>
      <c r="AC440" s="125"/>
    </row>
    <row r="441" spans="1:29" outlineLevel="1">
      <c r="A441" s="120" t="s">
        <v>858</v>
      </c>
      <c r="B441" s="126" t="s">
        <v>533</v>
      </c>
      <c r="C441" s="125"/>
      <c r="D441" s="120" t="s">
        <v>753</v>
      </c>
      <c r="E441" s="120" t="s">
        <v>3467</v>
      </c>
      <c r="F441" s="120" t="s">
        <v>753</v>
      </c>
      <c r="G441" s="120" t="s">
        <v>753</v>
      </c>
      <c r="H441" s="120" t="s">
        <v>753</v>
      </c>
      <c r="I441" s="120" t="s">
        <v>753</v>
      </c>
      <c r="J441" s="120" t="s">
        <v>753</v>
      </c>
      <c r="K441" s="120" t="s">
        <v>753</v>
      </c>
      <c r="L441" s="120" t="s">
        <v>753</v>
      </c>
      <c r="M441" s="125"/>
      <c r="N441" s="125"/>
      <c r="O441" s="125"/>
      <c r="P441" s="125"/>
      <c r="Q441" s="125"/>
      <c r="R441" s="125"/>
      <c r="S441" s="125"/>
      <c r="T441" s="125"/>
      <c r="U441" s="125"/>
      <c r="V441" s="125"/>
      <c r="W441" s="125"/>
      <c r="X441" s="125"/>
      <c r="Y441" s="125"/>
      <c r="Z441" s="125"/>
      <c r="AA441" s="125"/>
      <c r="AB441" s="125"/>
      <c r="AC441" s="125"/>
    </row>
    <row r="442" spans="1:29" outlineLevel="1">
      <c r="A442" s="120" t="s">
        <v>857</v>
      </c>
      <c r="B442" s="126" t="s">
        <v>514</v>
      </c>
      <c r="C442" s="125"/>
      <c r="D442" s="120" t="s">
        <v>753</v>
      </c>
      <c r="E442" s="120" t="s">
        <v>3467</v>
      </c>
      <c r="F442" s="120" t="s">
        <v>753</v>
      </c>
      <c r="G442" s="120" t="s">
        <v>753</v>
      </c>
      <c r="H442" s="120" t="s">
        <v>753</v>
      </c>
      <c r="I442" s="120" t="s">
        <v>753</v>
      </c>
      <c r="J442" s="120" t="s">
        <v>753</v>
      </c>
      <c r="K442" s="120" t="s">
        <v>753</v>
      </c>
      <c r="L442" s="120" t="s">
        <v>753</v>
      </c>
      <c r="M442" s="125"/>
      <c r="N442" s="125"/>
      <c r="O442" s="125"/>
      <c r="P442" s="125"/>
      <c r="Q442" s="125"/>
      <c r="R442" s="125"/>
      <c r="S442" s="125"/>
      <c r="T442" s="125"/>
      <c r="U442" s="125"/>
      <c r="V442" s="125"/>
      <c r="W442" s="125"/>
      <c r="X442" s="125"/>
      <c r="Y442" s="125"/>
      <c r="Z442" s="125"/>
      <c r="AA442" s="125"/>
      <c r="AB442" s="125"/>
      <c r="AC442" s="125"/>
    </row>
    <row r="443" spans="1:29" outlineLevel="1">
      <c r="A443" s="120" t="s">
        <v>856</v>
      </c>
      <c r="B443" s="126" t="s">
        <v>513</v>
      </c>
      <c r="C443" s="125"/>
      <c r="D443" s="120" t="s">
        <v>753</v>
      </c>
      <c r="E443" s="120" t="s">
        <v>3467</v>
      </c>
      <c r="F443" s="120" t="s">
        <v>753</v>
      </c>
      <c r="G443" s="120" t="s">
        <v>753</v>
      </c>
      <c r="H443" s="120" t="s">
        <v>753</v>
      </c>
      <c r="I443" s="120" t="s">
        <v>753</v>
      </c>
      <c r="J443" s="120" t="s">
        <v>753</v>
      </c>
      <c r="K443" s="120" t="s">
        <v>753</v>
      </c>
      <c r="L443" s="120" t="s">
        <v>753</v>
      </c>
      <c r="M443" s="125"/>
      <c r="N443" s="125"/>
      <c r="O443" s="125"/>
      <c r="P443" s="125"/>
      <c r="Q443" s="125"/>
      <c r="R443" s="125"/>
      <c r="S443" s="125"/>
      <c r="T443" s="125"/>
      <c r="U443" s="125"/>
      <c r="V443" s="125"/>
      <c r="W443" s="125"/>
      <c r="X443" s="125"/>
      <c r="Y443" s="125"/>
      <c r="Z443" s="125"/>
      <c r="AA443" s="125"/>
      <c r="AB443" s="125"/>
      <c r="AC443" s="125"/>
    </row>
    <row r="444" spans="1:29" outlineLevel="1">
      <c r="A444" s="120" t="s">
        <v>855</v>
      </c>
      <c r="B444" s="126" t="s">
        <v>512</v>
      </c>
      <c r="C444" s="125"/>
      <c r="D444" s="120" t="s">
        <v>753</v>
      </c>
      <c r="E444" s="120" t="s">
        <v>3467</v>
      </c>
      <c r="F444" s="120" t="s">
        <v>753</v>
      </c>
      <c r="G444" s="120" t="s">
        <v>753</v>
      </c>
      <c r="H444" s="120" t="s">
        <v>753</v>
      </c>
      <c r="I444" s="120" t="s">
        <v>753</v>
      </c>
      <c r="J444" s="120" t="s">
        <v>753</v>
      </c>
      <c r="K444" s="120" t="s">
        <v>753</v>
      </c>
      <c r="L444" s="120" t="s">
        <v>753</v>
      </c>
      <c r="M444" s="125"/>
      <c r="N444" s="125"/>
      <c r="O444" s="125"/>
      <c r="P444" s="125"/>
      <c r="Q444" s="125"/>
      <c r="R444" s="125"/>
      <c r="S444" s="125"/>
      <c r="T444" s="125"/>
      <c r="U444" s="125"/>
      <c r="V444" s="125"/>
      <c r="W444" s="125"/>
      <c r="X444" s="125"/>
      <c r="Y444" s="125"/>
      <c r="Z444" s="125"/>
      <c r="AA444" s="125"/>
      <c r="AB444" s="125"/>
      <c r="AC444" s="125"/>
    </row>
    <row r="445" spans="1:29" outlineLevel="1">
      <c r="A445" s="120" t="s">
        <v>854</v>
      </c>
      <c r="B445" s="126" t="s">
        <v>511</v>
      </c>
      <c r="C445" s="125"/>
      <c r="D445" s="120" t="s">
        <v>753</v>
      </c>
      <c r="E445" s="120" t="s">
        <v>3467</v>
      </c>
      <c r="F445" s="120" t="s">
        <v>753</v>
      </c>
      <c r="G445" s="120" t="s">
        <v>753</v>
      </c>
      <c r="H445" s="120" t="s">
        <v>753</v>
      </c>
      <c r="I445" s="120" t="s">
        <v>753</v>
      </c>
      <c r="J445" s="120" t="s">
        <v>753</v>
      </c>
      <c r="K445" s="120" t="s">
        <v>753</v>
      </c>
      <c r="L445" s="120" t="s">
        <v>753</v>
      </c>
      <c r="M445" s="125"/>
      <c r="N445" s="125"/>
      <c r="O445" s="125"/>
      <c r="P445" s="125"/>
      <c r="Q445" s="125"/>
      <c r="R445" s="125"/>
      <c r="S445" s="125"/>
      <c r="T445" s="125"/>
      <c r="U445" s="125"/>
      <c r="V445" s="125"/>
      <c r="W445" s="125"/>
      <c r="X445" s="125"/>
      <c r="Y445" s="125"/>
      <c r="Z445" s="125"/>
      <c r="AA445" s="125"/>
      <c r="AB445" s="125"/>
      <c r="AC445" s="125"/>
    </row>
    <row r="446" spans="1:29" outlineLevel="1">
      <c r="A446" s="120" t="s">
        <v>853</v>
      </c>
      <c r="B446" s="126" t="s">
        <v>508</v>
      </c>
      <c r="C446" s="125"/>
      <c r="D446" s="120" t="s">
        <v>753</v>
      </c>
      <c r="E446" s="120" t="s">
        <v>3467</v>
      </c>
      <c r="F446" s="120" t="s">
        <v>753</v>
      </c>
      <c r="G446" s="120" t="s">
        <v>753</v>
      </c>
      <c r="H446" s="120" t="s">
        <v>753</v>
      </c>
      <c r="I446" s="120" t="s">
        <v>753</v>
      </c>
      <c r="J446" s="120" t="s">
        <v>753</v>
      </c>
      <c r="K446" s="120" t="s">
        <v>753</v>
      </c>
      <c r="L446" s="120" t="s">
        <v>753</v>
      </c>
      <c r="M446" s="125"/>
      <c r="N446" s="125"/>
      <c r="O446" s="125"/>
      <c r="P446" s="125"/>
      <c r="Q446" s="125"/>
      <c r="R446" s="125"/>
      <c r="S446" s="125"/>
      <c r="T446" s="125"/>
      <c r="U446" s="125"/>
      <c r="V446" s="125"/>
      <c r="W446" s="125"/>
      <c r="X446" s="125"/>
      <c r="Y446" s="125"/>
      <c r="Z446" s="125"/>
      <c r="AA446" s="125"/>
      <c r="AB446" s="125"/>
      <c r="AC446" s="125"/>
    </row>
    <row r="447" spans="1:29" outlineLevel="1">
      <c r="A447" s="120" t="s">
        <v>852</v>
      </c>
      <c r="B447" s="126" t="s">
        <v>488</v>
      </c>
      <c r="C447" s="125"/>
      <c r="D447" s="120" t="s">
        <v>753</v>
      </c>
      <c r="E447" s="120" t="s">
        <v>3467</v>
      </c>
      <c r="F447" s="120" t="s">
        <v>753</v>
      </c>
      <c r="G447" s="120" t="s">
        <v>753</v>
      </c>
      <c r="H447" s="120" t="s">
        <v>753</v>
      </c>
      <c r="I447" s="120" t="s">
        <v>753</v>
      </c>
      <c r="J447" s="120" t="s">
        <v>753</v>
      </c>
      <c r="K447" s="120" t="s">
        <v>753</v>
      </c>
      <c r="L447" s="120" t="s">
        <v>753</v>
      </c>
      <c r="M447" s="125"/>
      <c r="N447" s="125"/>
      <c r="O447" s="125"/>
      <c r="P447" s="125"/>
      <c r="Q447" s="125"/>
      <c r="R447" s="125"/>
      <c r="S447" s="125"/>
      <c r="T447" s="125"/>
      <c r="U447" s="125"/>
      <c r="V447" s="125"/>
      <c r="W447" s="125"/>
      <c r="X447" s="125"/>
      <c r="Y447" s="125"/>
      <c r="Z447" s="125"/>
      <c r="AA447" s="125"/>
      <c r="AB447" s="125"/>
      <c r="AC447" s="125"/>
    </row>
    <row r="448" spans="1:29" outlineLevel="1">
      <c r="A448" s="120" t="s">
        <v>851</v>
      </c>
      <c r="B448" s="126" t="s">
        <v>485</v>
      </c>
      <c r="C448" s="125"/>
      <c r="D448" s="120" t="s">
        <v>753</v>
      </c>
      <c r="E448" s="120" t="s">
        <v>3467</v>
      </c>
      <c r="F448" s="120" t="s">
        <v>753</v>
      </c>
      <c r="G448" s="120" t="s">
        <v>753</v>
      </c>
      <c r="H448" s="120" t="s">
        <v>753</v>
      </c>
      <c r="I448" s="120" t="s">
        <v>753</v>
      </c>
      <c r="J448" s="120" t="s">
        <v>753</v>
      </c>
      <c r="K448" s="120" t="s">
        <v>753</v>
      </c>
      <c r="L448" s="120" t="s">
        <v>753</v>
      </c>
      <c r="M448" s="125"/>
      <c r="N448" s="125"/>
      <c r="O448" s="125"/>
      <c r="P448" s="125"/>
      <c r="Q448" s="125"/>
      <c r="R448" s="125"/>
      <c r="S448" s="125"/>
      <c r="T448" s="125"/>
      <c r="U448" s="125"/>
      <c r="V448" s="125"/>
      <c r="W448" s="125"/>
      <c r="X448" s="125"/>
      <c r="Y448" s="125"/>
      <c r="Z448" s="125"/>
      <c r="AA448" s="125"/>
      <c r="AB448" s="125"/>
      <c r="AC448" s="125"/>
    </row>
    <row r="449" spans="1:29" outlineLevel="1">
      <c r="A449" s="120" t="s">
        <v>850</v>
      </c>
      <c r="B449" s="126" t="s">
        <v>466</v>
      </c>
      <c r="C449" s="125"/>
      <c r="D449" s="120" t="s">
        <v>753</v>
      </c>
      <c r="E449" s="120" t="s">
        <v>3467</v>
      </c>
      <c r="F449" s="120" t="s">
        <v>753</v>
      </c>
      <c r="G449" s="120" t="s">
        <v>753</v>
      </c>
      <c r="H449" s="120" t="s">
        <v>753</v>
      </c>
      <c r="I449" s="120" t="s">
        <v>753</v>
      </c>
      <c r="J449" s="120" t="s">
        <v>753</v>
      </c>
      <c r="K449" s="120" t="s">
        <v>753</v>
      </c>
      <c r="L449" s="120" t="s">
        <v>753</v>
      </c>
      <c r="M449" s="125"/>
      <c r="N449" s="125"/>
      <c r="O449" s="125"/>
      <c r="P449" s="125"/>
      <c r="Q449" s="125"/>
      <c r="R449" s="125"/>
      <c r="S449" s="125"/>
      <c r="T449" s="125"/>
      <c r="U449" s="125"/>
      <c r="V449" s="125"/>
      <c r="W449" s="125"/>
      <c r="X449" s="125"/>
      <c r="Y449" s="125"/>
      <c r="Z449" s="125"/>
      <c r="AA449" s="125"/>
      <c r="AB449" s="125"/>
      <c r="AC449" s="125"/>
    </row>
    <row r="450" spans="1:29" outlineLevel="1">
      <c r="A450" s="120" t="s">
        <v>849</v>
      </c>
      <c r="B450" s="126" t="s">
        <v>137</v>
      </c>
      <c r="C450" s="125"/>
      <c r="D450" s="120" t="s">
        <v>753</v>
      </c>
      <c r="E450" s="120" t="s">
        <v>3467</v>
      </c>
      <c r="F450" s="120" t="s">
        <v>753</v>
      </c>
      <c r="G450" s="120" t="s">
        <v>753</v>
      </c>
      <c r="H450" s="120" t="s">
        <v>753</v>
      </c>
      <c r="I450" s="120" t="s">
        <v>753</v>
      </c>
      <c r="J450" s="120" t="s">
        <v>753</v>
      </c>
      <c r="K450" s="120" t="s">
        <v>753</v>
      </c>
      <c r="L450" s="120" t="s">
        <v>753</v>
      </c>
      <c r="M450" s="125"/>
      <c r="N450" s="125"/>
      <c r="O450" s="125"/>
      <c r="P450" s="125"/>
      <c r="Q450" s="125"/>
      <c r="R450" s="125"/>
      <c r="S450" s="125"/>
      <c r="T450" s="125"/>
      <c r="U450" s="125"/>
      <c r="V450" s="125"/>
      <c r="W450" s="125"/>
      <c r="X450" s="125"/>
      <c r="Y450" s="125"/>
      <c r="Z450" s="125"/>
      <c r="AA450" s="125"/>
      <c r="AB450" s="125"/>
      <c r="AC450" s="125"/>
    </row>
    <row r="451" spans="1:29" outlineLevel="1">
      <c r="A451" s="120" t="s">
        <v>848</v>
      </c>
      <c r="B451" s="126" t="s">
        <v>134</v>
      </c>
      <c r="C451" s="125"/>
      <c r="D451" s="120" t="s">
        <v>753</v>
      </c>
      <c r="E451" s="120" t="s">
        <v>3467</v>
      </c>
      <c r="F451" s="120" t="s">
        <v>753</v>
      </c>
      <c r="G451" s="120" t="s">
        <v>753</v>
      </c>
      <c r="H451" s="120" t="s">
        <v>753</v>
      </c>
      <c r="I451" s="120" t="s">
        <v>753</v>
      </c>
      <c r="J451" s="120" t="s">
        <v>753</v>
      </c>
      <c r="K451" s="120" t="s">
        <v>753</v>
      </c>
      <c r="L451" s="120" t="s">
        <v>753</v>
      </c>
      <c r="M451" s="125"/>
      <c r="N451" s="125"/>
      <c r="O451" s="125"/>
      <c r="P451" s="125"/>
      <c r="Q451" s="125"/>
      <c r="R451" s="125"/>
      <c r="S451" s="125"/>
      <c r="T451" s="125"/>
      <c r="U451" s="125"/>
      <c r="V451" s="125"/>
      <c r="W451" s="125"/>
      <c r="X451" s="125"/>
      <c r="Y451" s="125"/>
      <c r="Z451" s="125"/>
      <c r="AA451" s="125"/>
      <c r="AB451" s="125"/>
      <c r="AC451" s="125"/>
    </row>
    <row r="452" spans="1:29" outlineLevel="1">
      <c r="A452" s="120" t="s">
        <v>847</v>
      </c>
      <c r="B452" s="126" t="s">
        <v>131</v>
      </c>
      <c r="C452" s="125"/>
      <c r="D452" s="120" t="s">
        <v>753</v>
      </c>
      <c r="E452" s="120" t="s">
        <v>3467</v>
      </c>
      <c r="F452" s="120" t="s">
        <v>753</v>
      </c>
      <c r="G452" s="120" t="s">
        <v>753</v>
      </c>
      <c r="H452" s="120" t="s">
        <v>753</v>
      </c>
      <c r="I452" s="120" t="s">
        <v>753</v>
      </c>
      <c r="J452" s="120" t="s">
        <v>753</v>
      </c>
      <c r="K452" s="120" t="s">
        <v>753</v>
      </c>
      <c r="L452" s="120" t="s">
        <v>753</v>
      </c>
      <c r="M452" s="125"/>
      <c r="N452" s="125"/>
      <c r="O452" s="125"/>
      <c r="P452" s="125"/>
      <c r="Q452" s="125"/>
      <c r="R452" s="125"/>
      <c r="S452" s="125"/>
      <c r="T452" s="125"/>
      <c r="U452" s="125"/>
      <c r="V452" s="125"/>
      <c r="W452" s="125"/>
      <c r="X452" s="125"/>
      <c r="Y452" s="125"/>
      <c r="Z452" s="125"/>
      <c r="AA452" s="125"/>
      <c r="AB452" s="125"/>
      <c r="AC452" s="125"/>
    </row>
    <row r="453" spans="1:29" outlineLevel="1">
      <c r="A453" s="120" t="s">
        <v>846</v>
      </c>
      <c r="B453" s="126" t="s">
        <v>231</v>
      </c>
      <c r="C453" s="125"/>
      <c r="D453" s="120" t="s">
        <v>753</v>
      </c>
      <c r="E453" s="120" t="s">
        <v>3467</v>
      </c>
      <c r="F453" s="120" t="s">
        <v>753</v>
      </c>
      <c r="G453" s="120" t="s">
        <v>753</v>
      </c>
      <c r="H453" s="120" t="s">
        <v>753</v>
      </c>
      <c r="I453" s="120" t="s">
        <v>753</v>
      </c>
      <c r="J453" s="120" t="s">
        <v>753</v>
      </c>
      <c r="K453" s="120" t="s">
        <v>753</v>
      </c>
      <c r="L453" s="120" t="s">
        <v>753</v>
      </c>
      <c r="M453" s="125"/>
      <c r="N453" s="125"/>
      <c r="O453" s="125"/>
      <c r="P453" s="125"/>
      <c r="Q453" s="125"/>
      <c r="R453" s="125"/>
      <c r="S453" s="125"/>
      <c r="T453" s="125"/>
      <c r="U453" s="125"/>
      <c r="V453" s="125"/>
      <c r="W453" s="125"/>
      <c r="X453" s="125"/>
      <c r="Y453" s="125"/>
      <c r="Z453" s="125"/>
      <c r="AA453" s="125"/>
      <c r="AB453" s="125"/>
      <c r="AC453" s="125"/>
    </row>
    <row r="454" spans="1:29" outlineLevel="1">
      <c r="A454" s="120" t="s">
        <v>845</v>
      </c>
      <c r="B454" s="126" t="s">
        <v>230</v>
      </c>
      <c r="C454" s="125"/>
      <c r="D454" s="120" t="s">
        <v>753</v>
      </c>
      <c r="E454" s="120" t="s">
        <v>3467</v>
      </c>
      <c r="F454" s="120" t="s">
        <v>753</v>
      </c>
      <c r="G454" s="120" t="s">
        <v>753</v>
      </c>
      <c r="H454" s="120" t="s">
        <v>753</v>
      </c>
      <c r="I454" s="120" t="s">
        <v>753</v>
      </c>
      <c r="J454" s="120" t="s">
        <v>753</v>
      </c>
      <c r="K454" s="120" t="s">
        <v>753</v>
      </c>
      <c r="L454" s="120" t="s">
        <v>753</v>
      </c>
      <c r="M454" s="125"/>
      <c r="N454" s="125"/>
      <c r="O454" s="125"/>
      <c r="P454" s="125"/>
      <c r="Q454" s="125"/>
      <c r="R454" s="125"/>
      <c r="S454" s="125"/>
      <c r="T454" s="125"/>
      <c r="U454" s="125"/>
      <c r="V454" s="125"/>
      <c r="W454" s="125"/>
      <c r="X454" s="125"/>
      <c r="Y454" s="125"/>
      <c r="Z454" s="125"/>
      <c r="AA454" s="125"/>
      <c r="AB454" s="125"/>
      <c r="AC454" s="125"/>
    </row>
    <row r="455" spans="1:29" outlineLevel="1">
      <c r="A455" s="120" t="s">
        <v>844</v>
      </c>
      <c r="B455" s="126" t="s">
        <v>228</v>
      </c>
      <c r="C455" s="125"/>
      <c r="D455" s="120" t="s">
        <v>753</v>
      </c>
      <c r="E455" s="120" t="s">
        <v>3467</v>
      </c>
      <c r="F455" s="120" t="s">
        <v>753</v>
      </c>
      <c r="G455" s="120" t="s">
        <v>753</v>
      </c>
      <c r="H455" s="120" t="s">
        <v>753</v>
      </c>
      <c r="I455" s="120" t="s">
        <v>753</v>
      </c>
      <c r="J455" s="120" t="s">
        <v>753</v>
      </c>
      <c r="K455" s="120" t="s">
        <v>753</v>
      </c>
      <c r="L455" s="120" t="s">
        <v>753</v>
      </c>
      <c r="M455" s="125"/>
      <c r="N455" s="125"/>
      <c r="O455" s="125"/>
      <c r="P455" s="125"/>
      <c r="Q455" s="125"/>
      <c r="R455" s="125"/>
      <c r="S455" s="125"/>
      <c r="T455" s="125"/>
      <c r="U455" s="125"/>
      <c r="V455" s="125"/>
      <c r="W455" s="125"/>
      <c r="X455" s="125"/>
      <c r="Y455" s="125"/>
      <c r="Z455" s="125"/>
      <c r="AA455" s="125"/>
      <c r="AB455" s="125"/>
      <c r="AC455" s="125"/>
    </row>
    <row r="456" spans="1:29" outlineLevel="1">
      <c r="A456" s="120" t="s">
        <v>843</v>
      </c>
      <c r="B456" s="126" t="s">
        <v>180</v>
      </c>
      <c r="C456" s="125"/>
      <c r="D456" s="120" t="s">
        <v>753</v>
      </c>
      <c r="E456" s="120" t="s">
        <v>3467</v>
      </c>
      <c r="F456" s="120" t="s">
        <v>753</v>
      </c>
      <c r="G456" s="120" t="s">
        <v>753</v>
      </c>
      <c r="H456" s="120" t="s">
        <v>753</v>
      </c>
      <c r="I456" s="120" t="s">
        <v>753</v>
      </c>
      <c r="J456" s="120" t="s">
        <v>753</v>
      </c>
      <c r="K456" s="120" t="s">
        <v>753</v>
      </c>
      <c r="L456" s="120" t="s">
        <v>753</v>
      </c>
      <c r="M456" s="125"/>
      <c r="N456" s="125"/>
      <c r="O456" s="125"/>
      <c r="P456" s="125"/>
      <c r="Q456" s="125"/>
      <c r="R456" s="125"/>
      <c r="S456" s="125"/>
      <c r="T456" s="125"/>
      <c r="U456" s="125"/>
      <c r="V456" s="125"/>
      <c r="W456" s="125"/>
      <c r="X456" s="125"/>
      <c r="Y456" s="125"/>
      <c r="Z456" s="125"/>
      <c r="AA456" s="125"/>
      <c r="AB456" s="125"/>
      <c r="AC456" s="125"/>
    </row>
    <row r="457" spans="1:29" outlineLevel="1">
      <c r="A457" s="120" t="s">
        <v>842</v>
      </c>
      <c r="B457" s="126" t="s">
        <v>179</v>
      </c>
      <c r="C457" s="125"/>
      <c r="D457" s="120" t="s">
        <v>753</v>
      </c>
      <c r="E457" s="120" t="s">
        <v>3467</v>
      </c>
      <c r="F457" s="120" t="s">
        <v>753</v>
      </c>
      <c r="G457" s="120" t="s">
        <v>753</v>
      </c>
      <c r="H457" s="120" t="s">
        <v>753</v>
      </c>
      <c r="I457" s="120" t="s">
        <v>753</v>
      </c>
      <c r="J457" s="120" t="s">
        <v>753</v>
      </c>
      <c r="K457" s="120" t="s">
        <v>753</v>
      </c>
      <c r="L457" s="120" t="s">
        <v>753</v>
      </c>
      <c r="M457" s="125"/>
      <c r="N457" s="125"/>
      <c r="O457" s="125"/>
      <c r="P457" s="125"/>
      <c r="Q457" s="125"/>
      <c r="R457" s="125"/>
      <c r="S457" s="125"/>
      <c r="T457" s="125"/>
      <c r="U457" s="125"/>
      <c r="V457" s="125"/>
      <c r="W457" s="125"/>
      <c r="X457" s="125"/>
      <c r="Y457" s="125"/>
      <c r="Z457" s="125"/>
      <c r="AA457" s="125"/>
      <c r="AB457" s="125"/>
      <c r="AC457" s="125"/>
    </row>
    <row r="458" spans="1:29" outlineLevel="1">
      <c r="A458" s="120" t="s">
        <v>841</v>
      </c>
      <c r="B458" s="126" t="s">
        <v>178</v>
      </c>
      <c r="C458" s="125"/>
      <c r="D458" s="120" t="s">
        <v>753</v>
      </c>
      <c r="E458" s="120" t="s">
        <v>3467</v>
      </c>
      <c r="F458" s="120" t="s">
        <v>753</v>
      </c>
      <c r="G458" s="120" t="s">
        <v>753</v>
      </c>
      <c r="H458" s="120" t="s">
        <v>753</v>
      </c>
      <c r="I458" s="120" t="s">
        <v>753</v>
      </c>
      <c r="J458" s="120" t="s">
        <v>753</v>
      </c>
      <c r="K458" s="120" t="s">
        <v>753</v>
      </c>
      <c r="L458" s="120" t="s">
        <v>753</v>
      </c>
      <c r="M458" s="125"/>
      <c r="N458" s="125"/>
      <c r="O458" s="125"/>
      <c r="P458" s="125"/>
      <c r="Q458" s="125"/>
      <c r="R458" s="125"/>
      <c r="S458" s="125"/>
      <c r="T458" s="125"/>
      <c r="U458" s="125"/>
      <c r="V458" s="125"/>
      <c r="W458" s="125"/>
      <c r="X458" s="125"/>
      <c r="Y458" s="125"/>
      <c r="Z458" s="125"/>
      <c r="AA458" s="125"/>
      <c r="AB458" s="125"/>
      <c r="AC458" s="125"/>
    </row>
    <row r="459" spans="1:29" outlineLevel="1">
      <c r="A459" s="120" t="s">
        <v>840</v>
      </c>
      <c r="B459" s="126" t="s">
        <v>177</v>
      </c>
      <c r="C459" s="125"/>
      <c r="D459" s="120" t="s">
        <v>753</v>
      </c>
      <c r="E459" s="120" t="s">
        <v>3467</v>
      </c>
      <c r="F459" s="120" t="s">
        <v>753</v>
      </c>
      <c r="G459" s="120" t="s">
        <v>753</v>
      </c>
      <c r="H459" s="120" t="s">
        <v>753</v>
      </c>
      <c r="I459" s="120" t="s">
        <v>753</v>
      </c>
      <c r="J459" s="120" t="s">
        <v>753</v>
      </c>
      <c r="K459" s="120" t="s">
        <v>753</v>
      </c>
      <c r="L459" s="120" t="s">
        <v>753</v>
      </c>
      <c r="M459" s="125"/>
      <c r="N459" s="125"/>
      <c r="O459" s="125"/>
      <c r="P459" s="125"/>
      <c r="Q459" s="125"/>
      <c r="R459" s="125"/>
      <c r="S459" s="125"/>
      <c r="T459" s="125"/>
      <c r="U459" s="125"/>
      <c r="V459" s="125"/>
      <c r="W459" s="125"/>
      <c r="X459" s="125"/>
      <c r="Y459" s="125"/>
      <c r="Z459" s="125"/>
      <c r="AA459" s="125"/>
      <c r="AB459" s="125"/>
      <c r="AC459" s="125"/>
    </row>
    <row r="460" spans="1:29" outlineLevel="1">
      <c r="A460" s="120" t="s">
        <v>839</v>
      </c>
      <c r="B460" s="126" t="s">
        <v>313</v>
      </c>
      <c r="C460" s="125"/>
      <c r="D460" s="120" t="s">
        <v>753</v>
      </c>
      <c r="E460" s="120" t="s">
        <v>3467</v>
      </c>
      <c r="F460" s="120" t="s">
        <v>753</v>
      </c>
      <c r="G460" s="120" t="s">
        <v>753</v>
      </c>
      <c r="H460" s="120" t="s">
        <v>753</v>
      </c>
      <c r="I460" s="120" t="s">
        <v>753</v>
      </c>
      <c r="J460" s="120" t="s">
        <v>753</v>
      </c>
      <c r="K460" s="120" t="s">
        <v>753</v>
      </c>
      <c r="L460" s="120" t="s">
        <v>753</v>
      </c>
      <c r="M460" s="125"/>
      <c r="N460" s="125"/>
      <c r="O460" s="125"/>
      <c r="P460" s="125"/>
      <c r="Q460" s="125"/>
      <c r="R460" s="125"/>
      <c r="S460" s="125"/>
      <c r="T460" s="125"/>
      <c r="U460" s="125"/>
      <c r="V460" s="125"/>
      <c r="W460" s="125"/>
      <c r="X460" s="125"/>
      <c r="Y460" s="125"/>
      <c r="Z460" s="125"/>
      <c r="AA460" s="125"/>
      <c r="AB460" s="125"/>
      <c r="AC460" s="125"/>
    </row>
    <row r="461" spans="1:29" ht="14.65" customHeight="1" outlineLevel="1">
      <c r="A461" s="120" t="s">
        <v>838</v>
      </c>
      <c r="B461" s="126" t="s">
        <v>312</v>
      </c>
      <c r="C461" s="125"/>
      <c r="D461" s="120" t="s">
        <v>753</v>
      </c>
      <c r="E461" s="120" t="s">
        <v>3467</v>
      </c>
      <c r="F461" s="120" t="s">
        <v>753</v>
      </c>
      <c r="G461" s="120" t="s">
        <v>753</v>
      </c>
      <c r="H461" s="120" t="s">
        <v>753</v>
      </c>
      <c r="I461" s="120" t="s">
        <v>753</v>
      </c>
      <c r="J461" s="120" t="s">
        <v>753</v>
      </c>
      <c r="K461" s="120" t="s">
        <v>753</v>
      </c>
      <c r="L461" s="120" t="s">
        <v>753</v>
      </c>
      <c r="M461" s="125"/>
      <c r="N461" s="125"/>
      <c r="O461" s="125"/>
      <c r="P461" s="125"/>
      <c r="Q461" s="125"/>
      <c r="R461" s="125"/>
      <c r="S461" s="125"/>
      <c r="T461" s="125"/>
      <c r="U461" s="125"/>
      <c r="V461" s="125"/>
      <c r="W461" s="125"/>
      <c r="X461" s="125"/>
      <c r="Y461" s="125"/>
      <c r="Z461" s="125"/>
      <c r="AA461" s="125"/>
      <c r="AB461" s="125"/>
      <c r="AC461" s="125"/>
    </row>
    <row r="462" spans="1:29" outlineLevel="1">
      <c r="A462" s="120" t="s">
        <v>837</v>
      </c>
      <c r="B462" s="126" t="s">
        <v>311</v>
      </c>
      <c r="C462" s="125"/>
      <c r="D462" s="120" t="s">
        <v>753</v>
      </c>
      <c r="E462" s="120" t="s">
        <v>3467</v>
      </c>
      <c r="F462" s="120" t="s">
        <v>753</v>
      </c>
      <c r="G462" s="120" t="s">
        <v>753</v>
      </c>
      <c r="H462" s="120" t="s">
        <v>753</v>
      </c>
      <c r="I462" s="120" t="s">
        <v>753</v>
      </c>
      <c r="J462" s="120" t="s">
        <v>753</v>
      </c>
      <c r="K462" s="120" t="s">
        <v>753</v>
      </c>
      <c r="L462" s="120" t="s">
        <v>753</v>
      </c>
      <c r="M462" s="125"/>
      <c r="N462" s="125"/>
      <c r="O462" s="125"/>
      <c r="P462" s="125"/>
      <c r="Q462" s="125"/>
      <c r="R462" s="125"/>
      <c r="S462" s="125"/>
      <c r="T462" s="125"/>
      <c r="U462" s="125"/>
      <c r="V462" s="125"/>
      <c r="W462" s="125"/>
      <c r="X462" s="125"/>
      <c r="Y462" s="125"/>
      <c r="Z462" s="125"/>
      <c r="AA462" s="125"/>
      <c r="AB462" s="125"/>
      <c r="AC462" s="125"/>
    </row>
    <row r="463" spans="1:29">
      <c r="A463" s="131" t="s">
        <v>836</v>
      </c>
      <c r="B463" s="130"/>
      <c r="C463" s="127"/>
      <c r="D463" s="129"/>
      <c r="E463" s="129"/>
      <c r="F463" s="129"/>
      <c r="G463" s="129"/>
      <c r="H463" s="129"/>
      <c r="I463" s="129"/>
      <c r="J463" s="129"/>
      <c r="K463" s="128"/>
      <c r="L463" s="128"/>
      <c r="M463" s="127"/>
      <c r="N463" s="127"/>
      <c r="O463" s="127"/>
      <c r="P463" s="127"/>
      <c r="Q463" s="127"/>
      <c r="R463" s="127"/>
      <c r="S463" s="127"/>
      <c r="T463" s="127"/>
      <c r="U463" s="127"/>
      <c r="V463" s="127"/>
      <c r="W463" s="127"/>
      <c r="X463" s="127"/>
      <c r="Y463" s="127"/>
      <c r="Z463" s="127"/>
      <c r="AA463" s="127"/>
      <c r="AB463" s="127"/>
      <c r="AC463" s="127"/>
    </row>
    <row r="464" spans="1:29" outlineLevel="1">
      <c r="A464" s="120" t="s">
        <v>835</v>
      </c>
      <c r="B464" s="126" t="s">
        <v>726</v>
      </c>
      <c r="C464" s="125"/>
      <c r="D464" s="120" t="s">
        <v>753</v>
      </c>
      <c r="E464" s="120" t="s">
        <v>622</v>
      </c>
      <c r="F464" s="120" t="s">
        <v>753</v>
      </c>
      <c r="G464" s="120" t="s">
        <v>753</v>
      </c>
      <c r="H464" s="120" t="s">
        <v>753</v>
      </c>
      <c r="I464" s="120" t="s">
        <v>753</v>
      </c>
      <c r="J464" s="120" t="s">
        <v>753</v>
      </c>
      <c r="K464" s="120" t="s">
        <v>753</v>
      </c>
      <c r="L464" s="120" t="s">
        <v>753</v>
      </c>
      <c r="M464" s="125"/>
      <c r="N464" s="125"/>
      <c r="O464" s="125"/>
      <c r="P464" s="125"/>
      <c r="Q464" s="125"/>
      <c r="R464" s="125"/>
      <c r="S464" s="125"/>
      <c r="T464" s="125"/>
      <c r="U464" s="125"/>
      <c r="V464" s="125"/>
      <c r="W464" s="125"/>
      <c r="X464" s="125"/>
      <c r="Y464" s="125"/>
      <c r="Z464" s="125"/>
      <c r="AA464" s="125"/>
      <c r="AB464" s="125"/>
      <c r="AC464" s="125"/>
    </row>
    <row r="465" spans="1:29" outlineLevel="1">
      <c r="A465" s="120" t="s">
        <v>834</v>
      </c>
      <c r="B465" s="126" t="s">
        <v>701</v>
      </c>
      <c r="C465" s="125"/>
      <c r="D465" s="120" t="s">
        <v>753</v>
      </c>
      <c r="E465" s="120" t="s">
        <v>622</v>
      </c>
      <c r="F465" s="120" t="s">
        <v>753</v>
      </c>
      <c r="G465" s="120" t="s">
        <v>753</v>
      </c>
      <c r="H465" s="120" t="s">
        <v>753</v>
      </c>
      <c r="I465" s="120" t="s">
        <v>753</v>
      </c>
      <c r="J465" s="120" t="s">
        <v>753</v>
      </c>
      <c r="K465" s="120" t="s">
        <v>753</v>
      </c>
      <c r="L465" s="120" t="s">
        <v>753</v>
      </c>
      <c r="M465" s="125"/>
      <c r="N465" s="125"/>
      <c r="O465" s="125"/>
      <c r="P465" s="125"/>
      <c r="Q465" s="125"/>
      <c r="R465" s="125"/>
      <c r="S465" s="125"/>
      <c r="T465" s="125"/>
      <c r="U465" s="125"/>
      <c r="V465" s="125"/>
      <c r="W465" s="125"/>
      <c r="X465" s="125"/>
      <c r="Y465" s="125"/>
      <c r="Z465" s="125"/>
      <c r="AA465" s="125"/>
      <c r="AB465" s="125"/>
      <c r="AC465" s="125"/>
    </row>
    <row r="466" spans="1:29" outlineLevel="1">
      <c r="A466" s="120" t="s">
        <v>833</v>
      </c>
      <c r="B466" s="126" t="s">
        <v>697</v>
      </c>
      <c r="C466" s="125"/>
      <c r="D466" s="120" t="s">
        <v>753</v>
      </c>
      <c r="E466" s="120" t="s">
        <v>622</v>
      </c>
      <c r="F466" s="120" t="s">
        <v>753</v>
      </c>
      <c r="G466" s="120" t="s">
        <v>753</v>
      </c>
      <c r="H466" s="120" t="s">
        <v>753</v>
      </c>
      <c r="I466" s="120" t="s">
        <v>753</v>
      </c>
      <c r="J466" s="120" t="s">
        <v>753</v>
      </c>
      <c r="K466" s="120" t="s">
        <v>753</v>
      </c>
      <c r="L466" s="120" t="s">
        <v>753</v>
      </c>
      <c r="M466" s="125"/>
      <c r="N466" s="125"/>
      <c r="O466" s="125"/>
      <c r="P466" s="125"/>
      <c r="Q466" s="125"/>
      <c r="R466" s="125"/>
      <c r="S466" s="125"/>
      <c r="T466" s="125"/>
      <c r="U466" s="125"/>
      <c r="V466" s="125"/>
      <c r="W466" s="125"/>
      <c r="X466" s="125"/>
      <c r="Y466" s="125"/>
      <c r="Z466" s="125"/>
      <c r="AA466" s="125"/>
      <c r="AB466" s="125"/>
      <c r="AC466" s="125"/>
    </row>
    <row r="467" spans="1:29" outlineLevel="1">
      <c r="A467" s="120" t="s">
        <v>832</v>
      </c>
      <c r="B467" s="126" t="s">
        <v>667</v>
      </c>
      <c r="C467" s="125"/>
      <c r="D467" s="120" t="s">
        <v>753</v>
      </c>
      <c r="E467" s="120" t="s">
        <v>622</v>
      </c>
      <c r="F467" s="120" t="s">
        <v>753</v>
      </c>
      <c r="G467" s="120" t="s">
        <v>753</v>
      </c>
      <c r="H467" s="120" t="s">
        <v>753</v>
      </c>
      <c r="I467" s="120" t="s">
        <v>753</v>
      </c>
      <c r="J467" s="120" t="s">
        <v>753</v>
      </c>
      <c r="K467" s="120" t="s">
        <v>753</v>
      </c>
      <c r="L467" s="120" t="s">
        <v>753</v>
      </c>
      <c r="M467" s="125"/>
      <c r="N467" s="125"/>
      <c r="O467" s="125"/>
      <c r="P467" s="125"/>
      <c r="Q467" s="125"/>
      <c r="R467" s="125"/>
      <c r="S467" s="125"/>
      <c r="T467" s="125"/>
      <c r="U467" s="125"/>
      <c r="V467" s="125"/>
      <c r="W467" s="125"/>
      <c r="X467" s="125"/>
      <c r="Y467" s="125"/>
      <c r="Z467" s="125"/>
      <c r="AA467" s="125"/>
      <c r="AB467" s="125"/>
      <c r="AC467" s="125"/>
    </row>
    <row r="468" spans="1:29" outlineLevel="1">
      <c r="A468" s="120" t="s">
        <v>831</v>
      </c>
      <c r="B468" s="126" t="s">
        <v>654</v>
      </c>
      <c r="C468" s="125"/>
      <c r="D468" s="120" t="s">
        <v>753</v>
      </c>
      <c r="E468" s="120" t="s">
        <v>622</v>
      </c>
      <c r="F468" s="120" t="s">
        <v>753</v>
      </c>
      <c r="G468" s="120" t="s">
        <v>753</v>
      </c>
      <c r="H468" s="120" t="s">
        <v>753</v>
      </c>
      <c r="I468" s="120" t="s">
        <v>753</v>
      </c>
      <c r="J468" s="120" t="s">
        <v>753</v>
      </c>
      <c r="K468" s="120" t="s">
        <v>753</v>
      </c>
      <c r="L468" s="120" t="s">
        <v>753</v>
      </c>
      <c r="M468" s="125"/>
      <c r="N468" s="125"/>
      <c r="O468" s="125"/>
      <c r="P468" s="125"/>
      <c r="Q468" s="125"/>
      <c r="R468" s="125"/>
      <c r="S468" s="125"/>
      <c r="T468" s="125"/>
      <c r="U468" s="125"/>
      <c r="V468" s="125"/>
      <c r="W468" s="125"/>
      <c r="X468" s="125"/>
      <c r="Y468" s="125"/>
      <c r="Z468" s="125"/>
      <c r="AA468" s="125"/>
      <c r="AB468" s="125"/>
      <c r="AC468" s="125"/>
    </row>
    <row r="469" spans="1:29" outlineLevel="1">
      <c r="A469" s="120" t="s">
        <v>830</v>
      </c>
      <c r="B469" s="126" t="s">
        <v>580</v>
      </c>
      <c r="C469" s="125"/>
      <c r="D469" s="120" t="s">
        <v>753</v>
      </c>
      <c r="E469" s="120" t="s">
        <v>622</v>
      </c>
      <c r="F469" s="120" t="s">
        <v>753</v>
      </c>
      <c r="G469" s="120" t="s">
        <v>753</v>
      </c>
      <c r="H469" s="120" t="s">
        <v>753</v>
      </c>
      <c r="I469" s="120" t="s">
        <v>753</v>
      </c>
      <c r="J469" s="120" t="s">
        <v>753</v>
      </c>
      <c r="K469" s="120" t="s">
        <v>753</v>
      </c>
      <c r="L469" s="120" t="s">
        <v>753</v>
      </c>
      <c r="M469" s="125"/>
      <c r="N469" s="125"/>
      <c r="O469" s="125"/>
      <c r="P469" s="125"/>
      <c r="Q469" s="125"/>
      <c r="R469" s="125"/>
      <c r="S469" s="125"/>
      <c r="T469" s="125"/>
      <c r="U469" s="125"/>
      <c r="V469" s="125"/>
      <c r="W469" s="125"/>
      <c r="X469" s="125"/>
      <c r="Y469" s="125"/>
      <c r="Z469" s="125"/>
      <c r="AA469" s="125"/>
      <c r="AB469" s="125"/>
      <c r="AC469" s="125"/>
    </row>
    <row r="470" spans="1:29" outlineLevel="1">
      <c r="A470" s="120" t="s">
        <v>829</v>
      </c>
      <c r="B470" s="126" t="s">
        <v>506</v>
      </c>
      <c r="C470" s="125"/>
      <c r="D470" s="120" t="s">
        <v>753</v>
      </c>
      <c r="E470" s="120" t="s">
        <v>622</v>
      </c>
      <c r="F470" s="120" t="s">
        <v>753</v>
      </c>
      <c r="G470" s="120" t="s">
        <v>753</v>
      </c>
      <c r="H470" s="120" t="s">
        <v>753</v>
      </c>
      <c r="I470" s="120" t="s">
        <v>753</v>
      </c>
      <c r="J470" s="120" t="s">
        <v>753</v>
      </c>
      <c r="K470" s="120" t="s">
        <v>753</v>
      </c>
      <c r="L470" s="120" t="s">
        <v>753</v>
      </c>
      <c r="M470" s="125"/>
      <c r="N470" s="125"/>
      <c r="O470" s="125"/>
      <c r="P470" s="125"/>
      <c r="Q470" s="125"/>
      <c r="R470" s="125"/>
      <c r="S470" s="125"/>
      <c r="T470" s="125"/>
      <c r="U470" s="125"/>
      <c r="V470" s="125"/>
      <c r="W470" s="125"/>
      <c r="X470" s="125"/>
      <c r="Y470" s="125"/>
      <c r="Z470" s="125"/>
      <c r="AA470" s="125"/>
      <c r="AB470" s="125"/>
      <c r="AC470" s="125"/>
    </row>
    <row r="471" spans="1:29" outlineLevel="1">
      <c r="A471" s="120" t="s">
        <v>828</v>
      </c>
      <c r="B471" s="126" t="s">
        <v>503</v>
      </c>
      <c r="C471" s="125"/>
      <c r="D471" s="120" t="s">
        <v>753</v>
      </c>
      <c r="E471" s="120" t="s">
        <v>622</v>
      </c>
      <c r="F471" s="120" t="s">
        <v>753</v>
      </c>
      <c r="G471" s="120" t="s">
        <v>753</v>
      </c>
      <c r="H471" s="120" t="s">
        <v>753</v>
      </c>
      <c r="I471" s="120" t="s">
        <v>753</v>
      </c>
      <c r="J471" s="120" t="s">
        <v>753</v>
      </c>
      <c r="K471" s="120" t="s">
        <v>753</v>
      </c>
      <c r="L471" s="120" t="s">
        <v>753</v>
      </c>
      <c r="M471" s="125"/>
      <c r="N471" s="125"/>
      <c r="O471" s="125"/>
      <c r="P471" s="125"/>
      <c r="Q471" s="125"/>
      <c r="R471" s="125"/>
      <c r="S471" s="125"/>
      <c r="T471" s="125"/>
      <c r="U471" s="125"/>
      <c r="V471" s="125"/>
      <c r="W471" s="125"/>
      <c r="X471" s="125"/>
      <c r="Y471" s="125"/>
      <c r="Z471" s="125"/>
      <c r="AA471" s="125"/>
      <c r="AB471" s="125"/>
      <c r="AC471" s="125"/>
    </row>
    <row r="472" spans="1:29" outlineLevel="1">
      <c r="A472" s="120" t="s">
        <v>827</v>
      </c>
      <c r="B472" s="126" t="s">
        <v>460</v>
      </c>
      <c r="C472" s="125"/>
      <c r="D472" s="120" t="s">
        <v>753</v>
      </c>
      <c r="E472" s="120" t="s">
        <v>622</v>
      </c>
      <c r="F472" s="120" t="s">
        <v>753</v>
      </c>
      <c r="G472" s="120" t="s">
        <v>753</v>
      </c>
      <c r="H472" s="120" t="s">
        <v>753</v>
      </c>
      <c r="I472" s="120" t="s">
        <v>753</v>
      </c>
      <c r="J472" s="120" t="s">
        <v>753</v>
      </c>
      <c r="K472" s="120" t="s">
        <v>753</v>
      </c>
      <c r="L472" s="120" t="s">
        <v>753</v>
      </c>
      <c r="M472" s="125"/>
      <c r="N472" s="125"/>
      <c r="O472" s="125"/>
      <c r="P472" s="125"/>
      <c r="Q472" s="125"/>
      <c r="R472" s="125"/>
      <c r="S472" s="125"/>
      <c r="T472" s="125"/>
      <c r="U472" s="125"/>
      <c r="V472" s="125"/>
      <c r="W472" s="125"/>
      <c r="X472" s="125"/>
      <c r="Y472" s="125"/>
      <c r="Z472" s="125"/>
      <c r="AA472" s="125"/>
      <c r="AB472" s="125"/>
      <c r="AC472" s="125"/>
    </row>
    <row r="473" spans="1:29" outlineLevel="1">
      <c r="A473" s="120" t="s">
        <v>826</v>
      </c>
      <c r="B473" s="126" t="s">
        <v>433</v>
      </c>
      <c r="C473" s="125"/>
      <c r="D473" s="120" t="s">
        <v>753</v>
      </c>
      <c r="E473" s="120" t="s">
        <v>622</v>
      </c>
      <c r="F473" s="120" t="s">
        <v>753</v>
      </c>
      <c r="G473" s="120" t="s">
        <v>753</v>
      </c>
      <c r="H473" s="120" t="s">
        <v>753</v>
      </c>
      <c r="I473" s="120" t="s">
        <v>753</v>
      </c>
      <c r="J473" s="120" t="s">
        <v>753</v>
      </c>
      <c r="K473" s="120" t="s">
        <v>753</v>
      </c>
      <c r="L473" s="120" t="s">
        <v>753</v>
      </c>
      <c r="M473" s="125"/>
      <c r="N473" s="125"/>
      <c r="O473" s="125"/>
      <c r="P473" s="125"/>
      <c r="Q473" s="125"/>
      <c r="R473" s="125"/>
      <c r="S473" s="125"/>
      <c r="T473" s="125"/>
      <c r="U473" s="125"/>
      <c r="V473" s="125"/>
      <c r="W473" s="125"/>
      <c r="X473" s="125"/>
      <c r="Y473" s="125"/>
      <c r="Z473" s="125"/>
      <c r="AA473" s="125"/>
      <c r="AB473" s="125"/>
      <c r="AC473" s="125"/>
    </row>
    <row r="474" spans="1:29" outlineLevel="1">
      <c r="A474" s="120" t="s">
        <v>825</v>
      </c>
      <c r="B474" s="126" t="s">
        <v>388</v>
      </c>
      <c r="C474" s="125"/>
      <c r="D474" s="120" t="s">
        <v>753</v>
      </c>
      <c r="E474" s="120" t="s">
        <v>622</v>
      </c>
      <c r="F474" s="120" t="s">
        <v>753</v>
      </c>
      <c r="G474" s="120" t="s">
        <v>753</v>
      </c>
      <c r="H474" s="120" t="s">
        <v>753</v>
      </c>
      <c r="I474" s="120" t="s">
        <v>753</v>
      </c>
      <c r="J474" s="120" t="s">
        <v>753</v>
      </c>
      <c r="K474" s="120" t="s">
        <v>753</v>
      </c>
      <c r="L474" s="120" t="s">
        <v>753</v>
      </c>
      <c r="M474" s="125"/>
      <c r="N474" s="125"/>
      <c r="O474" s="125"/>
      <c r="P474" s="125"/>
      <c r="Q474" s="125"/>
      <c r="R474" s="125"/>
      <c r="S474" s="125"/>
      <c r="T474" s="125"/>
      <c r="U474" s="125"/>
      <c r="V474" s="125"/>
      <c r="W474" s="125"/>
      <c r="X474" s="125"/>
      <c r="Y474" s="125"/>
      <c r="Z474" s="125"/>
      <c r="AA474" s="125"/>
      <c r="AB474" s="125"/>
      <c r="AC474" s="125"/>
    </row>
    <row r="475" spans="1:29" outlineLevel="1">
      <c r="A475" s="120" t="s">
        <v>824</v>
      </c>
      <c r="B475" s="126" t="s">
        <v>369</v>
      </c>
      <c r="C475" s="125"/>
      <c r="D475" s="120" t="s">
        <v>753</v>
      </c>
      <c r="E475" s="120" t="s">
        <v>622</v>
      </c>
      <c r="F475" s="120" t="s">
        <v>753</v>
      </c>
      <c r="G475" s="120" t="s">
        <v>753</v>
      </c>
      <c r="H475" s="120" t="s">
        <v>753</v>
      </c>
      <c r="I475" s="120" t="s">
        <v>753</v>
      </c>
      <c r="J475" s="120" t="s">
        <v>753</v>
      </c>
      <c r="K475" s="120" t="s">
        <v>753</v>
      </c>
      <c r="L475" s="120" t="s">
        <v>753</v>
      </c>
      <c r="M475" s="125"/>
      <c r="N475" s="125"/>
      <c r="O475" s="125"/>
      <c r="P475" s="125"/>
      <c r="Q475" s="125"/>
      <c r="R475" s="125"/>
      <c r="S475" s="125"/>
      <c r="T475" s="125"/>
      <c r="U475" s="125"/>
      <c r="V475" s="125"/>
      <c r="W475" s="125"/>
      <c r="X475" s="125"/>
      <c r="Y475" s="125"/>
      <c r="Z475" s="125"/>
      <c r="AA475" s="125"/>
      <c r="AB475" s="125"/>
      <c r="AC475" s="125"/>
    </row>
    <row r="476" spans="1:29" outlineLevel="1">
      <c r="A476" s="120" t="s">
        <v>823</v>
      </c>
      <c r="B476" s="126" t="s">
        <v>326</v>
      </c>
      <c r="C476" s="125"/>
      <c r="D476" s="120" t="s">
        <v>753</v>
      </c>
      <c r="E476" s="120" t="s">
        <v>622</v>
      </c>
      <c r="F476" s="120" t="s">
        <v>753</v>
      </c>
      <c r="G476" s="120" t="s">
        <v>753</v>
      </c>
      <c r="H476" s="120" t="s">
        <v>753</v>
      </c>
      <c r="I476" s="120" t="s">
        <v>753</v>
      </c>
      <c r="J476" s="120" t="s">
        <v>753</v>
      </c>
      <c r="K476" s="120" t="s">
        <v>753</v>
      </c>
      <c r="L476" s="120" t="s">
        <v>753</v>
      </c>
      <c r="M476" s="125"/>
      <c r="N476" s="125"/>
      <c r="O476" s="125"/>
      <c r="P476" s="125"/>
      <c r="Q476" s="125"/>
      <c r="R476" s="125"/>
      <c r="S476" s="125"/>
      <c r="T476" s="125"/>
      <c r="U476" s="125"/>
      <c r="V476" s="125"/>
      <c r="W476" s="125"/>
      <c r="X476" s="125"/>
      <c r="Y476" s="125"/>
      <c r="Z476" s="125"/>
      <c r="AA476" s="125"/>
      <c r="AB476" s="125"/>
      <c r="AC476" s="125"/>
    </row>
    <row r="477" spans="1:29" outlineLevel="1">
      <c r="A477" s="120" t="s">
        <v>822</v>
      </c>
      <c r="B477" s="126" t="s">
        <v>248</v>
      </c>
      <c r="C477" s="125"/>
      <c r="D477" s="120" t="s">
        <v>753</v>
      </c>
      <c r="E477" s="120" t="s">
        <v>622</v>
      </c>
      <c r="F477" s="120" t="s">
        <v>753</v>
      </c>
      <c r="G477" s="120" t="s">
        <v>753</v>
      </c>
      <c r="H477" s="120" t="s">
        <v>753</v>
      </c>
      <c r="I477" s="120" t="s">
        <v>753</v>
      </c>
      <c r="J477" s="120" t="s">
        <v>753</v>
      </c>
      <c r="K477" s="120" t="s">
        <v>753</v>
      </c>
      <c r="L477" s="120" t="s">
        <v>753</v>
      </c>
      <c r="M477" s="125"/>
      <c r="N477" s="125"/>
      <c r="O477" s="125"/>
      <c r="P477" s="125"/>
      <c r="Q477" s="125"/>
      <c r="R477" s="125"/>
      <c r="S477" s="125"/>
      <c r="T477" s="125"/>
      <c r="U477" s="125"/>
      <c r="V477" s="125"/>
      <c r="W477" s="125"/>
      <c r="X477" s="125"/>
      <c r="Y477" s="125"/>
      <c r="Z477" s="125"/>
      <c r="AA477" s="125"/>
      <c r="AB477" s="125"/>
      <c r="AC477" s="125"/>
    </row>
    <row r="478" spans="1:29" outlineLevel="1">
      <c r="A478" s="120" t="s">
        <v>821</v>
      </c>
      <c r="B478" s="126" t="s">
        <v>188</v>
      </c>
      <c r="C478" s="125"/>
      <c r="D478" s="120" t="s">
        <v>753</v>
      </c>
      <c r="E478" s="120" t="s">
        <v>622</v>
      </c>
      <c r="F478" s="120" t="s">
        <v>753</v>
      </c>
      <c r="G478" s="120" t="s">
        <v>753</v>
      </c>
      <c r="H478" s="120" t="s">
        <v>753</v>
      </c>
      <c r="I478" s="120" t="s">
        <v>753</v>
      </c>
      <c r="J478" s="120" t="s">
        <v>753</v>
      </c>
      <c r="K478" s="120" t="s">
        <v>753</v>
      </c>
      <c r="L478" s="120" t="s">
        <v>753</v>
      </c>
      <c r="M478" s="125"/>
      <c r="N478" s="125"/>
      <c r="O478" s="125"/>
      <c r="P478" s="125"/>
      <c r="Q478" s="125"/>
      <c r="R478" s="125"/>
      <c r="S478" s="125"/>
      <c r="T478" s="125"/>
      <c r="U478" s="125"/>
      <c r="V478" s="125"/>
      <c r="W478" s="125"/>
      <c r="X478" s="125"/>
      <c r="Y478" s="125"/>
      <c r="Z478" s="125"/>
      <c r="AA478" s="125"/>
      <c r="AB478" s="125"/>
      <c r="AC478" s="125"/>
    </row>
    <row r="479" spans="1:29" outlineLevel="1">
      <c r="A479" s="120" t="s">
        <v>820</v>
      </c>
      <c r="B479" s="126" t="s">
        <v>152</v>
      </c>
      <c r="C479" s="125"/>
      <c r="D479" s="120" t="s">
        <v>753</v>
      </c>
      <c r="E479" s="120" t="s">
        <v>622</v>
      </c>
      <c r="F479" s="120" t="s">
        <v>753</v>
      </c>
      <c r="G479" s="120" t="s">
        <v>753</v>
      </c>
      <c r="H479" s="120" t="s">
        <v>753</v>
      </c>
      <c r="I479" s="120" t="s">
        <v>753</v>
      </c>
      <c r="J479" s="120" t="s">
        <v>753</v>
      </c>
      <c r="K479" s="120" t="s">
        <v>753</v>
      </c>
      <c r="L479" s="120" t="s">
        <v>753</v>
      </c>
      <c r="M479" s="125"/>
      <c r="N479" s="125"/>
      <c r="O479" s="125"/>
      <c r="P479" s="125"/>
      <c r="Q479" s="125"/>
      <c r="R479" s="125"/>
      <c r="S479" s="125"/>
      <c r="T479" s="125"/>
      <c r="U479" s="125"/>
      <c r="V479" s="125"/>
      <c r="W479" s="125"/>
      <c r="X479" s="125"/>
      <c r="Y479" s="125"/>
      <c r="Z479" s="125"/>
      <c r="AA479" s="125"/>
      <c r="AB479" s="125"/>
      <c r="AC479" s="125"/>
    </row>
    <row r="480" spans="1:29" outlineLevel="1">
      <c r="A480" s="120" t="s">
        <v>819</v>
      </c>
      <c r="B480" s="126" t="s">
        <v>140</v>
      </c>
      <c r="C480" s="125"/>
      <c r="D480" s="120" t="s">
        <v>753</v>
      </c>
      <c r="E480" s="120" t="s">
        <v>622</v>
      </c>
      <c r="F480" s="120" t="s">
        <v>753</v>
      </c>
      <c r="G480" s="120" t="s">
        <v>753</v>
      </c>
      <c r="H480" s="120" t="s">
        <v>753</v>
      </c>
      <c r="I480" s="120" t="s">
        <v>753</v>
      </c>
      <c r="J480" s="120" t="s">
        <v>753</v>
      </c>
      <c r="K480" s="120" t="s">
        <v>753</v>
      </c>
      <c r="L480" s="120" t="s">
        <v>753</v>
      </c>
      <c r="M480" s="125"/>
      <c r="N480" s="125"/>
      <c r="O480" s="125"/>
      <c r="P480" s="125"/>
      <c r="Q480" s="125"/>
      <c r="R480" s="125"/>
      <c r="S480" s="125"/>
      <c r="T480" s="125"/>
      <c r="U480" s="125"/>
      <c r="V480" s="125"/>
      <c r="W480" s="125"/>
      <c r="X480" s="125"/>
      <c r="Y480" s="125"/>
      <c r="Z480" s="125"/>
      <c r="AA480" s="125"/>
      <c r="AB480" s="125"/>
      <c r="AC480" s="125"/>
    </row>
    <row r="481" spans="1:29" outlineLevel="1">
      <c r="A481" s="120" t="s">
        <v>818</v>
      </c>
      <c r="B481" s="126" t="s">
        <v>128</v>
      </c>
      <c r="C481" s="125"/>
      <c r="D481" s="120" t="s">
        <v>753</v>
      </c>
      <c r="E481" s="120" t="s">
        <v>622</v>
      </c>
      <c r="F481" s="120" t="s">
        <v>753</v>
      </c>
      <c r="G481" s="120" t="s">
        <v>753</v>
      </c>
      <c r="H481" s="120" t="s">
        <v>753</v>
      </c>
      <c r="I481" s="120" t="s">
        <v>753</v>
      </c>
      <c r="J481" s="120" t="s">
        <v>753</v>
      </c>
      <c r="K481" s="120" t="s">
        <v>753</v>
      </c>
      <c r="L481" s="120" t="s">
        <v>753</v>
      </c>
      <c r="M481" s="125"/>
      <c r="N481" s="125"/>
      <c r="O481" s="125"/>
      <c r="P481" s="125"/>
      <c r="Q481" s="125"/>
      <c r="R481" s="125"/>
      <c r="S481" s="125"/>
      <c r="T481" s="125"/>
      <c r="U481" s="125"/>
      <c r="V481" s="125"/>
      <c r="W481" s="125"/>
      <c r="X481" s="125"/>
      <c r="Y481" s="125"/>
      <c r="Z481" s="125"/>
      <c r="AA481" s="125"/>
      <c r="AB481" s="125"/>
      <c r="AC481" s="125"/>
    </row>
    <row r="482" spans="1:29" outlineLevel="1">
      <c r="A482" s="120" t="s">
        <v>817</v>
      </c>
      <c r="B482" s="126" t="s">
        <v>124</v>
      </c>
      <c r="C482" s="125"/>
      <c r="D482" s="120" t="s">
        <v>753</v>
      </c>
      <c r="E482" s="120" t="s">
        <v>622</v>
      </c>
      <c r="F482" s="120" t="s">
        <v>753</v>
      </c>
      <c r="G482" s="120" t="s">
        <v>753</v>
      </c>
      <c r="H482" s="120" t="s">
        <v>753</v>
      </c>
      <c r="I482" s="120" t="s">
        <v>753</v>
      </c>
      <c r="J482" s="120" t="s">
        <v>753</v>
      </c>
      <c r="K482" s="120" t="s">
        <v>753</v>
      </c>
      <c r="L482" s="120" t="s">
        <v>753</v>
      </c>
      <c r="M482" s="125"/>
      <c r="N482" s="125"/>
      <c r="O482" s="125"/>
      <c r="P482" s="125"/>
      <c r="Q482" s="125"/>
      <c r="R482" s="125"/>
      <c r="S482" s="125"/>
      <c r="T482" s="125"/>
      <c r="U482" s="125"/>
      <c r="V482" s="125"/>
      <c r="W482" s="125"/>
      <c r="X482" s="125"/>
      <c r="Y482" s="125"/>
      <c r="Z482" s="125"/>
      <c r="AA482" s="125"/>
      <c r="AB482" s="125"/>
      <c r="AC482" s="125"/>
    </row>
    <row r="483" spans="1:29" outlineLevel="1">
      <c r="A483" s="120" t="s">
        <v>816</v>
      </c>
      <c r="B483" s="126" t="s">
        <v>101</v>
      </c>
      <c r="C483" s="125"/>
      <c r="D483" s="120" t="s">
        <v>753</v>
      </c>
      <c r="E483" s="120" t="s">
        <v>622</v>
      </c>
      <c r="F483" s="120" t="s">
        <v>753</v>
      </c>
      <c r="G483" s="120" t="s">
        <v>753</v>
      </c>
      <c r="H483" s="120" t="s">
        <v>753</v>
      </c>
      <c r="I483" s="120" t="s">
        <v>753</v>
      </c>
      <c r="J483" s="120" t="s">
        <v>753</v>
      </c>
      <c r="K483" s="120" t="s">
        <v>753</v>
      </c>
      <c r="L483" s="120" t="s">
        <v>753</v>
      </c>
      <c r="M483" s="125"/>
      <c r="N483" s="125"/>
      <c r="O483" s="125"/>
      <c r="P483" s="125"/>
      <c r="Q483" s="125"/>
      <c r="R483" s="125"/>
      <c r="S483" s="125"/>
      <c r="T483" s="125"/>
      <c r="U483" s="125"/>
      <c r="V483" s="125"/>
      <c r="W483" s="125"/>
      <c r="X483" s="125"/>
      <c r="Y483" s="125"/>
      <c r="Z483" s="125"/>
      <c r="AA483" s="125"/>
      <c r="AB483" s="125"/>
      <c r="AC483" s="125"/>
    </row>
    <row r="484" spans="1:29" outlineLevel="1">
      <c r="A484" s="120" t="s">
        <v>815</v>
      </c>
      <c r="B484" s="126" t="s">
        <v>651</v>
      </c>
      <c r="C484" s="125"/>
      <c r="D484" s="120" t="s">
        <v>753</v>
      </c>
      <c r="E484" s="120" t="s">
        <v>622</v>
      </c>
      <c r="F484" s="120" t="s">
        <v>753</v>
      </c>
      <c r="G484" s="120" t="s">
        <v>753</v>
      </c>
      <c r="H484" s="120" t="s">
        <v>753</v>
      </c>
      <c r="I484" s="120" t="s">
        <v>753</v>
      </c>
      <c r="J484" s="120" t="s">
        <v>753</v>
      </c>
      <c r="K484" s="120" t="s">
        <v>753</v>
      </c>
      <c r="L484" s="120" t="s">
        <v>753</v>
      </c>
      <c r="M484" s="125"/>
      <c r="N484" s="125"/>
      <c r="O484" s="125"/>
      <c r="P484" s="125"/>
      <c r="Q484" s="125"/>
      <c r="R484" s="125"/>
      <c r="S484" s="125"/>
      <c r="T484" s="125"/>
      <c r="U484" s="125"/>
      <c r="V484" s="125"/>
      <c r="W484" s="125"/>
      <c r="X484" s="125"/>
      <c r="Y484" s="125"/>
      <c r="Z484" s="125"/>
      <c r="AA484" s="125"/>
      <c r="AB484" s="125"/>
      <c r="AC484" s="125"/>
    </row>
    <row r="485" spans="1:29" outlineLevel="1">
      <c r="A485" s="120" t="s">
        <v>814</v>
      </c>
      <c r="B485" s="126" t="s">
        <v>637</v>
      </c>
      <c r="C485" s="125"/>
      <c r="D485" s="120" t="s">
        <v>753</v>
      </c>
      <c r="E485" s="120" t="s">
        <v>622</v>
      </c>
      <c r="F485" s="120" t="s">
        <v>753</v>
      </c>
      <c r="G485" s="120" t="s">
        <v>753</v>
      </c>
      <c r="H485" s="120" t="s">
        <v>753</v>
      </c>
      <c r="I485" s="120" t="s">
        <v>753</v>
      </c>
      <c r="J485" s="120" t="s">
        <v>753</v>
      </c>
      <c r="K485" s="120" t="s">
        <v>753</v>
      </c>
      <c r="L485" s="120" t="s">
        <v>753</v>
      </c>
      <c r="M485" s="125"/>
      <c r="N485" s="125"/>
      <c r="O485" s="125"/>
      <c r="P485" s="125"/>
      <c r="Q485" s="125"/>
      <c r="R485" s="125"/>
      <c r="S485" s="125"/>
      <c r="T485" s="125"/>
      <c r="U485" s="125"/>
      <c r="V485" s="125"/>
      <c r="W485" s="125"/>
      <c r="X485" s="125"/>
      <c r="Y485" s="125"/>
      <c r="Z485" s="125"/>
      <c r="AA485" s="125"/>
      <c r="AB485" s="125"/>
      <c r="AC485" s="125"/>
    </row>
    <row r="486" spans="1:29" outlineLevel="1">
      <c r="A486" s="120" t="s">
        <v>813</v>
      </c>
      <c r="B486" s="126" t="s">
        <v>600</v>
      </c>
      <c r="C486" s="125"/>
      <c r="D486" s="120" t="s">
        <v>753</v>
      </c>
      <c r="E486" s="120" t="s">
        <v>622</v>
      </c>
      <c r="F486" s="120" t="s">
        <v>753</v>
      </c>
      <c r="G486" s="120" t="s">
        <v>753</v>
      </c>
      <c r="H486" s="120" t="s">
        <v>753</v>
      </c>
      <c r="I486" s="120" t="s">
        <v>753</v>
      </c>
      <c r="J486" s="120" t="s">
        <v>753</v>
      </c>
      <c r="K486" s="120" t="s">
        <v>753</v>
      </c>
      <c r="L486" s="120" t="s">
        <v>753</v>
      </c>
      <c r="M486" s="125"/>
      <c r="N486" s="125"/>
      <c r="O486" s="125"/>
      <c r="P486" s="125"/>
      <c r="Q486" s="125"/>
      <c r="R486" s="125"/>
      <c r="S486" s="125"/>
      <c r="T486" s="125"/>
      <c r="U486" s="125"/>
      <c r="V486" s="125"/>
      <c r="W486" s="125"/>
      <c r="X486" s="125"/>
      <c r="Y486" s="125"/>
      <c r="Z486" s="125"/>
      <c r="AA486" s="125"/>
      <c r="AB486" s="125"/>
      <c r="AC486" s="125"/>
    </row>
    <row r="487" spans="1:29" outlineLevel="1">
      <c r="A487" s="120" t="s">
        <v>812</v>
      </c>
      <c r="B487" s="126" t="s">
        <v>578</v>
      </c>
      <c r="C487" s="125"/>
      <c r="D487" s="120" t="s">
        <v>753</v>
      </c>
      <c r="E487" s="120" t="s">
        <v>622</v>
      </c>
      <c r="F487" s="120" t="s">
        <v>753</v>
      </c>
      <c r="G487" s="120" t="s">
        <v>753</v>
      </c>
      <c r="H487" s="120" t="s">
        <v>753</v>
      </c>
      <c r="I487" s="120" t="s">
        <v>753</v>
      </c>
      <c r="J487" s="120" t="s">
        <v>753</v>
      </c>
      <c r="K487" s="120" t="s">
        <v>753</v>
      </c>
      <c r="L487" s="120" t="s">
        <v>753</v>
      </c>
      <c r="M487" s="125"/>
      <c r="N487" s="125"/>
      <c r="O487" s="125"/>
      <c r="P487" s="125"/>
      <c r="Q487" s="125"/>
      <c r="R487" s="125"/>
      <c r="S487" s="125"/>
      <c r="T487" s="125"/>
      <c r="U487" s="125"/>
      <c r="V487" s="125"/>
      <c r="W487" s="125"/>
      <c r="X487" s="125"/>
      <c r="Y487" s="125"/>
      <c r="Z487" s="125"/>
      <c r="AA487" s="125"/>
      <c r="AB487" s="125"/>
      <c r="AC487" s="125"/>
    </row>
    <row r="488" spans="1:29" outlineLevel="1">
      <c r="A488" s="120" t="s">
        <v>811</v>
      </c>
      <c r="B488" s="126" t="s">
        <v>575</v>
      </c>
      <c r="C488" s="125"/>
      <c r="D488" s="120" t="s">
        <v>753</v>
      </c>
      <c r="E488" s="120" t="s">
        <v>622</v>
      </c>
      <c r="F488" s="120" t="s">
        <v>753</v>
      </c>
      <c r="G488" s="120" t="s">
        <v>753</v>
      </c>
      <c r="H488" s="120" t="s">
        <v>753</v>
      </c>
      <c r="I488" s="120" t="s">
        <v>753</v>
      </c>
      <c r="J488" s="120" t="s">
        <v>753</v>
      </c>
      <c r="K488" s="120" t="s">
        <v>753</v>
      </c>
      <c r="L488" s="120" t="s">
        <v>753</v>
      </c>
      <c r="M488" s="125"/>
      <c r="N488" s="125"/>
      <c r="O488" s="125"/>
      <c r="P488" s="125"/>
      <c r="Q488" s="125"/>
      <c r="R488" s="125"/>
      <c r="S488" s="125"/>
      <c r="T488" s="125"/>
      <c r="U488" s="125"/>
      <c r="V488" s="125"/>
      <c r="W488" s="125"/>
      <c r="X488" s="125"/>
      <c r="Y488" s="125"/>
      <c r="Z488" s="125"/>
      <c r="AA488" s="125"/>
      <c r="AB488" s="125"/>
      <c r="AC488" s="125"/>
    </row>
    <row r="489" spans="1:29" outlineLevel="1">
      <c r="A489" s="120" t="s">
        <v>810</v>
      </c>
      <c r="B489" s="126" t="s">
        <v>547</v>
      </c>
      <c r="C489" s="125"/>
      <c r="D489" s="120" t="s">
        <v>753</v>
      </c>
      <c r="E489" s="120" t="s">
        <v>622</v>
      </c>
      <c r="F489" s="120" t="s">
        <v>753</v>
      </c>
      <c r="G489" s="120" t="s">
        <v>753</v>
      </c>
      <c r="H489" s="120" t="s">
        <v>753</v>
      </c>
      <c r="I489" s="120" t="s">
        <v>753</v>
      </c>
      <c r="J489" s="120" t="s">
        <v>753</v>
      </c>
      <c r="K489" s="120" t="s">
        <v>753</v>
      </c>
      <c r="L489" s="120" t="s">
        <v>753</v>
      </c>
      <c r="M489" s="125"/>
      <c r="N489" s="125"/>
      <c r="O489" s="125"/>
      <c r="P489" s="125"/>
      <c r="Q489" s="125"/>
      <c r="R489" s="125"/>
      <c r="S489" s="125"/>
      <c r="T489" s="125"/>
      <c r="U489" s="125"/>
      <c r="V489" s="125"/>
      <c r="W489" s="125"/>
      <c r="X489" s="125"/>
      <c r="Y489" s="125"/>
      <c r="Z489" s="125"/>
      <c r="AA489" s="125"/>
      <c r="AB489" s="125"/>
      <c r="AC489" s="125"/>
    </row>
    <row r="490" spans="1:29" outlineLevel="1">
      <c r="A490" s="120" t="s">
        <v>809</v>
      </c>
      <c r="B490" s="126" t="s">
        <v>544</v>
      </c>
      <c r="C490" s="125"/>
      <c r="D490" s="120" t="s">
        <v>753</v>
      </c>
      <c r="E490" s="120" t="s">
        <v>622</v>
      </c>
      <c r="F490" s="120" t="s">
        <v>753</v>
      </c>
      <c r="G490" s="120" t="s">
        <v>753</v>
      </c>
      <c r="H490" s="120" t="s">
        <v>753</v>
      </c>
      <c r="I490" s="120" t="s">
        <v>753</v>
      </c>
      <c r="J490" s="120" t="s">
        <v>753</v>
      </c>
      <c r="K490" s="120" t="s">
        <v>753</v>
      </c>
      <c r="L490" s="120" t="s">
        <v>753</v>
      </c>
      <c r="M490" s="125"/>
      <c r="N490" s="125"/>
      <c r="O490" s="125"/>
      <c r="P490" s="125"/>
      <c r="Q490" s="125"/>
      <c r="R490" s="125"/>
      <c r="S490" s="125"/>
      <c r="T490" s="125"/>
      <c r="U490" s="125"/>
      <c r="V490" s="125"/>
      <c r="W490" s="125"/>
      <c r="X490" s="125"/>
      <c r="Y490" s="125"/>
      <c r="Z490" s="125"/>
      <c r="AA490" s="125"/>
      <c r="AB490" s="125"/>
      <c r="AC490" s="125"/>
    </row>
    <row r="491" spans="1:29" outlineLevel="1">
      <c r="A491" s="120" t="s">
        <v>808</v>
      </c>
      <c r="B491" s="126" t="s">
        <v>501</v>
      </c>
      <c r="C491" s="125"/>
      <c r="D491" s="120" t="s">
        <v>753</v>
      </c>
      <c r="E491" s="120" t="s">
        <v>622</v>
      </c>
      <c r="F491" s="120" t="s">
        <v>753</v>
      </c>
      <c r="G491" s="120" t="s">
        <v>753</v>
      </c>
      <c r="H491" s="120" t="s">
        <v>753</v>
      </c>
      <c r="I491" s="120" t="s">
        <v>753</v>
      </c>
      <c r="J491" s="120" t="s">
        <v>753</v>
      </c>
      <c r="K491" s="120" t="s">
        <v>753</v>
      </c>
      <c r="L491" s="120" t="s">
        <v>753</v>
      </c>
      <c r="M491" s="125"/>
      <c r="N491" s="125"/>
      <c r="O491" s="125"/>
      <c r="P491" s="125"/>
      <c r="Q491" s="125"/>
      <c r="R491" s="125"/>
      <c r="S491" s="125"/>
      <c r="T491" s="125"/>
      <c r="U491" s="125"/>
      <c r="V491" s="125"/>
      <c r="W491" s="125"/>
      <c r="X491" s="125"/>
      <c r="Y491" s="125"/>
      <c r="Z491" s="125"/>
      <c r="AA491" s="125"/>
      <c r="AB491" s="125"/>
      <c r="AC491" s="125"/>
    </row>
    <row r="492" spans="1:29" outlineLevel="1">
      <c r="A492" s="120" t="s">
        <v>807</v>
      </c>
      <c r="B492" s="126" t="s">
        <v>498</v>
      </c>
      <c r="C492" s="125"/>
      <c r="D492" s="120" t="s">
        <v>753</v>
      </c>
      <c r="E492" s="120" t="s">
        <v>622</v>
      </c>
      <c r="F492" s="120" t="s">
        <v>753</v>
      </c>
      <c r="G492" s="120" t="s">
        <v>753</v>
      </c>
      <c r="H492" s="120" t="s">
        <v>753</v>
      </c>
      <c r="I492" s="120" t="s">
        <v>753</v>
      </c>
      <c r="J492" s="120" t="s">
        <v>753</v>
      </c>
      <c r="K492" s="120" t="s">
        <v>753</v>
      </c>
      <c r="L492" s="120" t="s">
        <v>753</v>
      </c>
      <c r="M492" s="125"/>
      <c r="N492" s="125"/>
      <c r="O492" s="125"/>
      <c r="P492" s="125"/>
      <c r="Q492" s="125"/>
      <c r="R492" s="125"/>
      <c r="S492" s="125"/>
      <c r="T492" s="125"/>
      <c r="U492" s="125"/>
      <c r="V492" s="125"/>
      <c r="W492" s="125"/>
      <c r="X492" s="125"/>
      <c r="Y492" s="125"/>
      <c r="Z492" s="125"/>
      <c r="AA492" s="125"/>
      <c r="AB492" s="125"/>
      <c r="AC492" s="125"/>
    </row>
    <row r="493" spans="1:29" outlineLevel="1">
      <c r="A493" s="120" t="s">
        <v>806</v>
      </c>
      <c r="B493" s="126" t="s">
        <v>457</v>
      </c>
      <c r="C493" s="125"/>
      <c r="D493" s="120" t="s">
        <v>753</v>
      </c>
      <c r="E493" s="120" t="s">
        <v>622</v>
      </c>
      <c r="F493" s="120" t="s">
        <v>753</v>
      </c>
      <c r="G493" s="120" t="s">
        <v>753</v>
      </c>
      <c r="H493" s="120" t="s">
        <v>753</v>
      </c>
      <c r="I493" s="120" t="s">
        <v>753</v>
      </c>
      <c r="J493" s="120" t="s">
        <v>753</v>
      </c>
      <c r="K493" s="120" t="s">
        <v>753</v>
      </c>
      <c r="L493" s="120" t="s">
        <v>753</v>
      </c>
      <c r="M493" s="125"/>
      <c r="N493" s="125"/>
      <c r="O493" s="125"/>
      <c r="P493" s="125"/>
      <c r="Q493" s="125"/>
      <c r="R493" s="125"/>
      <c r="S493" s="125"/>
      <c r="T493" s="125"/>
      <c r="U493" s="125"/>
      <c r="V493" s="125"/>
      <c r="W493" s="125"/>
      <c r="X493" s="125"/>
      <c r="Y493" s="125"/>
      <c r="Z493" s="125"/>
      <c r="AA493" s="125"/>
      <c r="AB493" s="125"/>
      <c r="AC493" s="125"/>
    </row>
    <row r="494" spans="1:29" outlineLevel="1">
      <c r="A494" s="120" t="s">
        <v>805</v>
      </c>
      <c r="B494" s="126" t="s">
        <v>454</v>
      </c>
      <c r="C494" s="125"/>
      <c r="D494" s="120" t="s">
        <v>753</v>
      </c>
      <c r="E494" s="120" t="s">
        <v>622</v>
      </c>
      <c r="F494" s="120" t="s">
        <v>753</v>
      </c>
      <c r="G494" s="120" t="s">
        <v>753</v>
      </c>
      <c r="H494" s="120" t="s">
        <v>753</v>
      </c>
      <c r="I494" s="120" t="s">
        <v>753</v>
      </c>
      <c r="J494" s="120" t="s">
        <v>753</v>
      </c>
      <c r="K494" s="120" t="s">
        <v>753</v>
      </c>
      <c r="L494" s="120" t="s">
        <v>753</v>
      </c>
      <c r="M494" s="125"/>
      <c r="N494" s="125"/>
      <c r="O494" s="125"/>
      <c r="P494" s="125"/>
      <c r="Q494" s="125"/>
      <c r="R494" s="125"/>
      <c r="S494" s="125"/>
      <c r="T494" s="125"/>
      <c r="U494" s="125"/>
      <c r="V494" s="125"/>
      <c r="W494" s="125"/>
      <c r="X494" s="125"/>
      <c r="Y494" s="125"/>
      <c r="Z494" s="125"/>
      <c r="AA494" s="125"/>
      <c r="AB494" s="125"/>
      <c r="AC494" s="125"/>
    </row>
    <row r="495" spans="1:29" outlineLevel="1">
      <c r="A495" s="120" t="s">
        <v>804</v>
      </c>
      <c r="B495" s="126" t="s">
        <v>410</v>
      </c>
      <c r="C495" s="125"/>
      <c r="D495" s="120" t="s">
        <v>753</v>
      </c>
      <c r="E495" s="120" t="s">
        <v>622</v>
      </c>
      <c r="F495" s="120" t="s">
        <v>753</v>
      </c>
      <c r="G495" s="120" t="s">
        <v>753</v>
      </c>
      <c r="H495" s="120" t="s">
        <v>753</v>
      </c>
      <c r="I495" s="120" t="s">
        <v>753</v>
      </c>
      <c r="J495" s="120" t="s">
        <v>753</v>
      </c>
      <c r="K495" s="120" t="s">
        <v>753</v>
      </c>
      <c r="L495" s="120" t="s">
        <v>753</v>
      </c>
      <c r="M495" s="125"/>
      <c r="N495" s="125"/>
      <c r="O495" s="125"/>
      <c r="P495" s="125"/>
      <c r="Q495" s="125"/>
      <c r="R495" s="125"/>
      <c r="S495" s="125"/>
      <c r="T495" s="125"/>
      <c r="U495" s="125"/>
      <c r="V495" s="125"/>
      <c r="W495" s="125"/>
      <c r="X495" s="125"/>
      <c r="Y495" s="125"/>
      <c r="Z495" s="125"/>
      <c r="AA495" s="125"/>
      <c r="AB495" s="125"/>
      <c r="AC495" s="125"/>
    </row>
    <row r="496" spans="1:29" outlineLevel="1">
      <c r="A496" s="120" t="s">
        <v>803</v>
      </c>
      <c r="B496" s="126" t="s">
        <v>323</v>
      </c>
      <c r="C496" s="125"/>
      <c r="D496" s="120" t="s">
        <v>753</v>
      </c>
      <c r="E496" s="120" t="s">
        <v>622</v>
      </c>
      <c r="F496" s="120" t="s">
        <v>753</v>
      </c>
      <c r="G496" s="120" t="s">
        <v>753</v>
      </c>
      <c r="H496" s="120" t="s">
        <v>753</v>
      </c>
      <c r="I496" s="120" t="s">
        <v>753</v>
      </c>
      <c r="J496" s="120" t="s">
        <v>753</v>
      </c>
      <c r="K496" s="120" t="s">
        <v>753</v>
      </c>
      <c r="L496" s="120" t="s">
        <v>753</v>
      </c>
      <c r="M496" s="125"/>
      <c r="N496" s="125"/>
      <c r="O496" s="125"/>
      <c r="P496" s="125"/>
      <c r="Q496" s="125"/>
      <c r="R496" s="125"/>
      <c r="S496" s="125"/>
      <c r="T496" s="125"/>
      <c r="U496" s="125"/>
      <c r="V496" s="125"/>
      <c r="W496" s="125"/>
      <c r="X496" s="125"/>
      <c r="Y496" s="125"/>
      <c r="Z496" s="125"/>
      <c r="AA496" s="125"/>
      <c r="AB496" s="125"/>
      <c r="AC496" s="125"/>
    </row>
    <row r="497" spans="1:29" outlineLevel="1">
      <c r="A497" s="120" t="s">
        <v>802</v>
      </c>
      <c r="B497" s="126" t="s">
        <v>320</v>
      </c>
      <c r="C497" s="125"/>
      <c r="D497" s="120" t="s">
        <v>753</v>
      </c>
      <c r="E497" s="120" t="s">
        <v>622</v>
      </c>
      <c r="F497" s="120" t="s">
        <v>753</v>
      </c>
      <c r="G497" s="120" t="s">
        <v>753</v>
      </c>
      <c r="H497" s="120" t="s">
        <v>753</v>
      </c>
      <c r="I497" s="120" t="s">
        <v>753</v>
      </c>
      <c r="J497" s="120" t="s">
        <v>753</v>
      </c>
      <c r="K497" s="120" t="s">
        <v>753</v>
      </c>
      <c r="L497" s="120" t="s">
        <v>753</v>
      </c>
      <c r="M497" s="125"/>
      <c r="N497" s="125"/>
      <c r="O497" s="125"/>
      <c r="P497" s="125"/>
      <c r="Q497" s="125"/>
      <c r="R497" s="125"/>
      <c r="S497" s="125"/>
      <c r="T497" s="125"/>
      <c r="U497" s="125"/>
      <c r="V497" s="125"/>
      <c r="W497" s="125"/>
      <c r="X497" s="125"/>
      <c r="Y497" s="125"/>
      <c r="Z497" s="125"/>
      <c r="AA497" s="125"/>
      <c r="AB497" s="125"/>
      <c r="AC497" s="125"/>
    </row>
    <row r="498" spans="1:29" outlineLevel="1">
      <c r="A498" s="120" t="s">
        <v>801</v>
      </c>
      <c r="B498" s="126" t="s">
        <v>279</v>
      </c>
      <c r="C498" s="125"/>
      <c r="D498" s="120" t="s">
        <v>753</v>
      </c>
      <c r="E498" s="120" t="s">
        <v>622</v>
      </c>
      <c r="F498" s="120" t="s">
        <v>753</v>
      </c>
      <c r="G498" s="120" t="s">
        <v>753</v>
      </c>
      <c r="H498" s="120" t="s">
        <v>753</v>
      </c>
      <c r="I498" s="120" t="s">
        <v>753</v>
      </c>
      <c r="J498" s="120" t="s">
        <v>753</v>
      </c>
      <c r="K498" s="120" t="s">
        <v>753</v>
      </c>
      <c r="L498" s="120" t="s">
        <v>753</v>
      </c>
      <c r="M498" s="125"/>
      <c r="N498" s="125"/>
      <c r="O498" s="125"/>
      <c r="P498" s="125"/>
      <c r="Q498" s="125"/>
      <c r="R498" s="125"/>
      <c r="S498" s="125"/>
      <c r="T498" s="125"/>
      <c r="U498" s="125"/>
      <c r="V498" s="125"/>
      <c r="W498" s="125"/>
      <c r="X498" s="125"/>
      <c r="Y498" s="125"/>
      <c r="Z498" s="125"/>
      <c r="AA498" s="125"/>
      <c r="AB498" s="125"/>
      <c r="AC498" s="125"/>
    </row>
    <row r="499" spans="1:29" outlineLevel="1">
      <c r="A499" s="120" t="s">
        <v>800</v>
      </c>
      <c r="B499" s="126" t="s">
        <v>276</v>
      </c>
      <c r="C499" s="125"/>
      <c r="D499" s="120" t="s">
        <v>753</v>
      </c>
      <c r="E499" s="120" t="s">
        <v>622</v>
      </c>
      <c r="F499" s="120" t="s">
        <v>753</v>
      </c>
      <c r="G499" s="120" t="s">
        <v>753</v>
      </c>
      <c r="H499" s="120" t="s">
        <v>753</v>
      </c>
      <c r="I499" s="120" t="s">
        <v>753</v>
      </c>
      <c r="J499" s="120" t="s">
        <v>753</v>
      </c>
      <c r="K499" s="120" t="s">
        <v>753</v>
      </c>
      <c r="L499" s="120" t="s">
        <v>753</v>
      </c>
      <c r="M499" s="125"/>
      <c r="N499" s="125"/>
      <c r="O499" s="125"/>
      <c r="P499" s="125"/>
      <c r="Q499" s="125"/>
      <c r="R499" s="125"/>
      <c r="S499" s="125"/>
      <c r="T499" s="125"/>
      <c r="U499" s="125"/>
      <c r="V499" s="125"/>
      <c r="W499" s="125"/>
      <c r="X499" s="125"/>
      <c r="Y499" s="125"/>
      <c r="Z499" s="125"/>
      <c r="AA499" s="125"/>
      <c r="AB499" s="125"/>
      <c r="AC499" s="125"/>
    </row>
    <row r="500" spans="1:29" outlineLevel="1">
      <c r="A500" s="120" t="s">
        <v>799</v>
      </c>
      <c r="B500" s="126" t="s">
        <v>246</v>
      </c>
      <c r="C500" s="125"/>
      <c r="D500" s="120" t="s">
        <v>753</v>
      </c>
      <c r="E500" s="120" t="s">
        <v>622</v>
      </c>
      <c r="F500" s="120" t="s">
        <v>753</v>
      </c>
      <c r="G500" s="120" t="s">
        <v>753</v>
      </c>
      <c r="H500" s="120" t="s">
        <v>753</v>
      </c>
      <c r="I500" s="120" t="s">
        <v>753</v>
      </c>
      <c r="J500" s="120" t="s">
        <v>753</v>
      </c>
      <c r="K500" s="120" t="s">
        <v>753</v>
      </c>
      <c r="L500" s="120" t="s">
        <v>753</v>
      </c>
      <c r="M500" s="125"/>
      <c r="N500" s="125"/>
      <c r="O500" s="125"/>
      <c r="P500" s="125"/>
      <c r="Q500" s="125"/>
      <c r="R500" s="125"/>
      <c r="S500" s="125"/>
      <c r="T500" s="125"/>
      <c r="U500" s="125"/>
      <c r="V500" s="125"/>
      <c r="W500" s="125"/>
      <c r="X500" s="125"/>
      <c r="Y500" s="125"/>
      <c r="Z500" s="125"/>
      <c r="AA500" s="125"/>
      <c r="AB500" s="125"/>
      <c r="AC500" s="125"/>
    </row>
    <row r="501" spans="1:29" outlineLevel="1">
      <c r="A501" s="120" t="s">
        <v>798</v>
      </c>
      <c r="B501" s="126" t="s">
        <v>243</v>
      </c>
      <c r="C501" s="125"/>
      <c r="D501" s="120" t="s">
        <v>753</v>
      </c>
      <c r="E501" s="120" t="s">
        <v>622</v>
      </c>
      <c r="F501" s="120" t="s">
        <v>753</v>
      </c>
      <c r="G501" s="120" t="s">
        <v>753</v>
      </c>
      <c r="H501" s="120" t="s">
        <v>753</v>
      </c>
      <c r="I501" s="120" t="s">
        <v>753</v>
      </c>
      <c r="J501" s="120" t="s">
        <v>753</v>
      </c>
      <c r="K501" s="120" t="s">
        <v>753</v>
      </c>
      <c r="L501" s="120" t="s">
        <v>753</v>
      </c>
      <c r="M501" s="125"/>
      <c r="N501" s="125"/>
      <c r="O501" s="125"/>
      <c r="P501" s="125"/>
      <c r="Q501" s="125"/>
      <c r="R501" s="125"/>
      <c r="S501" s="125"/>
      <c r="T501" s="125"/>
      <c r="U501" s="125"/>
      <c r="V501" s="125"/>
      <c r="W501" s="125"/>
      <c r="X501" s="125"/>
      <c r="Y501" s="125"/>
      <c r="Z501" s="125"/>
      <c r="AA501" s="125"/>
      <c r="AB501" s="125"/>
      <c r="AC501" s="125"/>
    </row>
    <row r="502" spans="1:29" outlineLevel="1">
      <c r="A502" s="120" t="s">
        <v>797</v>
      </c>
      <c r="B502" s="126" t="s">
        <v>234</v>
      </c>
      <c r="C502" s="125"/>
      <c r="D502" s="120" t="s">
        <v>753</v>
      </c>
      <c r="E502" s="120" t="s">
        <v>622</v>
      </c>
      <c r="F502" s="120" t="s">
        <v>753</v>
      </c>
      <c r="G502" s="120" t="s">
        <v>753</v>
      </c>
      <c r="H502" s="120" t="s">
        <v>753</v>
      </c>
      <c r="I502" s="120" t="s">
        <v>753</v>
      </c>
      <c r="J502" s="120" t="s">
        <v>753</v>
      </c>
      <c r="K502" s="120" t="s">
        <v>753</v>
      </c>
      <c r="L502" s="120" t="s">
        <v>753</v>
      </c>
      <c r="M502" s="125"/>
      <c r="N502" s="125"/>
      <c r="O502" s="125"/>
      <c r="P502" s="125"/>
      <c r="Q502" s="125"/>
      <c r="R502" s="125"/>
      <c r="S502" s="125"/>
      <c r="T502" s="125"/>
      <c r="U502" s="125"/>
      <c r="V502" s="125"/>
      <c r="W502" s="125"/>
      <c r="X502" s="125"/>
      <c r="Y502" s="125"/>
      <c r="Z502" s="125"/>
      <c r="AA502" s="125"/>
      <c r="AB502" s="125"/>
      <c r="AC502" s="125"/>
    </row>
    <row r="503" spans="1:29" outlineLevel="1">
      <c r="A503" s="120" t="s">
        <v>796</v>
      </c>
      <c r="B503" s="126" t="s">
        <v>233</v>
      </c>
      <c r="C503" s="125"/>
      <c r="D503" s="120" t="s">
        <v>753</v>
      </c>
      <c r="E503" s="120" t="s">
        <v>622</v>
      </c>
      <c r="F503" s="120" t="s">
        <v>753</v>
      </c>
      <c r="G503" s="120" t="s">
        <v>753</v>
      </c>
      <c r="H503" s="120" t="s">
        <v>753</v>
      </c>
      <c r="I503" s="120" t="s">
        <v>753</v>
      </c>
      <c r="J503" s="120" t="s">
        <v>753</v>
      </c>
      <c r="K503" s="120" t="s">
        <v>753</v>
      </c>
      <c r="L503" s="120" t="s">
        <v>753</v>
      </c>
      <c r="M503" s="125"/>
      <c r="N503" s="125"/>
      <c r="O503" s="125"/>
      <c r="P503" s="125"/>
      <c r="Q503" s="125"/>
      <c r="R503" s="125"/>
      <c r="S503" s="125"/>
      <c r="T503" s="125"/>
      <c r="U503" s="125"/>
      <c r="V503" s="125"/>
      <c r="W503" s="125"/>
      <c r="X503" s="125"/>
      <c r="Y503" s="125"/>
      <c r="Z503" s="125"/>
      <c r="AA503" s="125"/>
      <c r="AB503" s="125"/>
      <c r="AC503" s="125"/>
    </row>
    <row r="504" spans="1:29" outlineLevel="1">
      <c r="A504" s="120" t="s">
        <v>795</v>
      </c>
      <c r="B504" s="126" t="s">
        <v>232</v>
      </c>
      <c r="C504" s="125"/>
      <c r="D504" s="120" t="s">
        <v>753</v>
      </c>
      <c r="E504" s="120" t="s">
        <v>622</v>
      </c>
      <c r="F504" s="120" t="s">
        <v>753</v>
      </c>
      <c r="G504" s="120" t="s">
        <v>753</v>
      </c>
      <c r="H504" s="120" t="s">
        <v>753</v>
      </c>
      <c r="I504" s="120" t="s">
        <v>753</v>
      </c>
      <c r="J504" s="120" t="s">
        <v>753</v>
      </c>
      <c r="K504" s="120" t="s">
        <v>753</v>
      </c>
      <c r="L504" s="120" t="s">
        <v>753</v>
      </c>
      <c r="M504" s="125"/>
      <c r="N504" s="125"/>
      <c r="O504" s="125"/>
      <c r="P504" s="125"/>
      <c r="Q504" s="125"/>
      <c r="R504" s="125"/>
      <c r="S504" s="125"/>
      <c r="T504" s="125"/>
      <c r="U504" s="125"/>
      <c r="V504" s="125"/>
      <c r="W504" s="125"/>
      <c r="X504" s="125"/>
      <c r="Y504" s="125"/>
      <c r="Z504" s="125"/>
      <c r="AA504" s="125"/>
      <c r="AB504" s="125"/>
      <c r="AC504" s="125"/>
    </row>
    <row r="505" spans="1:29" outlineLevel="1">
      <c r="A505" s="120" t="s">
        <v>794</v>
      </c>
      <c r="B505" s="126" t="s">
        <v>220</v>
      </c>
      <c r="C505" s="125"/>
      <c r="D505" s="120" t="s">
        <v>753</v>
      </c>
      <c r="E505" s="120" t="s">
        <v>622</v>
      </c>
      <c r="F505" s="120" t="s">
        <v>753</v>
      </c>
      <c r="G505" s="120" t="s">
        <v>753</v>
      </c>
      <c r="H505" s="120" t="s">
        <v>753</v>
      </c>
      <c r="I505" s="120" t="s">
        <v>753</v>
      </c>
      <c r="J505" s="120" t="s">
        <v>753</v>
      </c>
      <c r="K505" s="120" t="s">
        <v>753</v>
      </c>
      <c r="L505" s="120" t="s">
        <v>753</v>
      </c>
      <c r="M505" s="125"/>
      <c r="N505" s="125"/>
      <c r="O505" s="125"/>
      <c r="P505" s="125"/>
      <c r="Q505" s="125"/>
      <c r="R505" s="125"/>
      <c r="S505" s="125"/>
      <c r="T505" s="125"/>
      <c r="U505" s="125"/>
      <c r="V505" s="125"/>
      <c r="W505" s="125"/>
      <c r="X505" s="125"/>
      <c r="Y505" s="125"/>
      <c r="Z505" s="125"/>
      <c r="AA505" s="125"/>
      <c r="AB505" s="125"/>
      <c r="AC505" s="125"/>
    </row>
    <row r="506" spans="1:29" outlineLevel="1">
      <c r="A506" s="120" t="s">
        <v>793</v>
      </c>
      <c r="B506" s="126" t="s">
        <v>186</v>
      </c>
      <c r="C506" s="125"/>
      <c r="D506" s="120" t="s">
        <v>753</v>
      </c>
      <c r="E506" s="120" t="s">
        <v>622</v>
      </c>
      <c r="F506" s="120" t="s">
        <v>753</v>
      </c>
      <c r="G506" s="120" t="s">
        <v>753</v>
      </c>
      <c r="H506" s="120" t="s">
        <v>753</v>
      </c>
      <c r="I506" s="120" t="s">
        <v>753</v>
      </c>
      <c r="J506" s="120" t="s">
        <v>753</v>
      </c>
      <c r="K506" s="120" t="s">
        <v>753</v>
      </c>
      <c r="L506" s="120" t="s">
        <v>753</v>
      </c>
      <c r="M506" s="125"/>
      <c r="N506" s="125"/>
      <c r="O506" s="125"/>
      <c r="P506" s="125"/>
      <c r="Q506" s="125"/>
      <c r="R506" s="125"/>
      <c r="S506" s="125"/>
      <c r="T506" s="125"/>
      <c r="U506" s="125"/>
      <c r="V506" s="125"/>
      <c r="W506" s="125"/>
      <c r="X506" s="125"/>
      <c r="Y506" s="125"/>
      <c r="Z506" s="125"/>
      <c r="AA506" s="125"/>
      <c r="AB506" s="125"/>
      <c r="AC506" s="125"/>
    </row>
    <row r="507" spans="1:29" outlineLevel="1">
      <c r="A507" s="120" t="s">
        <v>792</v>
      </c>
      <c r="B507" s="126" t="s">
        <v>185</v>
      </c>
      <c r="C507" s="125"/>
      <c r="D507" s="120" t="s">
        <v>753</v>
      </c>
      <c r="E507" s="120" t="s">
        <v>622</v>
      </c>
      <c r="F507" s="120" t="s">
        <v>753</v>
      </c>
      <c r="G507" s="120" t="s">
        <v>753</v>
      </c>
      <c r="H507" s="120" t="s">
        <v>753</v>
      </c>
      <c r="I507" s="120" t="s">
        <v>753</v>
      </c>
      <c r="J507" s="120" t="s">
        <v>753</v>
      </c>
      <c r="K507" s="120" t="s">
        <v>753</v>
      </c>
      <c r="L507" s="120" t="s">
        <v>753</v>
      </c>
      <c r="M507" s="125"/>
      <c r="N507" s="125"/>
      <c r="O507" s="125"/>
      <c r="P507" s="125"/>
      <c r="Q507" s="125"/>
      <c r="R507" s="125"/>
      <c r="S507" s="125"/>
      <c r="T507" s="125"/>
      <c r="U507" s="125"/>
      <c r="V507" s="125"/>
      <c r="W507" s="125"/>
      <c r="X507" s="125"/>
      <c r="Y507" s="125"/>
      <c r="Z507" s="125"/>
      <c r="AA507" s="125"/>
      <c r="AB507" s="125"/>
      <c r="AC507" s="125"/>
    </row>
    <row r="508" spans="1:29" outlineLevel="1">
      <c r="A508" s="120" t="s">
        <v>791</v>
      </c>
      <c r="B508" s="126" t="s">
        <v>175</v>
      </c>
      <c r="C508" s="125"/>
      <c r="D508" s="120" t="s">
        <v>753</v>
      </c>
      <c r="E508" s="120" t="s">
        <v>622</v>
      </c>
      <c r="F508" s="120" t="s">
        <v>753</v>
      </c>
      <c r="G508" s="120" t="s">
        <v>753</v>
      </c>
      <c r="H508" s="120" t="s">
        <v>753</v>
      </c>
      <c r="I508" s="120" t="s">
        <v>753</v>
      </c>
      <c r="J508" s="120" t="s">
        <v>753</v>
      </c>
      <c r="K508" s="120" t="s">
        <v>753</v>
      </c>
      <c r="L508" s="120" t="s">
        <v>753</v>
      </c>
      <c r="M508" s="125"/>
      <c r="N508" s="125"/>
      <c r="O508" s="125"/>
      <c r="P508" s="125"/>
      <c r="Q508" s="125"/>
      <c r="R508" s="125"/>
      <c r="S508" s="125"/>
      <c r="T508" s="125"/>
      <c r="U508" s="125"/>
      <c r="V508" s="125"/>
      <c r="W508" s="125"/>
      <c r="X508" s="125"/>
      <c r="Y508" s="125"/>
      <c r="Z508" s="125"/>
      <c r="AA508" s="125"/>
      <c r="AB508" s="125"/>
      <c r="AC508" s="125"/>
    </row>
    <row r="509" spans="1:29" outlineLevel="1">
      <c r="A509" s="120" t="s">
        <v>790</v>
      </c>
      <c r="B509" s="126" t="s">
        <v>563</v>
      </c>
      <c r="C509" s="125"/>
      <c r="D509" s="120" t="s">
        <v>753</v>
      </c>
      <c r="E509" s="120" t="s">
        <v>622</v>
      </c>
      <c r="F509" s="120" t="s">
        <v>753</v>
      </c>
      <c r="G509" s="120" t="s">
        <v>753</v>
      </c>
      <c r="H509" s="120" t="s">
        <v>753</v>
      </c>
      <c r="I509" s="120" t="s">
        <v>753</v>
      </c>
      <c r="J509" s="120" t="s">
        <v>753</v>
      </c>
      <c r="K509" s="120" t="s">
        <v>753</v>
      </c>
      <c r="L509" s="120" t="s">
        <v>753</v>
      </c>
      <c r="M509" s="125"/>
      <c r="N509" s="125"/>
      <c r="O509" s="125"/>
      <c r="P509" s="125"/>
      <c r="Q509" s="125"/>
      <c r="R509" s="125"/>
      <c r="S509" s="125"/>
      <c r="T509" s="125"/>
      <c r="U509" s="125"/>
      <c r="V509" s="125"/>
      <c r="W509" s="125"/>
      <c r="X509" s="125"/>
      <c r="Y509" s="125"/>
      <c r="Z509" s="125"/>
      <c r="AA509" s="125"/>
      <c r="AB509" s="125"/>
      <c r="AC509" s="125"/>
    </row>
    <row r="510" spans="1:29" outlineLevel="1">
      <c r="A510" s="120" t="s">
        <v>789</v>
      </c>
      <c r="B510" s="126" t="s">
        <v>562</v>
      </c>
      <c r="C510" s="125"/>
      <c r="D510" s="120" t="s">
        <v>753</v>
      </c>
      <c r="E510" s="120" t="s">
        <v>622</v>
      </c>
      <c r="F510" s="120" t="s">
        <v>753</v>
      </c>
      <c r="G510" s="120" t="s">
        <v>753</v>
      </c>
      <c r="H510" s="120" t="s">
        <v>753</v>
      </c>
      <c r="I510" s="120" t="s">
        <v>753</v>
      </c>
      <c r="J510" s="120" t="s">
        <v>753</v>
      </c>
      <c r="K510" s="120" t="s">
        <v>753</v>
      </c>
      <c r="L510" s="120" t="s">
        <v>753</v>
      </c>
      <c r="M510" s="125"/>
      <c r="N510" s="125"/>
      <c r="O510" s="125"/>
      <c r="P510" s="125"/>
      <c r="Q510" s="125"/>
      <c r="R510" s="125"/>
      <c r="S510" s="125"/>
      <c r="T510" s="125"/>
      <c r="U510" s="125"/>
      <c r="V510" s="125"/>
      <c r="W510" s="125"/>
      <c r="X510" s="125"/>
      <c r="Y510" s="125"/>
      <c r="Z510" s="125"/>
      <c r="AA510" s="125"/>
      <c r="AB510" s="125"/>
      <c r="AC510" s="125"/>
    </row>
    <row r="511" spans="1:29" outlineLevel="1">
      <c r="A511" s="120" t="s">
        <v>788</v>
      </c>
      <c r="B511" s="126" t="s">
        <v>561</v>
      </c>
      <c r="C511" s="125"/>
      <c r="D511" s="120" t="s">
        <v>753</v>
      </c>
      <c r="E511" s="120" t="s">
        <v>622</v>
      </c>
      <c r="F511" s="120" t="s">
        <v>753</v>
      </c>
      <c r="G511" s="120" t="s">
        <v>753</v>
      </c>
      <c r="H511" s="120" t="s">
        <v>753</v>
      </c>
      <c r="I511" s="120" t="s">
        <v>753</v>
      </c>
      <c r="J511" s="120" t="s">
        <v>753</v>
      </c>
      <c r="K511" s="120" t="s">
        <v>753</v>
      </c>
      <c r="L511" s="120" t="s">
        <v>753</v>
      </c>
      <c r="M511" s="125"/>
      <c r="N511" s="125"/>
      <c r="O511" s="125"/>
      <c r="P511" s="125"/>
      <c r="Q511" s="125"/>
      <c r="R511" s="125"/>
      <c r="S511" s="125"/>
      <c r="T511" s="125"/>
      <c r="U511" s="125"/>
      <c r="V511" s="125"/>
      <c r="W511" s="125"/>
      <c r="X511" s="125"/>
      <c r="Y511" s="125"/>
      <c r="Z511" s="125"/>
      <c r="AA511" s="125"/>
      <c r="AB511" s="125"/>
      <c r="AC511" s="125"/>
    </row>
    <row r="512" spans="1:29" outlineLevel="1">
      <c r="A512" s="120" t="s">
        <v>787</v>
      </c>
      <c r="B512" s="126" t="s">
        <v>542</v>
      </c>
      <c r="C512" s="125"/>
      <c r="D512" s="120" t="s">
        <v>753</v>
      </c>
      <c r="E512" s="120" t="s">
        <v>622</v>
      </c>
      <c r="F512" s="120" t="s">
        <v>753</v>
      </c>
      <c r="G512" s="120" t="s">
        <v>753</v>
      </c>
      <c r="H512" s="120" t="s">
        <v>753</v>
      </c>
      <c r="I512" s="120" t="s">
        <v>753</v>
      </c>
      <c r="J512" s="120" t="s">
        <v>753</v>
      </c>
      <c r="K512" s="120" t="s">
        <v>753</v>
      </c>
      <c r="L512" s="120" t="s">
        <v>753</v>
      </c>
      <c r="M512" s="125"/>
      <c r="N512" s="125"/>
      <c r="O512" s="125"/>
      <c r="P512" s="125"/>
      <c r="Q512" s="125"/>
      <c r="R512" s="125"/>
      <c r="S512" s="125"/>
      <c r="T512" s="125"/>
      <c r="U512" s="125"/>
      <c r="V512" s="125"/>
      <c r="W512" s="125"/>
      <c r="X512" s="125"/>
      <c r="Y512" s="125"/>
      <c r="Z512" s="125"/>
      <c r="AA512" s="125"/>
      <c r="AB512" s="125"/>
      <c r="AC512" s="125"/>
    </row>
    <row r="513" spans="1:29" outlineLevel="1">
      <c r="A513" s="120" t="s">
        <v>786</v>
      </c>
      <c r="B513" s="126" t="s">
        <v>540</v>
      </c>
      <c r="C513" s="125"/>
      <c r="D513" s="120" t="s">
        <v>753</v>
      </c>
      <c r="E513" s="120" t="s">
        <v>622</v>
      </c>
      <c r="F513" s="120" t="s">
        <v>753</v>
      </c>
      <c r="G513" s="120" t="s">
        <v>753</v>
      </c>
      <c r="H513" s="120" t="s">
        <v>753</v>
      </c>
      <c r="I513" s="120" t="s">
        <v>753</v>
      </c>
      <c r="J513" s="120" t="s">
        <v>753</v>
      </c>
      <c r="K513" s="120" t="s">
        <v>753</v>
      </c>
      <c r="L513" s="120" t="s">
        <v>753</v>
      </c>
      <c r="M513" s="125"/>
      <c r="N513" s="125"/>
      <c r="O513" s="125"/>
      <c r="P513" s="125"/>
      <c r="Q513" s="125"/>
      <c r="R513" s="125"/>
      <c r="S513" s="125"/>
      <c r="T513" s="125"/>
      <c r="U513" s="125"/>
      <c r="V513" s="125"/>
      <c r="W513" s="125"/>
      <c r="X513" s="125"/>
      <c r="Y513" s="125"/>
      <c r="Z513" s="125"/>
      <c r="AA513" s="125"/>
      <c r="AB513" s="125"/>
      <c r="AC513" s="125"/>
    </row>
    <row r="514" spans="1:29" outlineLevel="1">
      <c r="A514" s="120" t="s">
        <v>785</v>
      </c>
      <c r="B514" s="126" t="s">
        <v>519</v>
      </c>
      <c r="C514" s="125"/>
      <c r="D514" s="120" t="s">
        <v>753</v>
      </c>
      <c r="E514" s="120" t="s">
        <v>622</v>
      </c>
      <c r="F514" s="120" t="s">
        <v>753</v>
      </c>
      <c r="G514" s="120" t="s">
        <v>753</v>
      </c>
      <c r="H514" s="120" t="s">
        <v>753</v>
      </c>
      <c r="I514" s="120" t="s">
        <v>753</v>
      </c>
      <c r="J514" s="120" t="s">
        <v>753</v>
      </c>
      <c r="K514" s="120" t="s">
        <v>753</v>
      </c>
      <c r="L514" s="120" t="s">
        <v>753</v>
      </c>
      <c r="M514" s="125"/>
      <c r="N514" s="125"/>
      <c r="O514" s="125"/>
      <c r="P514" s="125"/>
      <c r="Q514" s="125"/>
      <c r="R514" s="125"/>
      <c r="S514" s="125"/>
      <c r="T514" s="125"/>
      <c r="U514" s="125"/>
      <c r="V514" s="125"/>
      <c r="W514" s="125"/>
      <c r="X514" s="125"/>
      <c r="Y514" s="125"/>
      <c r="Z514" s="125"/>
      <c r="AA514" s="125"/>
      <c r="AB514" s="125"/>
      <c r="AC514" s="125"/>
    </row>
    <row r="515" spans="1:29" outlineLevel="1">
      <c r="A515" s="120" t="s">
        <v>784</v>
      </c>
      <c r="B515" s="126" t="s">
        <v>517</v>
      </c>
      <c r="C515" s="125"/>
      <c r="D515" s="120" t="s">
        <v>753</v>
      </c>
      <c r="E515" s="120" t="s">
        <v>622</v>
      </c>
      <c r="F515" s="120" t="s">
        <v>753</v>
      </c>
      <c r="G515" s="120" t="s">
        <v>753</v>
      </c>
      <c r="H515" s="120" t="s">
        <v>753</v>
      </c>
      <c r="I515" s="120" t="s">
        <v>753</v>
      </c>
      <c r="J515" s="120" t="s">
        <v>753</v>
      </c>
      <c r="K515" s="120" t="s">
        <v>753</v>
      </c>
      <c r="L515" s="120" t="s">
        <v>753</v>
      </c>
      <c r="M515" s="125"/>
      <c r="N515" s="125"/>
      <c r="O515" s="125"/>
      <c r="P515" s="125"/>
      <c r="Q515" s="125"/>
      <c r="R515" s="125"/>
      <c r="S515" s="125"/>
      <c r="T515" s="125"/>
      <c r="U515" s="125"/>
      <c r="V515" s="125"/>
      <c r="W515" s="125"/>
      <c r="X515" s="125"/>
      <c r="Y515" s="125"/>
      <c r="Z515" s="125"/>
      <c r="AA515" s="125"/>
      <c r="AB515" s="125"/>
      <c r="AC515" s="125"/>
    </row>
    <row r="516" spans="1:29" outlineLevel="1">
      <c r="A516" s="120" t="s">
        <v>783</v>
      </c>
      <c r="B516" s="126" t="s">
        <v>496</v>
      </c>
      <c r="C516" s="125"/>
      <c r="D516" s="120" t="s">
        <v>753</v>
      </c>
      <c r="E516" s="120" t="s">
        <v>622</v>
      </c>
      <c r="F516" s="120" t="s">
        <v>753</v>
      </c>
      <c r="G516" s="120" t="s">
        <v>753</v>
      </c>
      <c r="H516" s="120" t="s">
        <v>753</v>
      </c>
      <c r="I516" s="120" t="s">
        <v>753</v>
      </c>
      <c r="J516" s="120" t="s">
        <v>753</v>
      </c>
      <c r="K516" s="120" t="s">
        <v>753</v>
      </c>
      <c r="L516" s="120" t="s">
        <v>753</v>
      </c>
      <c r="M516" s="125"/>
      <c r="N516" s="125"/>
      <c r="O516" s="125"/>
      <c r="P516" s="125"/>
      <c r="Q516" s="125"/>
      <c r="R516" s="125"/>
      <c r="S516" s="125"/>
      <c r="T516" s="125"/>
      <c r="U516" s="125"/>
      <c r="V516" s="125"/>
      <c r="W516" s="125"/>
      <c r="X516" s="125"/>
      <c r="Y516" s="125"/>
      <c r="Z516" s="125"/>
      <c r="AA516" s="125"/>
      <c r="AB516" s="125"/>
      <c r="AC516" s="125"/>
    </row>
    <row r="517" spans="1:29" outlineLevel="1">
      <c r="A517" s="120" t="s">
        <v>782</v>
      </c>
      <c r="B517" s="126" t="s">
        <v>494</v>
      </c>
      <c r="C517" s="125"/>
      <c r="D517" s="120" t="s">
        <v>753</v>
      </c>
      <c r="E517" s="120" t="s">
        <v>622</v>
      </c>
      <c r="F517" s="120" t="s">
        <v>753</v>
      </c>
      <c r="G517" s="120" t="s">
        <v>753</v>
      </c>
      <c r="H517" s="120" t="s">
        <v>753</v>
      </c>
      <c r="I517" s="120" t="s">
        <v>753</v>
      </c>
      <c r="J517" s="120" t="s">
        <v>753</v>
      </c>
      <c r="K517" s="120" t="s">
        <v>753</v>
      </c>
      <c r="L517" s="120" t="s">
        <v>753</v>
      </c>
      <c r="M517" s="125"/>
      <c r="N517" s="125"/>
      <c r="O517" s="125"/>
      <c r="P517" s="125"/>
      <c r="Q517" s="125"/>
      <c r="R517" s="125"/>
      <c r="S517" s="125"/>
      <c r="T517" s="125"/>
      <c r="U517" s="125"/>
      <c r="V517" s="125"/>
      <c r="W517" s="125"/>
      <c r="X517" s="125"/>
      <c r="Y517" s="125"/>
      <c r="Z517" s="125"/>
      <c r="AA517" s="125"/>
      <c r="AB517" s="125"/>
      <c r="AC517" s="125"/>
    </row>
    <row r="518" spans="1:29" outlineLevel="1">
      <c r="A518" s="120" t="s">
        <v>781</v>
      </c>
      <c r="B518" s="126" t="s">
        <v>493</v>
      </c>
      <c r="C518" s="125"/>
      <c r="D518" s="120" t="s">
        <v>753</v>
      </c>
      <c r="E518" s="120" t="s">
        <v>622</v>
      </c>
      <c r="F518" s="120" t="s">
        <v>753</v>
      </c>
      <c r="G518" s="120" t="s">
        <v>753</v>
      </c>
      <c r="H518" s="120" t="s">
        <v>753</v>
      </c>
      <c r="I518" s="120" t="s">
        <v>753</v>
      </c>
      <c r="J518" s="120" t="s">
        <v>753</v>
      </c>
      <c r="K518" s="120" t="s">
        <v>753</v>
      </c>
      <c r="L518" s="120" t="s">
        <v>753</v>
      </c>
      <c r="M518" s="125"/>
      <c r="N518" s="125"/>
      <c r="O518" s="125"/>
      <c r="P518" s="125"/>
      <c r="Q518" s="125"/>
      <c r="R518" s="125"/>
      <c r="S518" s="125"/>
      <c r="T518" s="125"/>
      <c r="U518" s="125"/>
      <c r="V518" s="125"/>
      <c r="W518" s="125"/>
      <c r="X518" s="125"/>
      <c r="Y518" s="125"/>
      <c r="Z518" s="125"/>
      <c r="AA518" s="125"/>
      <c r="AB518" s="125"/>
      <c r="AC518" s="125"/>
    </row>
    <row r="519" spans="1:29" outlineLevel="1">
      <c r="A519" s="120" t="s">
        <v>780</v>
      </c>
      <c r="B519" s="126" t="s">
        <v>492</v>
      </c>
      <c r="C519" s="125"/>
      <c r="D519" s="120" t="s">
        <v>753</v>
      </c>
      <c r="E519" s="120" t="s">
        <v>622</v>
      </c>
      <c r="F519" s="120" t="s">
        <v>753</v>
      </c>
      <c r="G519" s="120" t="s">
        <v>753</v>
      </c>
      <c r="H519" s="120" t="s">
        <v>753</v>
      </c>
      <c r="I519" s="120" t="s">
        <v>753</v>
      </c>
      <c r="J519" s="120" t="s">
        <v>753</v>
      </c>
      <c r="K519" s="120" t="s">
        <v>753</v>
      </c>
      <c r="L519" s="120" t="s">
        <v>753</v>
      </c>
      <c r="M519" s="125"/>
      <c r="N519" s="125"/>
      <c r="O519" s="125"/>
      <c r="P519" s="125"/>
      <c r="Q519" s="125"/>
      <c r="R519" s="125"/>
      <c r="S519" s="125"/>
      <c r="T519" s="125"/>
      <c r="U519" s="125"/>
      <c r="V519" s="125"/>
      <c r="W519" s="125"/>
      <c r="X519" s="125"/>
      <c r="Y519" s="125"/>
      <c r="Z519" s="125"/>
      <c r="AA519" s="125"/>
      <c r="AB519" s="125"/>
      <c r="AC519" s="125"/>
    </row>
    <row r="520" spans="1:29" outlineLevel="1">
      <c r="A520" s="120" t="s">
        <v>779</v>
      </c>
      <c r="B520" s="126" t="s">
        <v>491</v>
      </c>
      <c r="C520" s="125"/>
      <c r="D520" s="120" t="s">
        <v>753</v>
      </c>
      <c r="E520" s="120" t="s">
        <v>622</v>
      </c>
      <c r="F520" s="120" t="s">
        <v>753</v>
      </c>
      <c r="G520" s="120" t="s">
        <v>753</v>
      </c>
      <c r="H520" s="120" t="s">
        <v>753</v>
      </c>
      <c r="I520" s="120" t="s">
        <v>753</v>
      </c>
      <c r="J520" s="120" t="s">
        <v>753</v>
      </c>
      <c r="K520" s="120" t="s">
        <v>753</v>
      </c>
      <c r="L520" s="120" t="s">
        <v>753</v>
      </c>
      <c r="M520" s="125"/>
      <c r="N520" s="125"/>
      <c r="O520" s="125"/>
      <c r="P520" s="125"/>
      <c r="Q520" s="125"/>
      <c r="R520" s="125"/>
      <c r="S520" s="125"/>
      <c r="T520" s="125"/>
      <c r="U520" s="125"/>
      <c r="V520" s="125"/>
      <c r="W520" s="125"/>
      <c r="X520" s="125"/>
      <c r="Y520" s="125"/>
      <c r="Z520" s="125"/>
      <c r="AA520" s="125"/>
      <c r="AB520" s="125"/>
      <c r="AC520" s="125"/>
    </row>
    <row r="521" spans="1:29" outlineLevel="1">
      <c r="A521" s="120" t="s">
        <v>778</v>
      </c>
      <c r="B521" s="126" t="s">
        <v>475</v>
      </c>
      <c r="C521" s="125"/>
      <c r="D521" s="120" t="s">
        <v>753</v>
      </c>
      <c r="E521" s="120" t="s">
        <v>622</v>
      </c>
      <c r="F521" s="120" t="s">
        <v>753</v>
      </c>
      <c r="G521" s="120" t="s">
        <v>753</v>
      </c>
      <c r="H521" s="120" t="s">
        <v>753</v>
      </c>
      <c r="I521" s="120" t="s">
        <v>753</v>
      </c>
      <c r="J521" s="120" t="s">
        <v>753</v>
      </c>
      <c r="K521" s="120" t="s">
        <v>753</v>
      </c>
      <c r="L521" s="120" t="s">
        <v>753</v>
      </c>
      <c r="M521" s="125"/>
      <c r="N521" s="125"/>
      <c r="O521" s="125"/>
      <c r="P521" s="125"/>
      <c r="Q521" s="125"/>
      <c r="R521" s="125"/>
      <c r="S521" s="125"/>
      <c r="T521" s="125"/>
      <c r="U521" s="125"/>
      <c r="V521" s="125"/>
      <c r="W521" s="125"/>
      <c r="X521" s="125"/>
      <c r="Y521" s="125"/>
      <c r="Z521" s="125"/>
      <c r="AA521" s="125"/>
      <c r="AB521" s="125"/>
      <c r="AC521" s="125"/>
    </row>
    <row r="522" spans="1:29" outlineLevel="1">
      <c r="A522" s="120" t="s">
        <v>777</v>
      </c>
      <c r="B522" s="126" t="s">
        <v>474</v>
      </c>
      <c r="C522" s="125"/>
      <c r="D522" s="120" t="s">
        <v>753</v>
      </c>
      <c r="E522" s="120" t="s">
        <v>622</v>
      </c>
      <c r="F522" s="120" t="s">
        <v>753</v>
      </c>
      <c r="G522" s="120" t="s">
        <v>753</v>
      </c>
      <c r="H522" s="120" t="s">
        <v>753</v>
      </c>
      <c r="I522" s="120" t="s">
        <v>753</v>
      </c>
      <c r="J522" s="120" t="s">
        <v>753</v>
      </c>
      <c r="K522" s="120" t="s">
        <v>753</v>
      </c>
      <c r="L522" s="120" t="s">
        <v>753</v>
      </c>
      <c r="M522" s="125"/>
      <c r="N522" s="125"/>
      <c r="O522" s="125"/>
      <c r="P522" s="125"/>
      <c r="Q522" s="125"/>
      <c r="R522" s="125"/>
      <c r="S522" s="125"/>
      <c r="T522" s="125"/>
      <c r="U522" s="125"/>
      <c r="V522" s="125"/>
      <c r="W522" s="125"/>
      <c r="X522" s="125"/>
      <c r="Y522" s="125"/>
      <c r="Z522" s="125"/>
      <c r="AA522" s="125"/>
      <c r="AB522" s="125"/>
      <c r="AC522" s="125"/>
    </row>
    <row r="523" spans="1:29" outlineLevel="1">
      <c r="A523" s="120" t="s">
        <v>776</v>
      </c>
      <c r="B523" s="126" t="s">
        <v>452</v>
      </c>
      <c r="C523" s="125"/>
      <c r="D523" s="120" t="s">
        <v>753</v>
      </c>
      <c r="E523" s="120" t="s">
        <v>622</v>
      </c>
      <c r="F523" s="120" t="s">
        <v>753</v>
      </c>
      <c r="G523" s="120" t="s">
        <v>753</v>
      </c>
      <c r="H523" s="120" t="s">
        <v>753</v>
      </c>
      <c r="I523" s="120" t="s">
        <v>753</v>
      </c>
      <c r="J523" s="120" t="s">
        <v>753</v>
      </c>
      <c r="K523" s="120" t="s">
        <v>753</v>
      </c>
      <c r="L523" s="120" t="s">
        <v>753</v>
      </c>
      <c r="M523" s="125"/>
      <c r="N523" s="125"/>
      <c r="O523" s="125"/>
      <c r="P523" s="125"/>
      <c r="Q523" s="125"/>
      <c r="R523" s="125"/>
      <c r="S523" s="125"/>
      <c r="T523" s="125"/>
      <c r="U523" s="125"/>
      <c r="V523" s="125"/>
      <c r="W523" s="125"/>
      <c r="X523" s="125"/>
      <c r="Y523" s="125"/>
      <c r="Z523" s="125"/>
      <c r="AA523" s="125"/>
      <c r="AB523" s="125"/>
      <c r="AC523" s="125"/>
    </row>
    <row r="524" spans="1:29" outlineLevel="1">
      <c r="A524" s="120" t="s">
        <v>775</v>
      </c>
      <c r="B524" s="126" t="s">
        <v>451</v>
      </c>
      <c r="C524" s="125"/>
      <c r="D524" s="120" t="s">
        <v>753</v>
      </c>
      <c r="E524" s="120" t="s">
        <v>622</v>
      </c>
      <c r="F524" s="120" t="s">
        <v>753</v>
      </c>
      <c r="G524" s="120" t="s">
        <v>753</v>
      </c>
      <c r="H524" s="120" t="s">
        <v>753</v>
      </c>
      <c r="I524" s="120" t="s">
        <v>753</v>
      </c>
      <c r="J524" s="120" t="s">
        <v>753</v>
      </c>
      <c r="K524" s="120" t="s">
        <v>753</v>
      </c>
      <c r="L524" s="120" t="s">
        <v>753</v>
      </c>
      <c r="M524" s="125"/>
      <c r="N524" s="125"/>
      <c r="O524" s="125"/>
      <c r="P524" s="125"/>
      <c r="Q524" s="125"/>
      <c r="R524" s="125"/>
      <c r="S524" s="125"/>
      <c r="T524" s="125"/>
      <c r="U524" s="125"/>
      <c r="V524" s="125"/>
      <c r="W524" s="125"/>
      <c r="X524" s="125"/>
      <c r="Y524" s="125"/>
      <c r="Z524" s="125"/>
      <c r="AA524" s="125"/>
      <c r="AB524" s="125"/>
      <c r="AC524" s="125"/>
    </row>
    <row r="525" spans="1:29" outlineLevel="1">
      <c r="A525" s="120" t="s">
        <v>774</v>
      </c>
      <c r="B525" s="126" t="s">
        <v>445</v>
      </c>
      <c r="C525" s="125"/>
      <c r="D525" s="120" t="s">
        <v>753</v>
      </c>
      <c r="E525" s="120" t="s">
        <v>622</v>
      </c>
      <c r="F525" s="120" t="s">
        <v>753</v>
      </c>
      <c r="G525" s="120" t="s">
        <v>753</v>
      </c>
      <c r="H525" s="120" t="s">
        <v>753</v>
      </c>
      <c r="I525" s="120" t="s">
        <v>753</v>
      </c>
      <c r="J525" s="120" t="s">
        <v>753</v>
      </c>
      <c r="K525" s="120" t="s">
        <v>753</v>
      </c>
      <c r="L525" s="120" t="s">
        <v>753</v>
      </c>
      <c r="M525" s="125"/>
      <c r="N525" s="125"/>
      <c r="O525" s="125"/>
      <c r="P525" s="125"/>
      <c r="Q525" s="125"/>
      <c r="R525" s="125"/>
      <c r="S525" s="125"/>
      <c r="T525" s="125"/>
      <c r="U525" s="125"/>
      <c r="V525" s="125"/>
      <c r="W525" s="125"/>
      <c r="X525" s="125"/>
      <c r="Y525" s="125"/>
      <c r="Z525" s="125"/>
      <c r="AA525" s="125"/>
      <c r="AB525" s="125"/>
      <c r="AC525" s="125"/>
    </row>
    <row r="526" spans="1:29" outlineLevel="1">
      <c r="A526" s="120" t="s">
        <v>773</v>
      </c>
      <c r="B526" s="126" t="s">
        <v>444</v>
      </c>
      <c r="C526" s="125"/>
      <c r="D526" s="120" t="s">
        <v>753</v>
      </c>
      <c r="E526" s="120" t="s">
        <v>622</v>
      </c>
      <c r="F526" s="120" t="s">
        <v>753</v>
      </c>
      <c r="G526" s="120" t="s">
        <v>753</v>
      </c>
      <c r="H526" s="120" t="s">
        <v>753</v>
      </c>
      <c r="I526" s="120" t="s">
        <v>753</v>
      </c>
      <c r="J526" s="120" t="s">
        <v>753</v>
      </c>
      <c r="K526" s="120" t="s">
        <v>753</v>
      </c>
      <c r="L526" s="120" t="s">
        <v>753</v>
      </c>
      <c r="M526" s="125"/>
      <c r="N526" s="125"/>
      <c r="O526" s="125"/>
      <c r="P526" s="125"/>
      <c r="Q526" s="125"/>
      <c r="R526" s="125"/>
      <c r="S526" s="125"/>
      <c r="T526" s="125"/>
      <c r="U526" s="125"/>
      <c r="V526" s="125"/>
      <c r="W526" s="125"/>
      <c r="X526" s="125"/>
      <c r="Y526" s="125"/>
      <c r="Z526" s="125"/>
      <c r="AA526" s="125"/>
      <c r="AB526" s="125"/>
      <c r="AC526" s="125"/>
    </row>
    <row r="527" spans="1:29" outlineLevel="1">
      <c r="A527" s="120" t="s">
        <v>772</v>
      </c>
      <c r="B527" s="126" t="s">
        <v>429</v>
      </c>
      <c r="C527" s="125"/>
      <c r="D527" s="120" t="s">
        <v>753</v>
      </c>
      <c r="E527" s="120" t="s">
        <v>622</v>
      </c>
      <c r="F527" s="120" t="s">
        <v>753</v>
      </c>
      <c r="G527" s="120" t="s">
        <v>753</v>
      </c>
      <c r="H527" s="120" t="s">
        <v>753</v>
      </c>
      <c r="I527" s="120" t="s">
        <v>753</v>
      </c>
      <c r="J527" s="120" t="s">
        <v>753</v>
      </c>
      <c r="K527" s="120" t="s">
        <v>753</v>
      </c>
      <c r="L527" s="120" t="s">
        <v>753</v>
      </c>
      <c r="M527" s="125"/>
      <c r="N527" s="125"/>
      <c r="O527" s="125"/>
      <c r="P527" s="125"/>
      <c r="Q527" s="125"/>
      <c r="R527" s="125"/>
      <c r="S527" s="125"/>
      <c r="T527" s="125"/>
      <c r="U527" s="125"/>
      <c r="V527" s="125"/>
      <c r="W527" s="125"/>
      <c r="X527" s="125"/>
      <c r="Y527" s="125"/>
      <c r="Z527" s="125"/>
      <c r="AA527" s="125"/>
      <c r="AB527" s="125"/>
      <c r="AC527" s="125"/>
    </row>
    <row r="528" spans="1:29" outlineLevel="1">
      <c r="A528" s="120" t="s">
        <v>771</v>
      </c>
      <c r="B528" s="126" t="s">
        <v>425</v>
      </c>
      <c r="C528" s="125"/>
      <c r="D528" s="120" t="s">
        <v>753</v>
      </c>
      <c r="E528" s="120" t="s">
        <v>622</v>
      </c>
      <c r="F528" s="120" t="s">
        <v>753</v>
      </c>
      <c r="G528" s="120" t="s">
        <v>753</v>
      </c>
      <c r="H528" s="120" t="s">
        <v>753</v>
      </c>
      <c r="I528" s="120" t="s">
        <v>753</v>
      </c>
      <c r="J528" s="120" t="s">
        <v>753</v>
      </c>
      <c r="K528" s="120" t="s">
        <v>753</v>
      </c>
      <c r="L528" s="120" t="s">
        <v>753</v>
      </c>
      <c r="M528" s="125"/>
      <c r="N528" s="125"/>
      <c r="O528" s="125"/>
      <c r="P528" s="125"/>
      <c r="Q528" s="125"/>
      <c r="R528" s="125"/>
      <c r="S528" s="125"/>
      <c r="T528" s="125"/>
      <c r="U528" s="125"/>
      <c r="V528" s="125"/>
      <c r="W528" s="125"/>
      <c r="X528" s="125"/>
      <c r="Y528" s="125"/>
      <c r="Z528" s="125"/>
      <c r="AA528" s="125"/>
      <c r="AB528" s="125"/>
      <c r="AC528" s="125"/>
    </row>
    <row r="529" spans="1:29" outlineLevel="1">
      <c r="A529" s="120" t="s">
        <v>770</v>
      </c>
      <c r="B529" s="126" t="s">
        <v>423</v>
      </c>
      <c r="C529" s="125"/>
      <c r="D529" s="120" t="s">
        <v>753</v>
      </c>
      <c r="E529" s="120" t="s">
        <v>622</v>
      </c>
      <c r="F529" s="120" t="s">
        <v>753</v>
      </c>
      <c r="G529" s="120" t="s">
        <v>753</v>
      </c>
      <c r="H529" s="120" t="s">
        <v>753</v>
      </c>
      <c r="I529" s="120" t="s">
        <v>753</v>
      </c>
      <c r="J529" s="120" t="s">
        <v>753</v>
      </c>
      <c r="K529" s="120" t="s">
        <v>753</v>
      </c>
      <c r="L529" s="120" t="s">
        <v>753</v>
      </c>
      <c r="M529" s="125"/>
      <c r="N529" s="125"/>
      <c r="O529" s="125"/>
      <c r="P529" s="125"/>
      <c r="Q529" s="125"/>
      <c r="R529" s="125"/>
      <c r="S529" s="125"/>
      <c r="T529" s="125"/>
      <c r="U529" s="125"/>
      <c r="V529" s="125"/>
      <c r="W529" s="125"/>
      <c r="X529" s="125"/>
      <c r="Y529" s="125"/>
      <c r="Z529" s="125"/>
      <c r="AA529" s="125"/>
      <c r="AB529" s="125"/>
      <c r="AC529" s="125"/>
    </row>
    <row r="530" spans="1:29" outlineLevel="1">
      <c r="A530" s="120" t="s">
        <v>769</v>
      </c>
      <c r="B530" s="126" t="s">
        <v>421</v>
      </c>
      <c r="C530" s="125"/>
      <c r="D530" s="120" t="s">
        <v>753</v>
      </c>
      <c r="E530" s="120" t="s">
        <v>622</v>
      </c>
      <c r="F530" s="120" t="s">
        <v>753</v>
      </c>
      <c r="G530" s="120" t="s">
        <v>753</v>
      </c>
      <c r="H530" s="120" t="s">
        <v>753</v>
      </c>
      <c r="I530" s="120" t="s">
        <v>753</v>
      </c>
      <c r="J530" s="120" t="s">
        <v>753</v>
      </c>
      <c r="K530" s="120" t="s">
        <v>753</v>
      </c>
      <c r="L530" s="120" t="s">
        <v>753</v>
      </c>
      <c r="M530" s="125"/>
      <c r="N530" s="125"/>
      <c r="O530" s="125"/>
      <c r="P530" s="125"/>
      <c r="Q530" s="125"/>
      <c r="R530" s="125"/>
      <c r="S530" s="125"/>
      <c r="T530" s="125"/>
      <c r="U530" s="125"/>
      <c r="V530" s="125"/>
      <c r="W530" s="125"/>
      <c r="X530" s="125"/>
      <c r="Y530" s="125"/>
      <c r="Z530" s="125"/>
      <c r="AA530" s="125"/>
      <c r="AB530" s="125"/>
      <c r="AC530" s="125"/>
    </row>
    <row r="531" spans="1:29" outlineLevel="1">
      <c r="A531" s="120" t="s">
        <v>768</v>
      </c>
      <c r="B531" s="126" t="s">
        <v>408</v>
      </c>
      <c r="C531" s="125"/>
      <c r="D531" s="120" t="s">
        <v>753</v>
      </c>
      <c r="E531" s="120" t="s">
        <v>622</v>
      </c>
      <c r="F531" s="120" t="s">
        <v>753</v>
      </c>
      <c r="G531" s="120" t="s">
        <v>753</v>
      </c>
      <c r="H531" s="120" t="s">
        <v>753</v>
      </c>
      <c r="I531" s="120" t="s">
        <v>753</v>
      </c>
      <c r="J531" s="120" t="s">
        <v>753</v>
      </c>
      <c r="K531" s="120" t="s">
        <v>753</v>
      </c>
      <c r="L531" s="120" t="s">
        <v>753</v>
      </c>
      <c r="M531" s="125"/>
      <c r="N531" s="125"/>
      <c r="O531" s="125"/>
      <c r="P531" s="125"/>
      <c r="Q531" s="125"/>
      <c r="R531" s="125"/>
      <c r="S531" s="125"/>
      <c r="T531" s="125"/>
      <c r="U531" s="125"/>
      <c r="V531" s="125"/>
      <c r="W531" s="125"/>
      <c r="X531" s="125"/>
      <c r="Y531" s="125"/>
      <c r="Z531" s="125"/>
      <c r="AA531" s="125"/>
      <c r="AB531" s="125"/>
      <c r="AC531" s="125"/>
    </row>
    <row r="532" spans="1:29" outlineLevel="1">
      <c r="A532" s="120" t="s">
        <v>767</v>
      </c>
      <c r="B532" s="126" t="s">
        <v>404</v>
      </c>
      <c r="C532" s="125"/>
      <c r="D532" s="120" t="s">
        <v>753</v>
      </c>
      <c r="E532" s="120" t="s">
        <v>622</v>
      </c>
      <c r="F532" s="120" t="s">
        <v>753</v>
      </c>
      <c r="G532" s="120" t="s">
        <v>753</v>
      </c>
      <c r="H532" s="120" t="s">
        <v>753</v>
      </c>
      <c r="I532" s="120" t="s">
        <v>753</v>
      </c>
      <c r="J532" s="120" t="s">
        <v>753</v>
      </c>
      <c r="K532" s="120" t="s">
        <v>753</v>
      </c>
      <c r="L532" s="120" t="s">
        <v>753</v>
      </c>
      <c r="M532" s="125"/>
      <c r="N532" s="125"/>
      <c r="O532" s="125"/>
      <c r="P532" s="125"/>
      <c r="Q532" s="125"/>
      <c r="R532" s="125"/>
      <c r="S532" s="125"/>
      <c r="T532" s="125"/>
      <c r="U532" s="125"/>
      <c r="V532" s="125"/>
      <c r="W532" s="125"/>
      <c r="X532" s="125"/>
      <c r="Y532" s="125"/>
      <c r="Z532" s="125"/>
      <c r="AA532" s="125"/>
      <c r="AB532" s="125"/>
      <c r="AC532" s="125"/>
    </row>
    <row r="533" spans="1:29" outlineLevel="1">
      <c r="A533" s="120" t="s">
        <v>766</v>
      </c>
      <c r="B533" s="126" t="s">
        <v>403</v>
      </c>
      <c r="C533" s="125"/>
      <c r="D533" s="120" t="s">
        <v>753</v>
      </c>
      <c r="E533" s="120" t="s">
        <v>622</v>
      </c>
      <c r="F533" s="120" t="s">
        <v>753</v>
      </c>
      <c r="G533" s="120" t="s">
        <v>753</v>
      </c>
      <c r="H533" s="120" t="s">
        <v>753</v>
      </c>
      <c r="I533" s="120" t="s">
        <v>753</v>
      </c>
      <c r="J533" s="120" t="s">
        <v>753</v>
      </c>
      <c r="K533" s="120" t="s">
        <v>753</v>
      </c>
      <c r="L533" s="120" t="s">
        <v>753</v>
      </c>
      <c r="M533" s="125"/>
      <c r="N533" s="125"/>
      <c r="O533" s="125"/>
      <c r="P533" s="125"/>
      <c r="Q533" s="125"/>
      <c r="R533" s="125"/>
      <c r="S533" s="125"/>
      <c r="T533" s="125"/>
      <c r="U533" s="125"/>
      <c r="V533" s="125"/>
      <c r="W533" s="125"/>
      <c r="X533" s="125"/>
      <c r="Y533" s="125"/>
      <c r="Z533" s="125"/>
      <c r="AA533" s="125"/>
      <c r="AB533" s="125"/>
      <c r="AC533" s="125"/>
    </row>
    <row r="534" spans="1:29" outlineLevel="1">
      <c r="A534" s="120" t="s">
        <v>765</v>
      </c>
      <c r="B534" s="126" t="s">
        <v>399</v>
      </c>
      <c r="C534" s="125"/>
      <c r="D534" s="120" t="s">
        <v>753</v>
      </c>
      <c r="E534" s="120" t="s">
        <v>622</v>
      </c>
      <c r="F534" s="120" t="s">
        <v>753</v>
      </c>
      <c r="G534" s="120" t="s">
        <v>753</v>
      </c>
      <c r="H534" s="120" t="s">
        <v>753</v>
      </c>
      <c r="I534" s="120" t="s">
        <v>753</v>
      </c>
      <c r="J534" s="120" t="s">
        <v>753</v>
      </c>
      <c r="K534" s="120" t="s">
        <v>753</v>
      </c>
      <c r="L534" s="120" t="s">
        <v>753</v>
      </c>
      <c r="M534" s="125"/>
      <c r="N534" s="125"/>
      <c r="O534" s="125"/>
      <c r="P534" s="125"/>
      <c r="Q534" s="125"/>
      <c r="R534" s="125"/>
      <c r="S534" s="125"/>
      <c r="T534" s="125"/>
      <c r="U534" s="125"/>
      <c r="V534" s="125"/>
      <c r="W534" s="125"/>
      <c r="X534" s="125"/>
      <c r="Y534" s="125"/>
      <c r="Z534" s="125"/>
      <c r="AA534" s="125"/>
      <c r="AB534" s="125"/>
      <c r="AC534" s="125"/>
    </row>
    <row r="535" spans="1:29" outlineLevel="1">
      <c r="A535" s="120" t="s">
        <v>764</v>
      </c>
      <c r="B535" s="126" t="s">
        <v>398</v>
      </c>
      <c r="C535" s="125"/>
      <c r="D535" s="120" t="s">
        <v>753</v>
      </c>
      <c r="E535" s="120" t="s">
        <v>622</v>
      </c>
      <c r="F535" s="120" t="s">
        <v>753</v>
      </c>
      <c r="G535" s="120" t="s">
        <v>753</v>
      </c>
      <c r="H535" s="120" t="s">
        <v>753</v>
      </c>
      <c r="I535" s="120" t="s">
        <v>753</v>
      </c>
      <c r="J535" s="120" t="s">
        <v>753</v>
      </c>
      <c r="K535" s="120" t="s">
        <v>753</v>
      </c>
      <c r="L535" s="120" t="s">
        <v>753</v>
      </c>
      <c r="M535" s="125"/>
      <c r="N535" s="125"/>
      <c r="O535" s="125"/>
      <c r="P535" s="125"/>
      <c r="Q535" s="125"/>
      <c r="R535" s="125"/>
      <c r="S535" s="125"/>
      <c r="T535" s="125"/>
      <c r="U535" s="125"/>
      <c r="V535" s="125"/>
      <c r="W535" s="125"/>
      <c r="X535" s="125"/>
      <c r="Y535" s="125"/>
      <c r="Z535" s="125"/>
      <c r="AA535" s="125"/>
      <c r="AB535" s="125"/>
      <c r="AC535" s="125"/>
    </row>
    <row r="536" spans="1:29" outlineLevel="1">
      <c r="A536" s="120" t="s">
        <v>763</v>
      </c>
      <c r="B536" s="126" t="s">
        <v>385</v>
      </c>
      <c r="C536" s="125"/>
      <c r="D536" s="120" t="s">
        <v>753</v>
      </c>
      <c r="E536" s="120" t="s">
        <v>622</v>
      </c>
      <c r="F536" s="120" t="s">
        <v>753</v>
      </c>
      <c r="G536" s="120" t="s">
        <v>753</v>
      </c>
      <c r="H536" s="120" t="s">
        <v>753</v>
      </c>
      <c r="I536" s="120" t="s">
        <v>753</v>
      </c>
      <c r="J536" s="120" t="s">
        <v>753</v>
      </c>
      <c r="K536" s="120" t="s">
        <v>753</v>
      </c>
      <c r="L536" s="120" t="s">
        <v>753</v>
      </c>
      <c r="M536" s="125"/>
      <c r="N536" s="125"/>
      <c r="O536" s="125"/>
      <c r="P536" s="125"/>
      <c r="Q536" s="125"/>
      <c r="R536" s="125"/>
      <c r="S536" s="125"/>
      <c r="T536" s="125"/>
      <c r="U536" s="125"/>
      <c r="V536" s="125"/>
      <c r="W536" s="125"/>
      <c r="X536" s="125"/>
      <c r="Y536" s="125"/>
      <c r="Z536" s="125"/>
      <c r="AA536" s="125"/>
      <c r="AB536" s="125"/>
      <c r="AC536" s="125"/>
    </row>
    <row r="537" spans="1:29" outlineLevel="1">
      <c r="A537" s="120" t="s">
        <v>762</v>
      </c>
      <c r="B537" s="126" t="s">
        <v>380</v>
      </c>
      <c r="C537" s="125"/>
      <c r="D537" s="120" t="s">
        <v>753</v>
      </c>
      <c r="E537" s="120" t="s">
        <v>622</v>
      </c>
      <c r="F537" s="120" t="s">
        <v>753</v>
      </c>
      <c r="G537" s="120" t="s">
        <v>753</v>
      </c>
      <c r="H537" s="120" t="s">
        <v>753</v>
      </c>
      <c r="I537" s="120" t="s">
        <v>753</v>
      </c>
      <c r="J537" s="120" t="s">
        <v>753</v>
      </c>
      <c r="K537" s="120" t="s">
        <v>753</v>
      </c>
      <c r="L537" s="120" t="s">
        <v>753</v>
      </c>
      <c r="M537" s="125"/>
      <c r="N537" s="125"/>
      <c r="O537" s="125"/>
      <c r="P537" s="125"/>
      <c r="Q537" s="125"/>
      <c r="R537" s="125"/>
      <c r="S537" s="125"/>
      <c r="T537" s="125"/>
      <c r="U537" s="125"/>
      <c r="V537" s="125"/>
      <c r="W537" s="125"/>
      <c r="X537" s="125"/>
      <c r="Y537" s="125"/>
      <c r="Z537" s="125"/>
      <c r="AA537" s="125"/>
      <c r="AB537" s="125"/>
      <c r="AC537" s="125"/>
    </row>
    <row r="538" spans="1:29" outlineLevel="1">
      <c r="A538" s="120" t="s">
        <v>761</v>
      </c>
      <c r="B538" s="126" t="s">
        <v>379</v>
      </c>
      <c r="C538" s="125"/>
      <c r="D538" s="120" t="s">
        <v>753</v>
      </c>
      <c r="E538" s="120" t="s">
        <v>622</v>
      </c>
      <c r="F538" s="120" t="s">
        <v>753</v>
      </c>
      <c r="G538" s="120" t="s">
        <v>753</v>
      </c>
      <c r="H538" s="120" t="s">
        <v>753</v>
      </c>
      <c r="I538" s="120" t="s">
        <v>753</v>
      </c>
      <c r="J538" s="120" t="s">
        <v>753</v>
      </c>
      <c r="K538" s="120" t="s">
        <v>753</v>
      </c>
      <c r="L538" s="120" t="s">
        <v>753</v>
      </c>
      <c r="M538" s="125"/>
      <c r="N538" s="125"/>
      <c r="O538" s="125"/>
      <c r="P538" s="125"/>
      <c r="Q538" s="125"/>
      <c r="R538" s="125"/>
      <c r="S538" s="125"/>
      <c r="T538" s="125"/>
      <c r="U538" s="125"/>
      <c r="V538" s="125"/>
      <c r="W538" s="125"/>
      <c r="X538" s="125"/>
      <c r="Y538" s="125"/>
      <c r="Z538" s="125"/>
      <c r="AA538" s="125"/>
      <c r="AB538" s="125"/>
      <c r="AC538" s="125"/>
    </row>
    <row r="539" spans="1:29" outlineLevel="1">
      <c r="A539" s="120" t="s">
        <v>760</v>
      </c>
      <c r="B539" s="126" t="s">
        <v>378</v>
      </c>
      <c r="C539" s="125"/>
      <c r="D539" s="120" t="s">
        <v>753</v>
      </c>
      <c r="E539" s="120" t="s">
        <v>622</v>
      </c>
      <c r="F539" s="120" t="s">
        <v>753</v>
      </c>
      <c r="G539" s="120" t="s">
        <v>753</v>
      </c>
      <c r="H539" s="120" t="s">
        <v>753</v>
      </c>
      <c r="I539" s="120" t="s">
        <v>753</v>
      </c>
      <c r="J539" s="120" t="s">
        <v>753</v>
      </c>
      <c r="K539" s="120" t="s">
        <v>753</v>
      </c>
      <c r="L539" s="120" t="s">
        <v>753</v>
      </c>
      <c r="M539" s="125"/>
      <c r="N539" s="125"/>
      <c r="O539" s="125"/>
      <c r="P539" s="125"/>
      <c r="Q539" s="125"/>
      <c r="R539" s="125"/>
      <c r="S539" s="125"/>
      <c r="T539" s="125"/>
      <c r="U539" s="125"/>
      <c r="V539" s="125"/>
      <c r="W539" s="125"/>
      <c r="X539" s="125"/>
      <c r="Y539" s="125"/>
      <c r="Z539" s="125"/>
      <c r="AA539" s="125"/>
      <c r="AB539" s="125"/>
      <c r="AC539" s="125"/>
    </row>
    <row r="540" spans="1:29" outlineLevel="1">
      <c r="A540" s="120" t="s">
        <v>759</v>
      </c>
      <c r="B540" s="126" t="s">
        <v>377</v>
      </c>
      <c r="C540" s="125"/>
      <c r="D540" s="120" t="s">
        <v>753</v>
      </c>
      <c r="E540" s="120" t="s">
        <v>622</v>
      </c>
      <c r="F540" s="120" t="s">
        <v>753</v>
      </c>
      <c r="G540" s="120" t="s">
        <v>753</v>
      </c>
      <c r="H540" s="120" t="s">
        <v>753</v>
      </c>
      <c r="I540" s="120" t="s">
        <v>753</v>
      </c>
      <c r="J540" s="120" t="s">
        <v>753</v>
      </c>
      <c r="K540" s="120" t="s">
        <v>753</v>
      </c>
      <c r="L540" s="120" t="s">
        <v>753</v>
      </c>
      <c r="M540" s="125"/>
      <c r="N540" s="125"/>
      <c r="O540" s="125"/>
      <c r="P540" s="125"/>
      <c r="Q540" s="125"/>
      <c r="R540" s="125"/>
      <c r="S540" s="125"/>
      <c r="T540" s="125"/>
      <c r="U540" s="125"/>
      <c r="V540" s="125"/>
      <c r="W540" s="125"/>
      <c r="X540" s="125"/>
      <c r="Y540" s="125"/>
      <c r="Z540" s="125"/>
      <c r="AA540" s="125"/>
      <c r="AB540" s="125"/>
      <c r="AC540" s="125"/>
    </row>
    <row r="541" spans="1:29" outlineLevel="1">
      <c r="A541" s="120" t="s">
        <v>758</v>
      </c>
      <c r="B541" s="126" t="s">
        <v>376</v>
      </c>
      <c r="C541" s="125"/>
      <c r="D541" s="120" t="s">
        <v>753</v>
      </c>
      <c r="E541" s="120" t="s">
        <v>622</v>
      </c>
      <c r="F541" s="120" t="s">
        <v>753</v>
      </c>
      <c r="G541" s="120" t="s">
        <v>753</v>
      </c>
      <c r="H541" s="120" t="s">
        <v>753</v>
      </c>
      <c r="I541" s="120" t="s">
        <v>753</v>
      </c>
      <c r="J541" s="120" t="s">
        <v>753</v>
      </c>
      <c r="K541" s="120" t="s">
        <v>753</v>
      </c>
      <c r="L541" s="120" t="s">
        <v>753</v>
      </c>
      <c r="M541" s="125"/>
      <c r="N541" s="125"/>
      <c r="O541" s="125"/>
      <c r="P541" s="125"/>
      <c r="Q541" s="125"/>
      <c r="R541" s="125"/>
      <c r="S541" s="125"/>
      <c r="T541" s="125"/>
      <c r="U541" s="125"/>
      <c r="V541" s="125"/>
      <c r="W541" s="125"/>
      <c r="X541" s="125"/>
      <c r="Y541" s="125"/>
      <c r="Z541" s="125"/>
      <c r="AA541" s="125"/>
      <c r="AB541" s="125"/>
      <c r="AC541" s="125"/>
    </row>
    <row r="542" spans="1:29" outlineLevel="1">
      <c r="A542" s="120" t="s">
        <v>757</v>
      </c>
      <c r="B542" s="126" t="s">
        <v>361</v>
      </c>
      <c r="C542" s="125"/>
      <c r="D542" s="120" t="s">
        <v>753</v>
      </c>
      <c r="E542" s="120" t="s">
        <v>622</v>
      </c>
      <c r="F542" s="120" t="s">
        <v>753</v>
      </c>
      <c r="G542" s="120" t="s">
        <v>753</v>
      </c>
      <c r="H542" s="120" t="s">
        <v>753</v>
      </c>
      <c r="I542" s="120" t="s">
        <v>753</v>
      </c>
      <c r="J542" s="120" t="s">
        <v>753</v>
      </c>
      <c r="K542" s="120" t="s">
        <v>753</v>
      </c>
      <c r="L542" s="120" t="s">
        <v>753</v>
      </c>
      <c r="M542" s="125"/>
      <c r="N542" s="125"/>
      <c r="O542" s="125"/>
      <c r="P542" s="125"/>
      <c r="Q542" s="125"/>
      <c r="R542" s="125"/>
      <c r="S542" s="125"/>
      <c r="T542" s="125"/>
      <c r="U542" s="125"/>
      <c r="V542" s="125"/>
      <c r="W542" s="125"/>
      <c r="X542" s="125"/>
      <c r="Y542" s="125"/>
      <c r="Z542" s="125"/>
      <c r="AA542" s="125"/>
      <c r="AB542" s="125"/>
      <c r="AC542" s="125"/>
    </row>
    <row r="543" spans="1:29" outlineLevel="1">
      <c r="A543" s="120" t="s">
        <v>756</v>
      </c>
      <c r="B543" s="126" t="s">
        <v>359</v>
      </c>
      <c r="C543" s="125"/>
      <c r="D543" s="120" t="s">
        <v>753</v>
      </c>
      <c r="E543" s="120" t="s">
        <v>622</v>
      </c>
      <c r="F543" s="120" t="s">
        <v>753</v>
      </c>
      <c r="G543" s="120" t="s">
        <v>753</v>
      </c>
      <c r="H543" s="120" t="s">
        <v>753</v>
      </c>
      <c r="I543" s="120" t="s">
        <v>753</v>
      </c>
      <c r="J543" s="120" t="s">
        <v>753</v>
      </c>
      <c r="K543" s="120" t="s">
        <v>753</v>
      </c>
      <c r="L543" s="120" t="s">
        <v>753</v>
      </c>
      <c r="M543" s="125"/>
      <c r="N543" s="125"/>
      <c r="O543" s="125"/>
      <c r="P543" s="125"/>
      <c r="Q543" s="125"/>
      <c r="R543" s="125"/>
      <c r="S543" s="125"/>
      <c r="T543" s="125"/>
      <c r="U543" s="125"/>
      <c r="V543" s="125"/>
      <c r="W543" s="125"/>
      <c r="X543" s="125"/>
      <c r="Y543" s="125"/>
      <c r="Z543" s="125"/>
      <c r="AA543" s="125"/>
      <c r="AB543" s="125"/>
      <c r="AC543" s="125"/>
    </row>
    <row r="544" spans="1:29" outlineLevel="1">
      <c r="A544" s="120" t="s">
        <v>755</v>
      </c>
      <c r="B544" s="126" t="s">
        <v>353</v>
      </c>
      <c r="C544" s="125"/>
      <c r="D544" s="120" t="s">
        <v>753</v>
      </c>
      <c r="E544" s="120" t="s">
        <v>622</v>
      </c>
      <c r="F544" s="120" t="s">
        <v>753</v>
      </c>
      <c r="G544" s="120" t="s">
        <v>753</v>
      </c>
      <c r="H544" s="120" t="s">
        <v>753</v>
      </c>
      <c r="I544" s="120" t="s">
        <v>753</v>
      </c>
      <c r="J544" s="120" t="s">
        <v>753</v>
      </c>
      <c r="K544" s="120" t="s">
        <v>753</v>
      </c>
      <c r="L544" s="120" t="s">
        <v>753</v>
      </c>
      <c r="M544" s="125"/>
      <c r="N544" s="125"/>
      <c r="O544" s="125"/>
      <c r="P544" s="125"/>
      <c r="Q544" s="125"/>
      <c r="R544" s="125"/>
      <c r="S544" s="125"/>
      <c r="T544" s="125"/>
      <c r="U544" s="125"/>
      <c r="V544" s="125"/>
      <c r="W544" s="125"/>
      <c r="X544" s="125"/>
      <c r="Y544" s="125"/>
      <c r="Z544" s="125"/>
      <c r="AA544" s="125"/>
      <c r="AB544" s="125"/>
      <c r="AC544" s="125"/>
    </row>
    <row r="545" spans="1:29" outlineLevel="1">
      <c r="A545" s="120" t="s">
        <v>754</v>
      </c>
      <c r="B545" s="126" t="s">
        <v>341</v>
      </c>
      <c r="C545" s="125"/>
      <c r="D545" s="166" t="s">
        <v>753</v>
      </c>
      <c r="E545" s="120" t="s">
        <v>622</v>
      </c>
      <c r="F545" s="120" t="s">
        <v>753</v>
      </c>
      <c r="G545" s="120" t="s">
        <v>753</v>
      </c>
      <c r="H545" s="120" t="s">
        <v>753</v>
      </c>
      <c r="I545" s="120" t="s">
        <v>753</v>
      </c>
      <c r="J545" s="120" t="s">
        <v>753</v>
      </c>
      <c r="K545" s="120" t="s">
        <v>753</v>
      </c>
      <c r="L545" s="120" t="s">
        <v>753</v>
      </c>
      <c r="M545" s="125"/>
      <c r="N545" s="125"/>
      <c r="O545" s="125"/>
      <c r="P545" s="125"/>
      <c r="Q545" s="125"/>
      <c r="R545" s="125"/>
      <c r="S545" s="125"/>
      <c r="T545" s="125"/>
      <c r="U545" s="125"/>
      <c r="V545" s="125"/>
      <c r="W545" s="125"/>
      <c r="X545" s="125"/>
      <c r="Y545" s="125"/>
      <c r="Z545" s="125"/>
      <c r="AA545" s="125"/>
      <c r="AB545" s="125"/>
      <c r="AC545" s="125"/>
    </row>
    <row r="546" spans="1:29" outlineLevel="1">
      <c r="A546" s="120" t="s">
        <v>752</v>
      </c>
      <c r="B546" s="167" t="s">
        <v>340</v>
      </c>
      <c r="C546" s="167"/>
      <c r="D546" s="166" t="s">
        <v>753</v>
      </c>
      <c r="E546" s="120" t="s">
        <v>622</v>
      </c>
      <c r="F546" s="120" t="s">
        <v>753</v>
      </c>
      <c r="G546" s="120" t="s">
        <v>753</v>
      </c>
      <c r="H546" s="120" t="s">
        <v>753</v>
      </c>
      <c r="I546" s="120" t="s">
        <v>753</v>
      </c>
      <c r="J546" s="120" t="s">
        <v>753</v>
      </c>
      <c r="K546" s="120" t="s">
        <v>753</v>
      </c>
      <c r="L546" s="120" t="s">
        <v>753</v>
      </c>
      <c r="M546" s="167"/>
      <c r="N546" s="167"/>
      <c r="O546" s="167"/>
      <c r="P546" s="167"/>
      <c r="Q546" s="167"/>
      <c r="R546" s="167"/>
      <c r="S546" s="167"/>
      <c r="T546" s="167"/>
      <c r="U546" s="167"/>
      <c r="V546" s="167"/>
      <c r="W546" s="167"/>
      <c r="X546" s="167"/>
      <c r="Y546" s="167"/>
      <c r="Z546" s="167"/>
      <c r="AA546" s="167"/>
      <c r="AB546" s="167"/>
      <c r="AC546" s="167"/>
    </row>
    <row r="547" spans="1:29" outlineLevel="1">
      <c r="A547" s="120" t="s">
        <v>751</v>
      </c>
      <c r="B547" s="167" t="s">
        <v>339</v>
      </c>
      <c r="C547" s="167"/>
      <c r="D547" s="166" t="s">
        <v>753</v>
      </c>
      <c r="E547" s="120" t="s">
        <v>622</v>
      </c>
      <c r="F547" s="120" t="s">
        <v>753</v>
      </c>
      <c r="G547" s="120" t="s">
        <v>753</v>
      </c>
      <c r="H547" s="120" t="s">
        <v>753</v>
      </c>
      <c r="I547" s="120" t="s">
        <v>753</v>
      </c>
      <c r="J547" s="120" t="s">
        <v>753</v>
      </c>
      <c r="K547" s="120" t="s">
        <v>753</v>
      </c>
      <c r="L547" s="120" t="s">
        <v>753</v>
      </c>
      <c r="M547" s="167"/>
      <c r="N547" s="167"/>
      <c r="O547" s="167"/>
      <c r="P547" s="167"/>
      <c r="Q547" s="167"/>
      <c r="R547" s="167"/>
      <c r="S547" s="167"/>
      <c r="T547" s="167"/>
      <c r="U547" s="167"/>
      <c r="V547" s="167"/>
      <c r="W547" s="167"/>
      <c r="X547" s="167"/>
      <c r="Y547" s="167"/>
      <c r="Z547" s="167"/>
      <c r="AA547" s="167"/>
      <c r="AB547" s="167"/>
      <c r="AC547" s="167"/>
    </row>
    <row r="548" spans="1:29" outlineLevel="1">
      <c r="A548" s="120" t="s">
        <v>750</v>
      </c>
      <c r="B548" s="167" t="s">
        <v>338</v>
      </c>
      <c r="C548" s="167"/>
      <c r="D548" s="166" t="s">
        <v>753</v>
      </c>
      <c r="E548" s="120" t="s">
        <v>622</v>
      </c>
      <c r="F548" s="120" t="s">
        <v>753</v>
      </c>
      <c r="G548" s="120" t="s">
        <v>753</v>
      </c>
      <c r="H548" s="120" t="s">
        <v>753</v>
      </c>
      <c r="I548" s="120" t="s">
        <v>753</v>
      </c>
      <c r="J548" s="120" t="s">
        <v>753</v>
      </c>
      <c r="K548" s="120" t="s">
        <v>753</v>
      </c>
      <c r="L548" s="120" t="s">
        <v>753</v>
      </c>
      <c r="M548" s="167"/>
      <c r="N548" s="167"/>
      <c r="O548" s="167"/>
      <c r="P548" s="167"/>
      <c r="Q548" s="167"/>
      <c r="R548" s="167"/>
      <c r="S548" s="167"/>
      <c r="T548" s="167"/>
      <c r="U548" s="167"/>
      <c r="V548" s="167"/>
      <c r="W548" s="167"/>
      <c r="X548" s="167"/>
      <c r="Y548" s="167"/>
      <c r="Z548" s="167"/>
      <c r="AA548" s="167"/>
      <c r="AB548" s="167"/>
      <c r="AC548" s="167"/>
    </row>
    <row r="549" spans="1:29" outlineLevel="1">
      <c r="A549" s="120" t="s">
        <v>749</v>
      </c>
      <c r="B549" s="167" t="s">
        <v>335</v>
      </c>
      <c r="C549" s="168"/>
      <c r="D549" s="166" t="s">
        <v>753</v>
      </c>
      <c r="E549" s="120" t="s">
        <v>622</v>
      </c>
      <c r="F549" s="120" t="s">
        <v>753</v>
      </c>
      <c r="G549" s="120" t="s">
        <v>753</v>
      </c>
      <c r="H549" s="120" t="s">
        <v>753</v>
      </c>
      <c r="I549" s="120" t="s">
        <v>753</v>
      </c>
      <c r="J549" s="120" t="s">
        <v>753</v>
      </c>
      <c r="K549" s="120" t="s">
        <v>753</v>
      </c>
      <c r="L549" s="120" t="s">
        <v>753</v>
      </c>
      <c r="M549" s="167"/>
      <c r="N549" s="167"/>
      <c r="O549" s="167"/>
      <c r="P549" s="167"/>
      <c r="Q549" s="167"/>
      <c r="R549" s="167"/>
      <c r="S549" s="167"/>
      <c r="T549" s="167"/>
      <c r="U549" s="167"/>
      <c r="V549" s="167"/>
      <c r="W549" s="167"/>
      <c r="X549" s="167"/>
      <c r="Y549" s="167"/>
      <c r="Z549" s="167"/>
      <c r="AA549" s="167"/>
      <c r="AB549" s="167"/>
      <c r="AC549" s="167"/>
    </row>
    <row r="550" spans="1:29" outlineLevel="1">
      <c r="A550" s="120" t="s">
        <v>748</v>
      </c>
      <c r="B550" s="167" t="s">
        <v>332</v>
      </c>
      <c r="C550" s="167"/>
      <c r="D550" s="166" t="s">
        <v>753</v>
      </c>
      <c r="E550" s="120" t="s">
        <v>622</v>
      </c>
      <c r="F550" s="120" t="s">
        <v>753</v>
      </c>
      <c r="G550" s="120" t="s">
        <v>753</v>
      </c>
      <c r="H550" s="120" t="s">
        <v>753</v>
      </c>
      <c r="I550" s="120" t="s">
        <v>753</v>
      </c>
      <c r="J550" s="120" t="s">
        <v>753</v>
      </c>
      <c r="K550" s="120" t="s">
        <v>753</v>
      </c>
      <c r="L550" s="120" t="s">
        <v>753</v>
      </c>
      <c r="M550" s="167"/>
      <c r="N550" s="167"/>
      <c r="O550" s="167"/>
      <c r="P550" s="167"/>
      <c r="Q550" s="167"/>
      <c r="R550" s="167"/>
      <c r="S550" s="167"/>
      <c r="T550" s="167"/>
      <c r="U550" s="167"/>
      <c r="V550" s="167"/>
      <c r="W550" s="167"/>
      <c r="X550" s="167"/>
      <c r="Y550" s="167"/>
      <c r="Z550" s="167"/>
      <c r="AA550" s="167"/>
      <c r="AB550" s="167"/>
      <c r="AC550" s="167"/>
    </row>
    <row r="551" spans="1:29" outlineLevel="1">
      <c r="A551" s="120" t="s">
        <v>747</v>
      </c>
      <c r="B551" s="167" t="s">
        <v>331</v>
      </c>
      <c r="C551" s="167"/>
      <c r="D551" s="166" t="s">
        <v>753</v>
      </c>
      <c r="E551" s="120" t="s">
        <v>622</v>
      </c>
      <c r="F551" s="120" t="s">
        <v>753</v>
      </c>
      <c r="G551" s="120" t="s">
        <v>753</v>
      </c>
      <c r="H551" s="120" t="s">
        <v>753</v>
      </c>
      <c r="I551" s="120" t="s">
        <v>753</v>
      </c>
      <c r="J551" s="120" t="s">
        <v>753</v>
      </c>
      <c r="K551" s="120" t="s">
        <v>753</v>
      </c>
      <c r="L551" s="120" t="s">
        <v>753</v>
      </c>
      <c r="M551" s="167"/>
      <c r="N551" s="167"/>
      <c r="O551" s="167"/>
      <c r="P551" s="167"/>
      <c r="Q551" s="167"/>
      <c r="R551" s="167"/>
      <c r="S551" s="167"/>
      <c r="T551" s="167"/>
      <c r="U551" s="167"/>
      <c r="V551" s="167"/>
      <c r="W551" s="167"/>
      <c r="X551" s="167"/>
      <c r="Y551" s="167"/>
      <c r="Z551" s="167"/>
      <c r="AA551" s="167"/>
      <c r="AB551" s="167"/>
      <c r="AC551" s="167"/>
    </row>
    <row r="552" spans="1:29" outlineLevel="1">
      <c r="A552" s="120" t="s">
        <v>746</v>
      </c>
      <c r="B552" s="167" t="s">
        <v>318</v>
      </c>
      <c r="C552" s="167"/>
      <c r="D552" s="166" t="s">
        <v>753</v>
      </c>
      <c r="E552" s="120" t="s">
        <v>622</v>
      </c>
      <c r="F552" s="120" t="s">
        <v>753</v>
      </c>
      <c r="G552" s="120" t="s">
        <v>753</v>
      </c>
      <c r="H552" s="120" t="s">
        <v>753</v>
      </c>
      <c r="I552" s="120" t="s">
        <v>753</v>
      </c>
      <c r="J552" s="120" t="s">
        <v>753</v>
      </c>
      <c r="K552" s="120" t="s">
        <v>753</v>
      </c>
      <c r="L552" s="120" t="s">
        <v>753</v>
      </c>
      <c r="M552" s="167"/>
      <c r="N552" s="167"/>
      <c r="O552" s="167"/>
      <c r="P552" s="167"/>
      <c r="Q552" s="167"/>
      <c r="R552" s="167"/>
      <c r="S552" s="167"/>
      <c r="T552" s="167"/>
      <c r="U552" s="167"/>
      <c r="V552" s="167"/>
      <c r="W552" s="167"/>
      <c r="X552" s="167"/>
      <c r="Y552" s="167"/>
      <c r="Z552" s="167"/>
      <c r="AA552" s="167"/>
      <c r="AB552" s="167"/>
      <c r="AC552" s="167"/>
    </row>
    <row r="553" spans="1:29" outlineLevel="1">
      <c r="A553" s="120" t="s">
        <v>745</v>
      </c>
      <c r="B553" s="167" t="s">
        <v>317</v>
      </c>
      <c r="C553" s="167"/>
      <c r="D553" s="166" t="s">
        <v>753</v>
      </c>
      <c r="E553" s="120" t="s">
        <v>622</v>
      </c>
      <c r="F553" s="120" t="s">
        <v>753</v>
      </c>
      <c r="G553" s="120" t="s">
        <v>753</v>
      </c>
      <c r="H553" s="120" t="s">
        <v>753</v>
      </c>
      <c r="I553" s="120" t="s">
        <v>753</v>
      </c>
      <c r="J553" s="120" t="s">
        <v>753</v>
      </c>
      <c r="K553" s="120" t="s">
        <v>753</v>
      </c>
      <c r="L553" s="120" t="s">
        <v>753</v>
      </c>
      <c r="M553" s="167"/>
      <c r="N553" s="167"/>
      <c r="O553" s="167"/>
      <c r="P553" s="167"/>
      <c r="Q553" s="167"/>
      <c r="R553" s="167"/>
      <c r="S553" s="167"/>
      <c r="T553" s="167"/>
      <c r="U553" s="167"/>
      <c r="V553" s="167"/>
      <c r="W553" s="167"/>
      <c r="X553" s="167"/>
      <c r="Y553" s="167"/>
      <c r="Z553" s="167"/>
      <c r="AA553" s="167"/>
      <c r="AB553" s="167"/>
      <c r="AC553" s="167"/>
    </row>
    <row r="554" spans="1:29" outlineLevel="1">
      <c r="A554" s="120" t="s">
        <v>744</v>
      </c>
      <c r="B554" s="167" t="s">
        <v>315</v>
      </c>
      <c r="C554" s="167"/>
      <c r="D554" s="166" t="s">
        <v>753</v>
      </c>
      <c r="E554" s="120" t="s">
        <v>622</v>
      </c>
      <c r="F554" s="120" t="s">
        <v>753</v>
      </c>
      <c r="G554" s="120" t="s">
        <v>753</v>
      </c>
      <c r="H554" s="120" t="s">
        <v>753</v>
      </c>
      <c r="I554" s="120" t="s">
        <v>753</v>
      </c>
      <c r="J554" s="120" t="s">
        <v>753</v>
      </c>
      <c r="K554" s="120" t="s">
        <v>753</v>
      </c>
      <c r="L554" s="120" t="s">
        <v>753</v>
      </c>
      <c r="M554" s="167"/>
      <c r="N554" s="167"/>
      <c r="O554" s="167"/>
      <c r="P554" s="167"/>
      <c r="Q554" s="167"/>
      <c r="R554" s="167"/>
      <c r="S554" s="167"/>
      <c r="T554" s="167"/>
      <c r="U554" s="167"/>
      <c r="V554" s="167"/>
      <c r="W554" s="167"/>
      <c r="X554" s="167"/>
      <c r="Y554" s="167"/>
      <c r="Z554" s="167"/>
      <c r="AA554" s="167"/>
      <c r="AB554" s="167"/>
      <c r="AC554" s="167"/>
    </row>
    <row r="555" spans="1:29" outlineLevel="1">
      <c r="A555" s="120" t="s">
        <v>743</v>
      </c>
      <c r="B555" s="167" t="s">
        <v>310</v>
      </c>
      <c r="C555" s="167"/>
      <c r="D555" s="166" t="s">
        <v>753</v>
      </c>
      <c r="E555" s="120" t="s">
        <v>622</v>
      </c>
      <c r="F555" s="120" t="s">
        <v>753</v>
      </c>
      <c r="G555" s="120" t="s">
        <v>753</v>
      </c>
      <c r="H555" s="120" t="s">
        <v>753</v>
      </c>
      <c r="I555" s="120" t="s">
        <v>753</v>
      </c>
      <c r="J555" s="120" t="s">
        <v>753</v>
      </c>
      <c r="K555" s="120" t="s">
        <v>753</v>
      </c>
      <c r="L555" s="120" t="s">
        <v>753</v>
      </c>
      <c r="M555" s="167"/>
      <c r="N555" s="167"/>
      <c r="O555" s="167"/>
      <c r="P555" s="167"/>
      <c r="Q555" s="167"/>
      <c r="R555" s="167"/>
      <c r="S555" s="167"/>
      <c r="T555" s="167"/>
      <c r="U555" s="167"/>
      <c r="V555" s="167"/>
      <c r="W555" s="167"/>
      <c r="X555" s="167"/>
      <c r="Y555" s="167"/>
      <c r="Z555" s="167"/>
      <c r="AA555" s="167"/>
      <c r="AB555" s="167"/>
      <c r="AC555" s="167"/>
    </row>
    <row r="556" spans="1:29" outlineLevel="1">
      <c r="A556" s="120" t="s">
        <v>742</v>
      </c>
      <c r="B556" s="167" t="s">
        <v>309</v>
      </c>
      <c r="C556" s="167"/>
      <c r="D556" s="166" t="s">
        <v>753</v>
      </c>
      <c r="E556" s="120" t="s">
        <v>622</v>
      </c>
      <c r="F556" s="120" t="s">
        <v>753</v>
      </c>
      <c r="G556" s="120" t="s">
        <v>753</v>
      </c>
      <c r="H556" s="120" t="s">
        <v>753</v>
      </c>
      <c r="I556" s="120" t="s">
        <v>753</v>
      </c>
      <c r="J556" s="120" t="s">
        <v>753</v>
      </c>
      <c r="K556" s="120" t="s">
        <v>753</v>
      </c>
      <c r="L556" s="120" t="s">
        <v>753</v>
      </c>
      <c r="M556" s="167"/>
      <c r="N556" s="167"/>
      <c r="O556" s="167"/>
      <c r="P556" s="167"/>
      <c r="Q556" s="167"/>
      <c r="R556" s="167"/>
      <c r="S556" s="167"/>
      <c r="T556" s="167"/>
      <c r="U556" s="167"/>
      <c r="V556" s="167"/>
      <c r="W556" s="167"/>
      <c r="X556" s="167"/>
      <c r="Y556" s="167"/>
      <c r="Z556" s="167"/>
      <c r="AA556" s="167"/>
      <c r="AB556" s="167"/>
      <c r="AC556" s="167"/>
    </row>
    <row r="557" spans="1:29" outlineLevel="1">
      <c r="A557" s="120" t="s">
        <v>741</v>
      </c>
      <c r="B557" s="167" t="s">
        <v>308</v>
      </c>
      <c r="C557" s="167"/>
      <c r="D557" s="166" t="s">
        <v>753</v>
      </c>
      <c r="E557" s="120" t="s">
        <v>622</v>
      </c>
      <c r="F557" s="120" t="s">
        <v>753</v>
      </c>
      <c r="G557" s="120" t="s">
        <v>753</v>
      </c>
      <c r="H557" s="120" t="s">
        <v>753</v>
      </c>
      <c r="I557" s="120" t="s">
        <v>753</v>
      </c>
      <c r="J557" s="120" t="s">
        <v>753</v>
      </c>
      <c r="K557" s="120" t="s">
        <v>753</v>
      </c>
      <c r="L557" s="120" t="s">
        <v>753</v>
      </c>
      <c r="M557" s="167"/>
      <c r="N557" s="167"/>
      <c r="O557" s="167"/>
      <c r="P557" s="167"/>
      <c r="Q557" s="167"/>
      <c r="R557" s="167"/>
      <c r="S557" s="167"/>
      <c r="T557" s="167"/>
      <c r="U557" s="167"/>
      <c r="V557" s="167"/>
      <c r="W557" s="167"/>
      <c r="X557" s="167"/>
      <c r="Y557" s="167"/>
      <c r="Z557" s="167"/>
      <c r="AA557" s="167"/>
      <c r="AB557" s="167"/>
      <c r="AC557" s="167"/>
    </row>
    <row r="558" spans="1:29" outlineLevel="1">
      <c r="A558" s="120" t="s">
        <v>740</v>
      </c>
      <c r="B558" s="167" t="s">
        <v>307</v>
      </c>
      <c r="C558" s="167"/>
      <c r="D558" s="166" t="s">
        <v>753</v>
      </c>
      <c r="E558" s="120" t="s">
        <v>622</v>
      </c>
      <c r="F558" s="120" t="s">
        <v>753</v>
      </c>
      <c r="G558" s="120" t="s">
        <v>753</v>
      </c>
      <c r="H558" s="120" t="s">
        <v>753</v>
      </c>
      <c r="I558" s="120" t="s">
        <v>753</v>
      </c>
      <c r="J558" s="120" t="s">
        <v>753</v>
      </c>
      <c r="K558" s="120" t="s">
        <v>753</v>
      </c>
      <c r="L558" s="120" t="s">
        <v>753</v>
      </c>
      <c r="M558" s="167"/>
      <c r="N558" s="167"/>
      <c r="O558" s="167"/>
      <c r="P558" s="167"/>
      <c r="Q558" s="167"/>
      <c r="R558" s="167"/>
      <c r="S558" s="167"/>
      <c r="T558" s="167"/>
      <c r="U558" s="167"/>
      <c r="V558" s="167"/>
      <c r="W558" s="167"/>
      <c r="X558" s="167"/>
      <c r="Y558" s="167"/>
      <c r="Z558" s="167"/>
      <c r="AA558" s="167"/>
      <c r="AB558" s="167"/>
      <c r="AC558" s="167"/>
    </row>
    <row r="559" spans="1:29" outlineLevel="1">
      <c r="A559" s="120" t="s">
        <v>739</v>
      </c>
      <c r="B559" s="167" t="s">
        <v>295</v>
      </c>
      <c r="C559" s="167"/>
      <c r="D559" s="166" t="s">
        <v>753</v>
      </c>
      <c r="E559" s="120" t="s">
        <v>622</v>
      </c>
      <c r="F559" s="120" t="s">
        <v>753</v>
      </c>
      <c r="G559" s="120" t="s">
        <v>753</v>
      </c>
      <c r="H559" s="120" t="s">
        <v>753</v>
      </c>
      <c r="I559" s="120" t="s">
        <v>753</v>
      </c>
      <c r="J559" s="120" t="s">
        <v>753</v>
      </c>
      <c r="K559" s="120" t="s">
        <v>753</v>
      </c>
      <c r="L559" s="120" t="s">
        <v>753</v>
      </c>
      <c r="M559" s="167"/>
      <c r="N559" s="167"/>
      <c r="O559" s="167"/>
      <c r="P559" s="167"/>
      <c r="Q559" s="167"/>
      <c r="R559" s="167"/>
      <c r="S559" s="167"/>
      <c r="T559" s="167"/>
      <c r="U559" s="167"/>
      <c r="V559" s="167"/>
      <c r="W559" s="167"/>
      <c r="X559" s="167"/>
      <c r="Y559" s="167"/>
      <c r="Z559" s="167"/>
      <c r="AA559" s="167"/>
      <c r="AB559" s="167"/>
      <c r="AC559" s="167"/>
    </row>
    <row r="560" spans="1:29" outlineLevel="1">
      <c r="A560" s="120" t="s">
        <v>738</v>
      </c>
      <c r="B560" s="167" t="s">
        <v>294</v>
      </c>
      <c r="C560" s="167"/>
      <c r="D560" s="166" t="s">
        <v>753</v>
      </c>
      <c r="E560" s="120" t="s">
        <v>622</v>
      </c>
      <c r="F560" s="120" t="s">
        <v>753</v>
      </c>
      <c r="G560" s="120" t="s">
        <v>753</v>
      </c>
      <c r="H560" s="120" t="s">
        <v>753</v>
      </c>
      <c r="I560" s="120" t="s">
        <v>753</v>
      </c>
      <c r="J560" s="120" t="s">
        <v>753</v>
      </c>
      <c r="K560" s="120" t="s">
        <v>753</v>
      </c>
      <c r="L560" s="120" t="s">
        <v>753</v>
      </c>
      <c r="M560" s="167"/>
      <c r="N560" s="167"/>
      <c r="O560" s="167"/>
      <c r="P560" s="167"/>
      <c r="Q560" s="167"/>
      <c r="R560" s="167"/>
      <c r="S560" s="167"/>
      <c r="T560" s="167"/>
      <c r="U560" s="167"/>
      <c r="V560" s="167"/>
      <c r="W560" s="167"/>
      <c r="X560" s="167"/>
      <c r="Y560" s="167"/>
      <c r="Z560" s="167"/>
      <c r="AA560" s="167"/>
      <c r="AB560" s="167"/>
      <c r="AC560" s="167"/>
    </row>
    <row r="561" spans="1:29" outlineLevel="1">
      <c r="A561" s="120" t="s">
        <v>737</v>
      </c>
      <c r="B561" s="167" t="s">
        <v>293</v>
      </c>
      <c r="C561" s="167"/>
      <c r="D561" s="166" t="s">
        <v>753</v>
      </c>
      <c r="E561" s="120" t="s">
        <v>622</v>
      </c>
      <c r="F561" s="120" t="s">
        <v>753</v>
      </c>
      <c r="G561" s="120" t="s">
        <v>753</v>
      </c>
      <c r="H561" s="120" t="s">
        <v>753</v>
      </c>
      <c r="I561" s="120" t="s">
        <v>753</v>
      </c>
      <c r="J561" s="120" t="s">
        <v>753</v>
      </c>
      <c r="K561" s="120" t="s">
        <v>753</v>
      </c>
      <c r="L561" s="120" t="s">
        <v>753</v>
      </c>
      <c r="M561" s="167"/>
      <c r="N561" s="167"/>
      <c r="O561" s="167"/>
      <c r="P561" s="167"/>
      <c r="Q561" s="167"/>
      <c r="R561" s="167"/>
      <c r="S561" s="167"/>
      <c r="T561" s="167"/>
      <c r="U561" s="167"/>
      <c r="V561" s="167"/>
      <c r="W561" s="167"/>
      <c r="X561" s="167"/>
      <c r="Y561" s="167"/>
      <c r="Z561" s="167"/>
      <c r="AA561" s="167"/>
      <c r="AB561" s="167"/>
      <c r="AC561" s="167"/>
    </row>
    <row r="562" spans="1:29" outlineLevel="1">
      <c r="A562" s="120" t="s">
        <v>736</v>
      </c>
      <c r="B562" s="167" t="s">
        <v>292</v>
      </c>
      <c r="C562" s="167"/>
      <c r="D562" s="166" t="s">
        <v>753</v>
      </c>
      <c r="E562" s="120" t="s">
        <v>622</v>
      </c>
      <c r="F562" s="120" t="s">
        <v>753</v>
      </c>
      <c r="G562" s="120" t="s">
        <v>753</v>
      </c>
      <c r="H562" s="120" t="s">
        <v>753</v>
      </c>
      <c r="I562" s="120" t="s">
        <v>753</v>
      </c>
      <c r="J562" s="120" t="s">
        <v>753</v>
      </c>
      <c r="K562" s="120" t="s">
        <v>753</v>
      </c>
      <c r="L562" s="120" t="s">
        <v>753</v>
      </c>
      <c r="M562" s="167"/>
      <c r="N562" s="167"/>
      <c r="O562" s="167"/>
      <c r="P562" s="167"/>
      <c r="Q562" s="167"/>
      <c r="R562" s="167"/>
      <c r="S562" s="167"/>
      <c r="T562" s="167"/>
      <c r="U562" s="167"/>
      <c r="V562" s="167"/>
      <c r="W562" s="167"/>
      <c r="X562" s="167"/>
      <c r="Y562" s="167"/>
      <c r="Z562" s="167"/>
      <c r="AA562" s="167"/>
      <c r="AB562" s="167"/>
      <c r="AC562" s="167"/>
    </row>
    <row r="563" spans="1:29" outlineLevel="1">
      <c r="A563" s="120" t="s">
        <v>735</v>
      </c>
      <c r="B563" s="167" t="s">
        <v>291</v>
      </c>
      <c r="C563" s="167"/>
      <c r="D563" s="166" t="s">
        <v>753</v>
      </c>
      <c r="E563" s="120" t="s">
        <v>622</v>
      </c>
      <c r="F563" s="120" t="s">
        <v>753</v>
      </c>
      <c r="G563" s="120" t="s">
        <v>753</v>
      </c>
      <c r="H563" s="120" t="s">
        <v>753</v>
      </c>
      <c r="I563" s="120" t="s">
        <v>753</v>
      </c>
      <c r="J563" s="120" t="s">
        <v>753</v>
      </c>
      <c r="K563" s="120" t="s">
        <v>753</v>
      </c>
      <c r="L563" s="120" t="s">
        <v>753</v>
      </c>
      <c r="M563" s="167"/>
      <c r="N563" s="167"/>
      <c r="O563" s="167"/>
      <c r="P563" s="167"/>
      <c r="Q563" s="167"/>
      <c r="R563" s="167"/>
      <c r="S563" s="167"/>
      <c r="T563" s="167"/>
      <c r="U563" s="167"/>
      <c r="V563" s="167"/>
      <c r="W563" s="167"/>
      <c r="X563" s="167"/>
      <c r="Y563" s="167"/>
      <c r="Z563" s="167"/>
      <c r="AA563" s="167"/>
      <c r="AB563" s="167"/>
      <c r="AC563" s="167"/>
    </row>
    <row r="564" spans="1:29" outlineLevel="1">
      <c r="A564" s="120" t="s">
        <v>734</v>
      </c>
      <c r="B564" s="167" t="s">
        <v>287</v>
      </c>
      <c r="C564" s="167"/>
      <c r="D564" s="166" t="s">
        <v>753</v>
      </c>
      <c r="E564" s="120" t="s">
        <v>622</v>
      </c>
      <c r="F564" s="120" t="s">
        <v>753</v>
      </c>
      <c r="G564" s="120" t="s">
        <v>753</v>
      </c>
      <c r="H564" s="120" t="s">
        <v>753</v>
      </c>
      <c r="I564" s="120" t="s">
        <v>753</v>
      </c>
      <c r="J564" s="120" t="s">
        <v>753</v>
      </c>
      <c r="K564" s="120" t="s">
        <v>753</v>
      </c>
      <c r="L564" s="120" t="s">
        <v>753</v>
      </c>
      <c r="M564" s="167"/>
      <c r="N564" s="167"/>
      <c r="O564" s="167"/>
      <c r="P564" s="167"/>
      <c r="Q564" s="167"/>
      <c r="R564" s="167"/>
      <c r="S564" s="167"/>
      <c r="T564" s="167"/>
      <c r="U564" s="167"/>
      <c r="V564" s="167"/>
      <c r="W564" s="167"/>
      <c r="X564" s="167"/>
      <c r="Y564" s="167"/>
      <c r="Z564" s="167"/>
      <c r="AA564" s="167"/>
      <c r="AB564" s="167"/>
      <c r="AC564" s="167"/>
    </row>
    <row r="565" spans="1:29" outlineLevel="1">
      <c r="A565" s="120" t="s">
        <v>733</v>
      </c>
      <c r="B565" s="167" t="s">
        <v>286</v>
      </c>
      <c r="C565" s="167"/>
      <c r="D565" s="166" t="s">
        <v>753</v>
      </c>
      <c r="E565" s="120" t="s">
        <v>622</v>
      </c>
      <c r="F565" s="120" t="s">
        <v>753</v>
      </c>
      <c r="G565" s="120" t="s">
        <v>753</v>
      </c>
      <c r="H565" s="120" t="s">
        <v>753</v>
      </c>
      <c r="I565" s="120" t="s">
        <v>753</v>
      </c>
      <c r="J565" s="120" t="s">
        <v>753</v>
      </c>
      <c r="K565" s="120" t="s">
        <v>753</v>
      </c>
      <c r="L565" s="120" t="s">
        <v>753</v>
      </c>
      <c r="M565" s="167"/>
      <c r="N565" s="167"/>
      <c r="O565" s="167"/>
      <c r="P565" s="167"/>
      <c r="Q565" s="167"/>
      <c r="R565" s="167"/>
      <c r="S565" s="167"/>
      <c r="T565" s="167"/>
      <c r="U565" s="167"/>
      <c r="V565" s="167"/>
      <c r="W565" s="167"/>
      <c r="X565" s="167"/>
      <c r="Y565" s="167"/>
      <c r="Z565" s="167"/>
      <c r="AA565" s="167"/>
      <c r="AB565" s="167"/>
      <c r="AC565" s="167"/>
    </row>
    <row r="566" spans="1:29" outlineLevel="1">
      <c r="A566" s="120" t="s">
        <v>732</v>
      </c>
      <c r="B566" s="167" t="s">
        <v>285</v>
      </c>
      <c r="C566" s="167"/>
      <c r="D566" s="166" t="s">
        <v>753</v>
      </c>
      <c r="E566" s="120" t="s">
        <v>622</v>
      </c>
      <c r="F566" s="120" t="s">
        <v>753</v>
      </c>
      <c r="G566" s="120" t="s">
        <v>753</v>
      </c>
      <c r="H566" s="120" t="s">
        <v>753</v>
      </c>
      <c r="I566" s="120" t="s">
        <v>753</v>
      </c>
      <c r="J566" s="120" t="s">
        <v>753</v>
      </c>
      <c r="K566" s="120" t="s">
        <v>753</v>
      </c>
      <c r="L566" s="120" t="s">
        <v>753</v>
      </c>
      <c r="M566" s="167"/>
      <c r="N566" s="167"/>
      <c r="O566" s="167"/>
      <c r="P566" s="167"/>
      <c r="Q566" s="167"/>
      <c r="R566" s="167"/>
      <c r="S566" s="167"/>
      <c r="T566" s="167"/>
      <c r="U566" s="167"/>
      <c r="V566" s="167"/>
      <c r="W566" s="167"/>
      <c r="X566" s="167"/>
      <c r="Y566" s="167"/>
      <c r="Z566" s="167"/>
      <c r="AA566" s="167"/>
      <c r="AB566" s="167"/>
      <c r="AC566" s="167"/>
    </row>
    <row r="567" spans="1:29" outlineLevel="1">
      <c r="A567" s="120" t="s">
        <v>731</v>
      </c>
      <c r="B567" s="167" t="s">
        <v>274</v>
      </c>
      <c r="C567" s="167"/>
      <c r="D567" s="166" t="s">
        <v>753</v>
      </c>
      <c r="E567" s="120" t="s">
        <v>622</v>
      </c>
      <c r="F567" s="120" t="s">
        <v>753</v>
      </c>
      <c r="G567" s="120" t="s">
        <v>753</v>
      </c>
      <c r="H567" s="120" t="s">
        <v>753</v>
      </c>
      <c r="I567" s="120" t="s">
        <v>753</v>
      </c>
      <c r="J567" s="120" t="s">
        <v>753</v>
      </c>
      <c r="K567" s="120" t="s">
        <v>753</v>
      </c>
      <c r="L567" s="120" t="s">
        <v>753</v>
      </c>
      <c r="M567" s="167"/>
      <c r="N567" s="167"/>
      <c r="O567" s="167"/>
      <c r="P567" s="167"/>
      <c r="Q567" s="167"/>
      <c r="R567" s="167"/>
      <c r="S567" s="167"/>
      <c r="T567" s="167"/>
      <c r="U567" s="167"/>
      <c r="V567" s="167"/>
      <c r="W567" s="167"/>
      <c r="X567" s="167"/>
      <c r="Y567" s="167"/>
      <c r="Z567" s="167"/>
      <c r="AA567" s="167"/>
      <c r="AB567" s="167"/>
      <c r="AC567" s="167"/>
    </row>
    <row r="568" spans="1:29" outlineLevel="1">
      <c r="A568" s="120" t="s">
        <v>730</v>
      </c>
      <c r="B568" s="167" t="s">
        <v>272</v>
      </c>
      <c r="C568" s="167"/>
      <c r="D568" s="166" t="s">
        <v>753</v>
      </c>
      <c r="E568" s="120" t="s">
        <v>5015</v>
      </c>
      <c r="F568" s="120" t="s">
        <v>753</v>
      </c>
      <c r="G568" s="120" t="s">
        <v>753</v>
      </c>
      <c r="H568" s="120" t="s">
        <v>753</v>
      </c>
      <c r="I568" s="120" t="s">
        <v>753</v>
      </c>
      <c r="J568" s="120" t="s">
        <v>753</v>
      </c>
      <c r="K568" s="120" t="s">
        <v>753</v>
      </c>
      <c r="L568" s="120" t="s">
        <v>753</v>
      </c>
      <c r="M568" s="167"/>
      <c r="N568" s="167"/>
      <c r="O568" s="167"/>
      <c r="P568" s="167"/>
      <c r="Q568" s="167"/>
      <c r="R568" s="167"/>
      <c r="S568" s="167"/>
      <c r="T568" s="167"/>
      <c r="U568" s="167"/>
      <c r="V568" s="167"/>
      <c r="W568" s="167"/>
      <c r="X568" s="167"/>
      <c r="Y568" s="167"/>
      <c r="Z568" s="167"/>
      <c r="AA568" s="167"/>
      <c r="AB568" s="167"/>
      <c r="AC568" s="167"/>
    </row>
    <row r="569" spans="1:29" outlineLevel="1">
      <c r="A569" s="120" t="s">
        <v>729</v>
      </c>
      <c r="B569" s="167" t="s">
        <v>271</v>
      </c>
      <c r="C569" s="167"/>
      <c r="D569" s="166" t="s">
        <v>753</v>
      </c>
      <c r="E569" s="120" t="s">
        <v>622</v>
      </c>
      <c r="F569" s="120" t="s">
        <v>753</v>
      </c>
      <c r="G569" s="120" t="s">
        <v>753</v>
      </c>
      <c r="H569" s="120" t="s">
        <v>753</v>
      </c>
      <c r="I569" s="120" t="s">
        <v>753</v>
      </c>
      <c r="J569" s="120" t="s">
        <v>753</v>
      </c>
      <c r="K569" s="120" t="s">
        <v>753</v>
      </c>
      <c r="L569" s="120" t="s">
        <v>753</v>
      </c>
      <c r="M569" s="167"/>
      <c r="N569" s="167"/>
      <c r="O569" s="167"/>
      <c r="P569" s="167"/>
      <c r="Q569" s="167"/>
      <c r="R569" s="167"/>
      <c r="S569" s="167"/>
      <c r="T569" s="167"/>
      <c r="U569" s="167"/>
      <c r="V569" s="167"/>
      <c r="W569" s="167"/>
      <c r="X569" s="167"/>
      <c r="Y569" s="167"/>
      <c r="Z569" s="167"/>
      <c r="AA569" s="167"/>
      <c r="AB569" s="167"/>
      <c r="AC569" s="167"/>
    </row>
    <row r="570" spans="1:29" outlineLevel="1">
      <c r="A570" s="120" t="s">
        <v>728</v>
      </c>
      <c r="B570" s="167" t="s">
        <v>265</v>
      </c>
      <c r="C570" s="167"/>
      <c r="D570" s="166" t="s">
        <v>753</v>
      </c>
      <c r="E570" s="120" t="s">
        <v>622</v>
      </c>
      <c r="F570" s="120" t="s">
        <v>753</v>
      </c>
      <c r="G570" s="120" t="s">
        <v>753</v>
      </c>
      <c r="H570" s="120" t="s">
        <v>753</v>
      </c>
      <c r="I570" s="120" t="s">
        <v>753</v>
      </c>
      <c r="J570" s="120" t="s">
        <v>753</v>
      </c>
      <c r="K570" s="120" t="s">
        <v>753</v>
      </c>
      <c r="L570" s="120" t="s">
        <v>753</v>
      </c>
      <c r="M570" s="167"/>
      <c r="N570" s="167"/>
      <c r="O570" s="167"/>
      <c r="P570" s="167"/>
      <c r="Q570" s="167"/>
      <c r="R570" s="167"/>
      <c r="S570" s="167"/>
      <c r="T570" s="167"/>
      <c r="U570" s="167"/>
      <c r="V570" s="167"/>
      <c r="W570" s="167"/>
      <c r="X570" s="167"/>
      <c r="Y570" s="167"/>
      <c r="Z570" s="167"/>
      <c r="AA570" s="167"/>
      <c r="AB570" s="167"/>
      <c r="AC570" s="167"/>
    </row>
    <row r="571" spans="1:29" outlineLevel="1">
      <c r="A571" s="120" t="s">
        <v>727</v>
      </c>
      <c r="B571" s="167" t="s">
        <v>263</v>
      </c>
      <c r="C571" s="167"/>
      <c r="D571" s="166" t="s">
        <v>753</v>
      </c>
      <c r="E571" s="120" t="s">
        <v>622</v>
      </c>
      <c r="F571" s="120" t="s">
        <v>753</v>
      </c>
      <c r="G571" s="120" t="s">
        <v>753</v>
      </c>
      <c r="H571" s="120" t="s">
        <v>753</v>
      </c>
      <c r="I571" s="120" t="s">
        <v>753</v>
      </c>
      <c r="J571" s="120" t="s">
        <v>753</v>
      </c>
      <c r="K571" s="120" t="s">
        <v>753</v>
      </c>
      <c r="L571" s="120" t="s">
        <v>753</v>
      </c>
      <c r="M571" s="167"/>
      <c r="N571" s="167"/>
      <c r="O571" s="167"/>
      <c r="P571" s="167"/>
      <c r="Q571" s="167"/>
      <c r="R571" s="167"/>
      <c r="S571" s="167"/>
      <c r="T571" s="167"/>
      <c r="U571" s="167"/>
      <c r="V571" s="167"/>
      <c r="W571" s="167"/>
      <c r="X571" s="167"/>
      <c r="Y571" s="167"/>
      <c r="Z571" s="167"/>
      <c r="AA571" s="167"/>
      <c r="AB571" s="167"/>
      <c r="AC571" s="167"/>
    </row>
  </sheetData>
  <sheetProtection password="DD74" sheet="1" formatCells="0" formatColumns="0" formatRows="0"/>
  <mergeCells count="21">
    <mergeCell ref="A1:A2"/>
    <mergeCell ref="B1:B2"/>
    <mergeCell ref="C1:C2"/>
    <mergeCell ref="D1:D2"/>
    <mergeCell ref="E1:E2"/>
    <mergeCell ref="D389:D393"/>
    <mergeCell ref="D394:D400"/>
    <mergeCell ref="D401:D402"/>
    <mergeCell ref="D403:D406"/>
    <mergeCell ref="J1:J2"/>
    <mergeCell ref="F1:F2"/>
    <mergeCell ref="D85:D90"/>
    <mergeCell ref="M1:AB1"/>
    <mergeCell ref="AC1:AC2"/>
    <mergeCell ref="D381:D388"/>
    <mergeCell ref="G1:G2"/>
    <mergeCell ref="H1:H2"/>
    <mergeCell ref="I1:I2"/>
    <mergeCell ref="D92:D97"/>
    <mergeCell ref="K1:K2"/>
    <mergeCell ref="L1:L2"/>
  </mergeCells>
  <phoneticPr fontId="2" type="noConversion"/>
  <conditionalFormatting sqref="AE1:AE1048576">
    <cfRule type="cellIs" dxfId="2" priority="1" operator="equal">
      <formula>"n"</formula>
    </cfRule>
    <cfRule type="cellIs" dxfId="1" priority="2" operator="equal">
      <formula>n</formula>
    </cfRule>
  </conditionalFormatting>
  <dataValidations count="4">
    <dataValidation type="list" allowBlank="1" showInputMessage="1" showErrorMessage="1" sqref="D3:D85 D91 D407:D571 D98:D380">
      <formula1>"-,0.75V,0.85V,1.05V,1.1V,1.8V,3.3V,0.5V,0.75V-0.85V,0.6V/0.5V,1.1V/1.05V,1.8V/3.3V,0.75V/0.85V,1.2V,0.55V-0.95V,0.75V-0.95V,1.2V/1.8V"</formula1>
    </dataValidation>
    <dataValidation type="list" allowBlank="1" showInputMessage="1" showErrorMessage="1" sqref="H367:L367 H338:L338 H407:L407 H4:H72 K240:L240 H309:L309 H380:L380 H191 H212 H226 H258:H259 H269 H91:H177 H74:H80 H81:H90 H73 G1:G1048576">
      <formula1>"down,up,high-z,-"</formula1>
    </dataValidation>
    <dataValidation type="list" allowBlank="1" showInputMessage="1" showErrorMessage="1" sqref="H240:J240 H263:L263 H196:J197 H188:J188 K339:L366 J258:J259 M377:M378 K381:L406 J212 J226 J191 H213:J221 K241:L262 J269 J4:J177 K1:L239 K408:L1048576 K310:L337 K264:L300 K368:L378">
      <formula1>"-,√"</formula1>
    </dataValidation>
    <dataValidation type="list" allowBlank="1" showInputMessage="1" showErrorMessage="1" sqref="D1:D2 D572:D1048576">
      <formula1>"-,0.75V,0.85V,1.05V,1.1V,1.8V,3.3V,0.5V,0.75V-0.85V,0.6V/0.5V,1.1V/1.05V,1.8V/3.3V,0.75V/0.85V,1.2V,0.55V-0.95V,0.75V-0.95V"</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28"/>
  <sheetViews>
    <sheetView zoomScale="85" zoomScaleNormal="85" workbookViewId="0">
      <pane xSplit="2" ySplit="2" topLeftCell="C174" activePane="bottomRight" state="frozen"/>
      <selection pane="topRight" activeCell="C1" sqref="C1"/>
      <selection pane="bottomLeft" activeCell="A3" sqref="A3"/>
      <selection pane="bottomRight" activeCell="B24" sqref="B24:B27"/>
    </sheetView>
  </sheetViews>
  <sheetFormatPr defaultColWidth="9" defaultRowHeight="14.25"/>
  <cols>
    <col min="1" max="1" width="11.625" style="149" customWidth="1"/>
    <col min="2" max="2" width="78.625" style="115" customWidth="1"/>
    <col min="3" max="3" width="19.875" style="148" customWidth="1"/>
    <col min="4" max="4" width="35" style="177" customWidth="1"/>
    <col min="5" max="5" width="11.875" style="178" customWidth="1"/>
    <col min="6" max="6" width="74.125" style="179" customWidth="1"/>
    <col min="7" max="10" width="8.625" style="8" customWidth="1"/>
    <col min="11" max="18" width="8.625" style="1" customWidth="1"/>
    <col min="19" max="19" width="9" style="1" customWidth="1"/>
    <col min="20" max="16384" width="9" style="1"/>
  </cols>
  <sheetData>
    <row r="1" spans="1:16" ht="15">
      <c r="A1" s="321" t="s">
        <v>2847</v>
      </c>
      <c r="B1" s="323" t="s">
        <v>3405</v>
      </c>
      <c r="C1" s="320" t="s">
        <v>2836</v>
      </c>
      <c r="D1" s="320"/>
      <c r="E1" s="320"/>
      <c r="F1" s="320"/>
      <c r="K1" s="8"/>
      <c r="L1" s="8"/>
      <c r="M1" s="8"/>
      <c r="N1" s="8"/>
      <c r="O1" s="8"/>
      <c r="P1" s="8"/>
    </row>
    <row r="2" spans="1:16">
      <c r="A2" s="322"/>
      <c r="B2" s="323"/>
      <c r="C2" s="161" t="s">
        <v>3404</v>
      </c>
      <c r="D2" s="176" t="s">
        <v>3403</v>
      </c>
      <c r="E2" s="176" t="s">
        <v>3402</v>
      </c>
      <c r="F2" s="176" t="s">
        <v>3401</v>
      </c>
      <c r="K2" s="8"/>
      <c r="L2" s="8"/>
      <c r="M2" s="8"/>
      <c r="N2" s="8"/>
      <c r="O2" s="8"/>
      <c r="P2" s="8"/>
    </row>
    <row r="3" spans="1:16">
      <c r="A3" s="160" t="s">
        <v>2802</v>
      </c>
      <c r="B3" s="156"/>
      <c r="C3" s="160"/>
      <c r="D3" s="154"/>
      <c r="E3" s="155"/>
      <c r="F3" s="154"/>
      <c r="K3" s="8"/>
      <c r="L3" s="8"/>
      <c r="M3" s="8"/>
      <c r="N3" s="8"/>
      <c r="O3" s="8"/>
      <c r="P3" s="8"/>
    </row>
    <row r="4" spans="1:16" ht="15" customHeight="1">
      <c r="A4" s="300" t="s">
        <v>2801</v>
      </c>
      <c r="B4" s="311" t="s">
        <v>2800</v>
      </c>
      <c r="C4" s="153">
        <v>0</v>
      </c>
      <c r="D4" s="152" t="s">
        <v>2799</v>
      </c>
      <c r="E4" s="153" t="s">
        <v>669</v>
      </c>
      <c r="F4" s="152" t="s">
        <v>3400</v>
      </c>
      <c r="G4" s="116"/>
      <c r="H4" s="116"/>
      <c r="I4" s="157"/>
      <c r="K4" s="8"/>
      <c r="L4" s="8"/>
      <c r="M4" s="8"/>
      <c r="N4" s="8"/>
      <c r="O4" s="8"/>
      <c r="P4" s="8"/>
    </row>
    <row r="5" spans="1:16" ht="15" customHeight="1">
      <c r="A5" s="301"/>
      <c r="B5" s="312"/>
      <c r="C5" s="153">
        <v>1</v>
      </c>
      <c r="D5" s="152" t="s">
        <v>2798</v>
      </c>
      <c r="E5" s="153" t="s">
        <v>669</v>
      </c>
      <c r="F5" s="152" t="s">
        <v>3399</v>
      </c>
      <c r="G5" s="116"/>
      <c r="H5" s="116"/>
      <c r="I5" s="157"/>
      <c r="K5" s="8"/>
      <c r="L5" s="8"/>
      <c r="M5" s="8"/>
      <c r="N5" s="8"/>
      <c r="O5" s="8"/>
      <c r="P5" s="8"/>
    </row>
    <row r="6" spans="1:16" ht="15" customHeight="1">
      <c r="A6" s="301"/>
      <c r="B6" s="312"/>
      <c r="C6" s="153">
        <v>2</v>
      </c>
      <c r="D6" s="152" t="s">
        <v>2797</v>
      </c>
      <c r="E6" s="153" t="s">
        <v>669</v>
      </c>
      <c r="F6" s="152" t="s">
        <v>3398</v>
      </c>
      <c r="G6" s="116"/>
      <c r="H6" s="116"/>
      <c r="I6" s="157"/>
      <c r="K6" s="8"/>
      <c r="L6" s="8"/>
      <c r="M6" s="8"/>
      <c r="N6" s="8"/>
      <c r="O6" s="8"/>
      <c r="P6" s="8"/>
    </row>
    <row r="7" spans="1:16" ht="15" customHeight="1">
      <c r="A7" s="302"/>
      <c r="B7" s="313"/>
      <c r="C7" s="153">
        <v>3</v>
      </c>
      <c r="D7" s="152" t="s">
        <v>3493</v>
      </c>
      <c r="E7" s="153" t="s">
        <v>669</v>
      </c>
      <c r="F7" s="152" t="s">
        <v>3494</v>
      </c>
      <c r="G7" s="116"/>
      <c r="H7" s="116"/>
      <c r="I7" s="157"/>
      <c r="K7" s="8"/>
      <c r="L7" s="8"/>
      <c r="M7" s="8"/>
      <c r="N7" s="8"/>
      <c r="O7" s="8"/>
      <c r="P7" s="8"/>
    </row>
    <row r="8" spans="1:16" ht="15" customHeight="1">
      <c r="A8" s="274" t="s">
        <v>2795</v>
      </c>
      <c r="B8" s="317" t="s">
        <v>2794</v>
      </c>
      <c r="C8" s="151">
        <v>0</v>
      </c>
      <c r="D8" s="171" t="s">
        <v>2793</v>
      </c>
      <c r="E8" s="170" t="s">
        <v>669</v>
      </c>
      <c r="F8" s="171" t="s">
        <v>3397</v>
      </c>
      <c r="G8" s="116"/>
      <c r="H8" s="116"/>
      <c r="I8" s="157"/>
      <c r="K8" s="8"/>
      <c r="L8" s="8"/>
      <c r="M8" s="8"/>
      <c r="N8" s="8"/>
      <c r="O8" s="8"/>
      <c r="P8" s="8"/>
    </row>
    <row r="9" spans="1:16" ht="15" customHeight="1">
      <c r="A9" s="299"/>
      <c r="B9" s="318"/>
      <c r="C9" s="151">
        <v>1</v>
      </c>
      <c r="D9" s="171" t="s">
        <v>2792</v>
      </c>
      <c r="E9" s="170" t="s">
        <v>669</v>
      </c>
      <c r="F9" s="171" t="s">
        <v>3396</v>
      </c>
      <c r="G9" s="116"/>
      <c r="H9" s="116"/>
      <c r="I9" s="157"/>
      <c r="K9" s="8"/>
      <c r="L9" s="8"/>
      <c r="M9" s="8"/>
      <c r="N9" s="8"/>
      <c r="O9" s="8"/>
      <c r="P9" s="8"/>
    </row>
    <row r="10" spans="1:16" ht="15" customHeight="1">
      <c r="A10" s="299"/>
      <c r="B10" s="318"/>
      <c r="C10" s="151">
        <v>2</v>
      </c>
      <c r="D10" s="171" t="s">
        <v>2791</v>
      </c>
      <c r="E10" s="170" t="s">
        <v>669</v>
      </c>
      <c r="F10" s="171" t="s">
        <v>3395</v>
      </c>
      <c r="G10" s="116"/>
      <c r="H10" s="116"/>
      <c r="I10" s="157"/>
      <c r="K10" s="8"/>
      <c r="L10" s="8"/>
      <c r="M10" s="8"/>
      <c r="N10" s="8"/>
      <c r="O10" s="8"/>
      <c r="P10" s="8"/>
    </row>
    <row r="11" spans="1:16" ht="15" customHeight="1">
      <c r="A11" s="275"/>
      <c r="B11" s="319"/>
      <c r="C11" s="151">
        <v>3</v>
      </c>
      <c r="D11" s="171" t="s">
        <v>3495</v>
      </c>
      <c r="E11" s="170" t="s">
        <v>669</v>
      </c>
      <c r="F11" s="171" t="s">
        <v>3496</v>
      </c>
      <c r="G11" s="116"/>
      <c r="H11" s="116"/>
      <c r="I11" s="157"/>
      <c r="K11" s="8"/>
      <c r="L11" s="8"/>
      <c r="M11" s="8"/>
      <c r="N11" s="8"/>
      <c r="O11" s="8"/>
      <c r="P11" s="8"/>
    </row>
    <row r="12" spans="1:16" ht="15" customHeight="1">
      <c r="A12" s="300" t="s">
        <v>2789</v>
      </c>
      <c r="B12" s="311" t="s">
        <v>2788</v>
      </c>
      <c r="C12" s="153">
        <v>0</v>
      </c>
      <c r="D12" s="152" t="s">
        <v>2787</v>
      </c>
      <c r="E12" s="153" t="s">
        <v>669</v>
      </c>
      <c r="F12" s="152" t="s">
        <v>3394</v>
      </c>
      <c r="G12" s="116"/>
      <c r="H12" s="116"/>
      <c r="I12" s="157"/>
      <c r="K12" s="8"/>
      <c r="L12" s="8"/>
      <c r="M12" s="8"/>
      <c r="N12" s="8"/>
      <c r="O12" s="8"/>
      <c r="P12" s="8"/>
    </row>
    <row r="13" spans="1:16" ht="15" customHeight="1">
      <c r="A13" s="301"/>
      <c r="B13" s="312"/>
      <c r="C13" s="153">
        <v>1</v>
      </c>
      <c r="D13" s="152" t="s">
        <v>2786</v>
      </c>
      <c r="E13" s="153" t="s">
        <v>669</v>
      </c>
      <c r="F13" s="152" t="s">
        <v>3393</v>
      </c>
      <c r="G13" s="116"/>
      <c r="H13" s="116"/>
      <c r="I13" s="157"/>
      <c r="K13" s="8"/>
      <c r="L13" s="8"/>
      <c r="M13" s="8"/>
      <c r="N13" s="8"/>
      <c r="O13" s="8"/>
      <c r="P13" s="8"/>
    </row>
    <row r="14" spans="1:16" ht="15" customHeight="1">
      <c r="A14" s="301"/>
      <c r="B14" s="312"/>
      <c r="C14" s="153">
        <v>2</v>
      </c>
      <c r="D14" s="152" t="s">
        <v>2785</v>
      </c>
      <c r="E14" s="153" t="s">
        <v>669</v>
      </c>
      <c r="F14" s="152" t="s">
        <v>3392</v>
      </c>
      <c r="G14" s="116"/>
      <c r="H14" s="116"/>
      <c r="I14" s="157"/>
      <c r="K14" s="8"/>
      <c r="L14" s="8"/>
      <c r="M14" s="8"/>
      <c r="N14" s="8"/>
      <c r="O14" s="8"/>
      <c r="P14" s="8"/>
    </row>
    <row r="15" spans="1:16" ht="15" customHeight="1">
      <c r="A15" s="302"/>
      <c r="B15" s="313"/>
      <c r="C15" s="153">
        <v>3</v>
      </c>
      <c r="D15" s="152" t="s">
        <v>3497</v>
      </c>
      <c r="E15" s="153" t="s">
        <v>669</v>
      </c>
      <c r="F15" s="152" t="s">
        <v>3498</v>
      </c>
      <c r="G15" s="116"/>
      <c r="H15" s="116"/>
      <c r="I15" s="157"/>
      <c r="K15" s="8"/>
      <c r="L15" s="8"/>
      <c r="M15" s="8"/>
      <c r="N15" s="8"/>
      <c r="O15" s="8"/>
      <c r="P15" s="8"/>
    </row>
    <row r="16" spans="1:16" ht="15" customHeight="1">
      <c r="A16" s="293" t="s">
        <v>2783</v>
      </c>
      <c r="B16" s="308" t="s">
        <v>2782</v>
      </c>
      <c r="C16" s="151">
        <v>0</v>
      </c>
      <c r="D16" s="171" t="s">
        <v>2781</v>
      </c>
      <c r="E16" s="170" t="s">
        <v>669</v>
      </c>
      <c r="F16" s="171" t="s">
        <v>3391</v>
      </c>
      <c r="G16" s="116"/>
      <c r="H16" s="116"/>
      <c r="I16" s="157"/>
      <c r="K16" s="8"/>
      <c r="L16" s="8"/>
      <c r="M16" s="8"/>
      <c r="N16" s="8"/>
      <c r="O16" s="8"/>
      <c r="P16" s="8"/>
    </row>
    <row r="17" spans="1:16" ht="15" customHeight="1">
      <c r="A17" s="294"/>
      <c r="B17" s="309"/>
      <c r="C17" s="151">
        <v>1</v>
      </c>
      <c r="D17" s="171" t="s">
        <v>2780</v>
      </c>
      <c r="E17" s="170" t="s">
        <v>669</v>
      </c>
      <c r="F17" s="171" t="s">
        <v>3390</v>
      </c>
      <c r="G17" s="116"/>
      <c r="H17" s="116"/>
      <c r="I17" s="157"/>
      <c r="K17" s="8"/>
      <c r="L17" s="8"/>
      <c r="M17" s="8"/>
      <c r="N17" s="8"/>
      <c r="O17" s="8"/>
      <c r="P17" s="8"/>
    </row>
    <row r="18" spans="1:16" ht="15" customHeight="1">
      <c r="A18" s="294"/>
      <c r="B18" s="309"/>
      <c r="C18" s="151">
        <v>2</v>
      </c>
      <c r="D18" s="171" t="s">
        <v>2779</v>
      </c>
      <c r="E18" s="170" t="s">
        <v>669</v>
      </c>
      <c r="F18" s="171" t="s">
        <v>3389</v>
      </c>
      <c r="G18" s="116"/>
      <c r="H18" s="116"/>
      <c r="I18" s="157"/>
      <c r="K18" s="8"/>
      <c r="L18" s="8"/>
      <c r="M18" s="8"/>
      <c r="N18" s="8"/>
      <c r="O18" s="8"/>
      <c r="P18" s="8"/>
    </row>
    <row r="19" spans="1:16" ht="15" customHeight="1">
      <c r="A19" s="295"/>
      <c r="B19" s="310"/>
      <c r="C19" s="151">
        <v>3</v>
      </c>
      <c r="D19" s="171" t="s">
        <v>3499</v>
      </c>
      <c r="E19" s="170" t="s">
        <v>669</v>
      </c>
      <c r="F19" s="171" t="s">
        <v>3500</v>
      </c>
      <c r="G19" s="116"/>
      <c r="H19" s="116"/>
      <c r="I19" s="157"/>
      <c r="K19" s="8"/>
      <c r="L19" s="8"/>
      <c r="M19" s="8"/>
      <c r="N19" s="8"/>
      <c r="O19" s="8"/>
      <c r="P19" s="8"/>
    </row>
    <row r="20" spans="1:16" ht="15" customHeight="1">
      <c r="A20" s="272" t="s">
        <v>2777</v>
      </c>
      <c r="B20" s="314" t="s">
        <v>2776</v>
      </c>
      <c r="C20" s="153">
        <v>0</v>
      </c>
      <c r="D20" s="152" t="s">
        <v>2775</v>
      </c>
      <c r="E20" s="153" t="s">
        <v>669</v>
      </c>
      <c r="F20" s="152" t="s">
        <v>3388</v>
      </c>
      <c r="G20" s="116"/>
      <c r="H20" s="116"/>
      <c r="I20" s="157"/>
      <c r="K20" s="8"/>
      <c r="L20" s="8"/>
      <c r="M20" s="8"/>
      <c r="N20" s="8"/>
      <c r="O20" s="8"/>
      <c r="P20" s="8"/>
    </row>
    <row r="21" spans="1:16" ht="15" customHeight="1">
      <c r="A21" s="292"/>
      <c r="B21" s="315"/>
      <c r="C21" s="153">
        <v>1</v>
      </c>
      <c r="D21" s="152" t="s">
        <v>2774</v>
      </c>
      <c r="E21" s="153" t="s">
        <v>669</v>
      </c>
      <c r="F21" s="152" t="s">
        <v>3387</v>
      </c>
      <c r="G21" s="116"/>
      <c r="H21" s="116"/>
      <c r="I21" s="157"/>
      <c r="K21" s="8"/>
      <c r="L21" s="8"/>
      <c r="M21" s="8"/>
      <c r="N21" s="8"/>
      <c r="O21" s="8"/>
      <c r="P21" s="8"/>
    </row>
    <row r="22" spans="1:16" ht="15" customHeight="1">
      <c r="A22" s="292"/>
      <c r="B22" s="315"/>
      <c r="C22" s="153">
        <v>2</v>
      </c>
      <c r="D22" s="152" t="s">
        <v>2773</v>
      </c>
      <c r="E22" s="153" t="s">
        <v>669</v>
      </c>
      <c r="F22" s="152" t="s">
        <v>3386</v>
      </c>
      <c r="G22" s="116"/>
      <c r="H22" s="116"/>
      <c r="I22" s="157"/>
      <c r="K22" s="8"/>
      <c r="L22" s="8"/>
      <c r="M22" s="8"/>
      <c r="N22" s="8"/>
      <c r="O22" s="8"/>
      <c r="P22" s="8"/>
    </row>
    <row r="23" spans="1:16" ht="15" customHeight="1">
      <c r="A23" s="273"/>
      <c r="B23" s="316"/>
      <c r="C23" s="153">
        <v>3</v>
      </c>
      <c r="D23" s="152" t="s">
        <v>3501</v>
      </c>
      <c r="E23" s="153" t="s">
        <v>669</v>
      </c>
      <c r="F23" s="152" t="s">
        <v>3502</v>
      </c>
      <c r="G23" s="116"/>
      <c r="H23" s="116"/>
      <c r="I23" s="157"/>
      <c r="K23" s="8"/>
      <c r="L23" s="8"/>
      <c r="M23" s="8"/>
      <c r="N23" s="8"/>
      <c r="O23" s="8"/>
      <c r="P23" s="8"/>
    </row>
    <row r="24" spans="1:16" ht="15" customHeight="1">
      <c r="A24" s="293" t="s">
        <v>2771</v>
      </c>
      <c r="B24" s="308" t="s">
        <v>2770</v>
      </c>
      <c r="C24" s="151">
        <v>0</v>
      </c>
      <c r="D24" s="171" t="s">
        <v>2769</v>
      </c>
      <c r="E24" s="170" t="s">
        <v>669</v>
      </c>
      <c r="F24" s="171" t="s">
        <v>3385</v>
      </c>
      <c r="G24" s="116"/>
      <c r="H24" s="116"/>
      <c r="I24" s="157"/>
      <c r="K24" s="8"/>
      <c r="L24" s="8"/>
      <c r="M24" s="8"/>
      <c r="N24" s="8"/>
      <c r="O24" s="8"/>
      <c r="P24" s="8"/>
    </row>
    <row r="25" spans="1:16" ht="15" customHeight="1">
      <c r="A25" s="294"/>
      <c r="B25" s="309"/>
      <c r="C25" s="151">
        <v>1</v>
      </c>
      <c r="D25" s="171" t="s">
        <v>2768</v>
      </c>
      <c r="E25" s="170" t="s">
        <v>669</v>
      </c>
      <c r="F25" s="171" t="s">
        <v>3384</v>
      </c>
      <c r="G25" s="116"/>
      <c r="H25" s="116"/>
      <c r="I25" s="157"/>
      <c r="K25" s="8"/>
      <c r="L25" s="8"/>
      <c r="M25" s="8"/>
      <c r="N25" s="8"/>
      <c r="O25" s="8"/>
      <c r="P25" s="8"/>
    </row>
    <row r="26" spans="1:16" ht="15" customHeight="1">
      <c r="A26" s="294"/>
      <c r="B26" s="309"/>
      <c r="C26" s="151">
        <v>2</v>
      </c>
      <c r="D26" s="171" t="s">
        <v>2767</v>
      </c>
      <c r="E26" s="170" t="s">
        <v>669</v>
      </c>
      <c r="F26" s="171" t="s">
        <v>3383</v>
      </c>
      <c r="G26" s="116"/>
      <c r="H26" s="116"/>
      <c r="I26" s="157"/>
      <c r="K26" s="8"/>
      <c r="L26" s="8"/>
      <c r="M26" s="8"/>
      <c r="N26" s="8"/>
      <c r="O26" s="8"/>
      <c r="P26" s="8"/>
    </row>
    <row r="27" spans="1:16" ht="15" customHeight="1">
      <c r="A27" s="295"/>
      <c r="B27" s="310"/>
      <c r="C27" s="151">
        <v>3</v>
      </c>
      <c r="D27" s="171" t="s">
        <v>3503</v>
      </c>
      <c r="E27" s="170" t="s">
        <v>669</v>
      </c>
      <c r="F27" s="171" t="s">
        <v>3504</v>
      </c>
      <c r="G27" s="116"/>
      <c r="H27" s="116"/>
      <c r="I27" s="157"/>
      <c r="K27" s="8"/>
      <c r="L27" s="8"/>
      <c r="M27" s="8"/>
      <c r="N27" s="8"/>
      <c r="O27" s="8"/>
      <c r="P27" s="8"/>
    </row>
    <row r="28" spans="1:16" ht="15" customHeight="1">
      <c r="A28" s="300" t="s">
        <v>2765</v>
      </c>
      <c r="B28" s="311" t="s">
        <v>2764</v>
      </c>
      <c r="C28" s="153">
        <v>0</v>
      </c>
      <c r="D28" s="152" t="s">
        <v>2763</v>
      </c>
      <c r="E28" s="153" t="s">
        <v>669</v>
      </c>
      <c r="F28" s="152" t="s">
        <v>3382</v>
      </c>
      <c r="G28" s="116"/>
      <c r="H28" s="116"/>
      <c r="I28" s="157"/>
      <c r="K28" s="8"/>
      <c r="L28" s="8"/>
      <c r="M28" s="8"/>
      <c r="N28" s="8"/>
      <c r="O28" s="8"/>
      <c r="P28" s="8"/>
    </row>
    <row r="29" spans="1:16" ht="15" customHeight="1">
      <c r="A29" s="301"/>
      <c r="B29" s="312"/>
      <c r="C29" s="153">
        <v>1</v>
      </c>
      <c r="D29" s="152" t="s">
        <v>2762</v>
      </c>
      <c r="E29" s="153" t="s">
        <v>669</v>
      </c>
      <c r="F29" s="152" t="s">
        <v>3381</v>
      </c>
      <c r="G29" s="116"/>
      <c r="H29" s="116"/>
      <c r="I29" s="157"/>
      <c r="K29" s="8"/>
      <c r="L29" s="8"/>
      <c r="M29" s="8"/>
      <c r="N29" s="8"/>
      <c r="O29" s="8"/>
      <c r="P29" s="8"/>
    </row>
    <row r="30" spans="1:16" ht="15" customHeight="1">
      <c r="A30" s="301"/>
      <c r="B30" s="312"/>
      <c r="C30" s="153">
        <v>2</v>
      </c>
      <c r="D30" s="152" t="s">
        <v>2761</v>
      </c>
      <c r="E30" s="153" t="s">
        <v>669</v>
      </c>
      <c r="F30" s="152" t="s">
        <v>3380</v>
      </c>
      <c r="G30" s="116"/>
      <c r="H30" s="116"/>
      <c r="I30" s="157"/>
      <c r="K30" s="8"/>
      <c r="L30" s="8"/>
      <c r="M30" s="8"/>
      <c r="N30" s="8"/>
      <c r="O30" s="8"/>
      <c r="P30" s="8"/>
    </row>
    <row r="31" spans="1:16" ht="15" customHeight="1">
      <c r="A31" s="302"/>
      <c r="B31" s="313"/>
      <c r="C31" s="153">
        <v>3</v>
      </c>
      <c r="D31" s="152" t="s">
        <v>3505</v>
      </c>
      <c r="E31" s="153" t="s">
        <v>669</v>
      </c>
      <c r="F31" s="152" t="s">
        <v>3506</v>
      </c>
      <c r="G31" s="116"/>
      <c r="H31" s="116"/>
      <c r="I31" s="157"/>
      <c r="K31" s="8"/>
      <c r="L31" s="8"/>
      <c r="M31" s="8"/>
      <c r="N31" s="8"/>
      <c r="O31" s="8"/>
      <c r="P31" s="8"/>
    </row>
    <row r="32" spans="1:16" ht="15" customHeight="1">
      <c r="A32" s="274" t="s">
        <v>2759</v>
      </c>
      <c r="B32" s="317" t="s">
        <v>2758</v>
      </c>
      <c r="C32" s="151">
        <v>0</v>
      </c>
      <c r="D32" s="171" t="s">
        <v>2757</v>
      </c>
      <c r="E32" s="170" t="s">
        <v>669</v>
      </c>
      <c r="F32" s="171" t="s">
        <v>3379</v>
      </c>
      <c r="G32" s="116"/>
      <c r="H32" s="116"/>
      <c r="I32" s="157"/>
      <c r="K32" s="8"/>
      <c r="L32" s="8"/>
      <c r="M32" s="8"/>
      <c r="N32" s="8"/>
      <c r="O32" s="8"/>
      <c r="P32" s="8"/>
    </row>
    <row r="33" spans="1:16" ht="15" customHeight="1">
      <c r="A33" s="299"/>
      <c r="B33" s="318"/>
      <c r="C33" s="151">
        <v>1</v>
      </c>
      <c r="D33" s="171" t="s">
        <v>2756</v>
      </c>
      <c r="E33" s="170" t="s">
        <v>669</v>
      </c>
      <c r="F33" s="171" t="s">
        <v>3378</v>
      </c>
      <c r="G33" s="116"/>
      <c r="H33" s="116"/>
      <c r="I33" s="157"/>
      <c r="K33" s="8"/>
      <c r="L33" s="8"/>
      <c r="M33" s="8"/>
      <c r="N33" s="8"/>
      <c r="O33" s="8"/>
      <c r="P33" s="8"/>
    </row>
    <row r="34" spans="1:16" ht="15" customHeight="1">
      <c r="A34" s="299"/>
      <c r="B34" s="318"/>
      <c r="C34" s="151">
        <v>2</v>
      </c>
      <c r="D34" s="171" t="s">
        <v>2755</v>
      </c>
      <c r="E34" s="170" t="s">
        <v>669</v>
      </c>
      <c r="F34" s="171" t="s">
        <v>3377</v>
      </c>
      <c r="G34" s="116"/>
      <c r="H34" s="116"/>
      <c r="I34" s="157"/>
      <c r="K34" s="8"/>
      <c r="L34" s="8"/>
      <c r="M34" s="8"/>
      <c r="N34" s="8"/>
      <c r="O34" s="8"/>
      <c r="P34" s="8"/>
    </row>
    <row r="35" spans="1:16" ht="15" customHeight="1">
      <c r="A35" s="275"/>
      <c r="B35" s="319"/>
      <c r="C35" s="151">
        <v>3</v>
      </c>
      <c r="D35" s="171" t="s">
        <v>3507</v>
      </c>
      <c r="E35" s="170" t="s">
        <v>669</v>
      </c>
      <c r="F35" s="171" t="s">
        <v>3508</v>
      </c>
      <c r="G35" s="116"/>
      <c r="H35" s="116"/>
      <c r="I35" s="157"/>
      <c r="K35" s="8"/>
      <c r="L35" s="8"/>
      <c r="M35" s="8"/>
      <c r="N35" s="8"/>
      <c r="O35" s="8"/>
      <c r="P35" s="8"/>
    </row>
    <row r="36" spans="1:16" ht="15" customHeight="1">
      <c r="A36" s="300" t="s">
        <v>2753</v>
      </c>
      <c r="B36" s="311" t="s">
        <v>2752</v>
      </c>
      <c r="C36" s="153">
        <v>0</v>
      </c>
      <c r="D36" s="152" t="s">
        <v>2751</v>
      </c>
      <c r="E36" s="153" t="s">
        <v>669</v>
      </c>
      <c r="F36" s="152" t="s">
        <v>3376</v>
      </c>
      <c r="G36" s="116"/>
      <c r="H36" s="116"/>
      <c r="I36" s="157"/>
      <c r="K36" s="8"/>
      <c r="L36" s="8"/>
      <c r="M36" s="8"/>
      <c r="N36" s="8"/>
      <c r="O36" s="8"/>
      <c r="P36" s="8"/>
    </row>
    <row r="37" spans="1:16" ht="15" customHeight="1">
      <c r="A37" s="301"/>
      <c r="B37" s="312"/>
      <c r="C37" s="153">
        <v>1</v>
      </c>
      <c r="D37" s="152" t="s">
        <v>2750</v>
      </c>
      <c r="E37" s="153" t="s">
        <v>669</v>
      </c>
      <c r="F37" s="152" t="s">
        <v>3375</v>
      </c>
      <c r="G37" s="116"/>
      <c r="H37" s="116"/>
      <c r="I37" s="157"/>
      <c r="K37" s="8"/>
      <c r="L37" s="8"/>
      <c r="M37" s="8"/>
      <c r="N37" s="8"/>
      <c r="O37" s="8"/>
      <c r="P37" s="8"/>
    </row>
    <row r="38" spans="1:16" ht="15" customHeight="1">
      <c r="A38" s="301"/>
      <c r="B38" s="312"/>
      <c r="C38" s="153">
        <v>2</v>
      </c>
      <c r="D38" s="152" t="s">
        <v>2749</v>
      </c>
      <c r="E38" s="153" t="s">
        <v>669</v>
      </c>
      <c r="F38" s="152" t="s">
        <v>3374</v>
      </c>
      <c r="G38" s="116"/>
      <c r="H38" s="116"/>
      <c r="I38" s="157"/>
      <c r="K38" s="8"/>
      <c r="L38" s="8"/>
      <c r="M38" s="8"/>
      <c r="N38" s="8"/>
      <c r="O38" s="8"/>
      <c r="P38" s="8"/>
    </row>
    <row r="39" spans="1:16" ht="15" customHeight="1">
      <c r="A39" s="302"/>
      <c r="B39" s="313"/>
      <c r="C39" s="153">
        <v>3</v>
      </c>
      <c r="D39" s="152" t="s">
        <v>3509</v>
      </c>
      <c r="E39" s="153" t="s">
        <v>669</v>
      </c>
      <c r="F39" s="152" t="s">
        <v>3510</v>
      </c>
      <c r="G39" s="116"/>
      <c r="H39" s="116"/>
      <c r="I39" s="157"/>
      <c r="K39" s="8"/>
      <c r="L39" s="8"/>
      <c r="M39" s="8"/>
      <c r="N39" s="8"/>
      <c r="O39" s="8"/>
      <c r="P39" s="8"/>
    </row>
    <row r="40" spans="1:16" ht="15" customHeight="1">
      <c r="A40" s="293" t="s">
        <v>2747</v>
      </c>
      <c r="B40" s="308" t="s">
        <v>2746</v>
      </c>
      <c r="C40" s="151">
        <v>0</v>
      </c>
      <c r="D40" s="171" t="s">
        <v>2745</v>
      </c>
      <c r="E40" s="170" t="s">
        <v>669</v>
      </c>
      <c r="F40" s="171" t="s">
        <v>3373</v>
      </c>
      <c r="G40" s="116"/>
      <c r="H40" s="116"/>
      <c r="I40" s="157"/>
      <c r="K40" s="8"/>
      <c r="L40" s="8"/>
      <c r="M40" s="8"/>
      <c r="N40" s="8"/>
      <c r="O40" s="8"/>
      <c r="P40" s="8"/>
    </row>
    <row r="41" spans="1:16" ht="15" customHeight="1">
      <c r="A41" s="294"/>
      <c r="B41" s="309"/>
      <c r="C41" s="151">
        <v>1</v>
      </c>
      <c r="D41" s="171" t="s">
        <v>2744</v>
      </c>
      <c r="E41" s="170" t="s">
        <v>669</v>
      </c>
      <c r="F41" s="171" t="s">
        <v>3372</v>
      </c>
      <c r="G41" s="116"/>
      <c r="H41" s="116"/>
      <c r="I41" s="157"/>
      <c r="K41" s="8"/>
      <c r="L41" s="8"/>
      <c r="M41" s="8"/>
      <c r="N41" s="8"/>
      <c r="O41" s="8"/>
      <c r="P41" s="8"/>
    </row>
    <row r="42" spans="1:16" ht="15" customHeight="1">
      <c r="A42" s="294"/>
      <c r="B42" s="309"/>
      <c r="C42" s="151">
        <v>2</v>
      </c>
      <c r="D42" s="171" t="s">
        <v>3511</v>
      </c>
      <c r="E42" s="170" t="s">
        <v>1123</v>
      </c>
      <c r="F42" s="171" t="s">
        <v>3371</v>
      </c>
      <c r="G42" s="116"/>
      <c r="H42" s="116"/>
      <c r="I42" s="157"/>
      <c r="K42" s="8"/>
      <c r="L42" s="8"/>
      <c r="M42" s="8"/>
      <c r="N42" s="8"/>
      <c r="O42" s="8"/>
      <c r="P42" s="8"/>
    </row>
    <row r="43" spans="1:16" ht="15" customHeight="1">
      <c r="A43" s="295"/>
      <c r="B43" s="310"/>
      <c r="C43" s="151">
        <v>3</v>
      </c>
      <c r="D43" s="171" t="s">
        <v>3512</v>
      </c>
      <c r="E43" s="170" t="s">
        <v>1123</v>
      </c>
      <c r="F43" s="171" t="s">
        <v>3513</v>
      </c>
      <c r="G43" s="116"/>
      <c r="H43" s="116"/>
      <c r="I43" s="157"/>
      <c r="K43" s="8"/>
      <c r="L43" s="8"/>
      <c r="M43" s="8"/>
      <c r="N43" s="8"/>
      <c r="O43" s="8"/>
      <c r="P43" s="8"/>
    </row>
    <row r="44" spans="1:16" ht="15" customHeight="1">
      <c r="A44" s="284" t="s">
        <v>2741</v>
      </c>
      <c r="B44" s="298" t="s">
        <v>2740</v>
      </c>
      <c r="C44" s="153">
        <v>0</v>
      </c>
      <c r="D44" s="152" t="s">
        <v>2739</v>
      </c>
      <c r="E44" s="153" t="s">
        <v>669</v>
      </c>
      <c r="F44" s="152" t="s">
        <v>3370</v>
      </c>
      <c r="G44" s="116"/>
      <c r="H44" s="116"/>
      <c r="I44" s="157"/>
      <c r="K44" s="8"/>
      <c r="L44" s="8"/>
      <c r="M44" s="8"/>
      <c r="N44" s="8"/>
      <c r="O44" s="8"/>
      <c r="P44" s="8"/>
    </row>
    <row r="45" spans="1:16" ht="15" customHeight="1">
      <c r="A45" s="284"/>
      <c r="B45" s="298"/>
      <c r="C45" s="153">
        <v>1</v>
      </c>
      <c r="D45" s="152" t="s">
        <v>2738</v>
      </c>
      <c r="E45" s="153" t="s">
        <v>669</v>
      </c>
      <c r="F45" s="152" t="s">
        <v>3369</v>
      </c>
      <c r="G45" s="116"/>
      <c r="H45" s="116"/>
      <c r="I45" s="157"/>
      <c r="K45" s="8"/>
      <c r="L45" s="8"/>
      <c r="M45" s="8"/>
      <c r="N45" s="8"/>
      <c r="O45" s="8"/>
      <c r="P45" s="8"/>
    </row>
    <row r="46" spans="1:16" ht="15" customHeight="1">
      <c r="A46" s="284"/>
      <c r="B46" s="298"/>
      <c r="C46" s="153">
        <v>2</v>
      </c>
      <c r="D46" s="152" t="s">
        <v>2737</v>
      </c>
      <c r="E46" s="153" t="s">
        <v>1123</v>
      </c>
      <c r="F46" s="152" t="s">
        <v>3368</v>
      </c>
      <c r="G46" s="116"/>
      <c r="H46" s="116"/>
      <c r="I46" s="157"/>
      <c r="K46" s="8"/>
      <c r="L46" s="8"/>
      <c r="M46" s="8"/>
      <c r="N46" s="8"/>
      <c r="O46" s="8"/>
      <c r="P46" s="8"/>
    </row>
    <row r="47" spans="1:16" ht="15" customHeight="1">
      <c r="A47" s="284"/>
      <c r="B47" s="298"/>
      <c r="C47" s="153">
        <v>3</v>
      </c>
      <c r="D47" s="152" t="s">
        <v>3514</v>
      </c>
      <c r="E47" s="153" t="s">
        <v>1123</v>
      </c>
      <c r="F47" s="152" t="s">
        <v>3515</v>
      </c>
      <c r="G47" s="116"/>
      <c r="H47" s="116"/>
      <c r="I47" s="157"/>
      <c r="K47" s="8"/>
      <c r="L47" s="8"/>
      <c r="M47" s="8"/>
      <c r="N47" s="8"/>
      <c r="O47" s="8"/>
      <c r="P47" s="8"/>
    </row>
    <row r="48" spans="1:16" ht="15" customHeight="1">
      <c r="A48" s="285" t="s">
        <v>2735</v>
      </c>
      <c r="B48" s="303" t="s">
        <v>2734</v>
      </c>
      <c r="C48" s="170">
        <v>0</v>
      </c>
      <c r="D48" s="171" t="s">
        <v>322</v>
      </c>
      <c r="E48" s="170" t="s">
        <v>2874</v>
      </c>
      <c r="F48" s="171" t="s">
        <v>3367</v>
      </c>
      <c r="G48" s="116"/>
      <c r="H48" s="116"/>
      <c r="I48" s="157"/>
      <c r="K48" s="8"/>
      <c r="L48" s="8"/>
      <c r="M48" s="8"/>
      <c r="N48" s="8"/>
      <c r="O48" s="8"/>
      <c r="P48" s="8"/>
    </row>
    <row r="49" spans="1:16" ht="15" customHeight="1">
      <c r="A49" s="285"/>
      <c r="B49" s="303"/>
      <c r="C49" s="170">
        <v>1</v>
      </c>
      <c r="D49" s="171" t="s">
        <v>3518</v>
      </c>
      <c r="E49" s="170" t="s">
        <v>2874</v>
      </c>
      <c r="F49" s="171" t="s">
        <v>3519</v>
      </c>
      <c r="G49" s="116"/>
      <c r="H49" s="116"/>
      <c r="I49" s="157"/>
      <c r="K49" s="8"/>
      <c r="L49" s="8"/>
      <c r="M49" s="8"/>
      <c r="N49" s="8"/>
      <c r="O49" s="8"/>
      <c r="P49" s="8"/>
    </row>
    <row r="50" spans="1:16" ht="15" customHeight="1">
      <c r="A50" s="287" t="s">
        <v>2732</v>
      </c>
      <c r="B50" s="296" t="s">
        <v>2731</v>
      </c>
      <c r="C50" s="153">
        <v>0</v>
      </c>
      <c r="D50" s="152" t="s">
        <v>321</v>
      </c>
      <c r="E50" s="153" t="s">
        <v>2874</v>
      </c>
      <c r="F50" s="152" t="s">
        <v>3366</v>
      </c>
      <c r="G50" s="116"/>
      <c r="H50" s="116"/>
      <c r="I50" s="157"/>
      <c r="K50" s="8"/>
      <c r="L50" s="8"/>
      <c r="M50" s="8"/>
      <c r="N50" s="8"/>
      <c r="O50" s="8"/>
      <c r="P50" s="8"/>
    </row>
    <row r="51" spans="1:16" ht="15" customHeight="1">
      <c r="A51" s="287"/>
      <c r="B51" s="296"/>
      <c r="C51" s="153">
        <v>1</v>
      </c>
      <c r="D51" s="152" t="s">
        <v>3516</v>
      </c>
      <c r="E51" s="153" t="s">
        <v>2874</v>
      </c>
      <c r="F51" s="152" t="s">
        <v>3517</v>
      </c>
      <c r="G51" s="116"/>
      <c r="H51" s="116"/>
      <c r="I51" s="157"/>
      <c r="K51" s="8"/>
      <c r="L51" s="8"/>
      <c r="M51" s="8"/>
      <c r="N51" s="8"/>
      <c r="O51" s="8"/>
      <c r="P51" s="8"/>
    </row>
    <row r="52" spans="1:16" ht="15" customHeight="1">
      <c r="A52" s="285" t="s">
        <v>2729</v>
      </c>
      <c r="B52" s="303" t="s">
        <v>2728</v>
      </c>
      <c r="C52" s="170">
        <v>0</v>
      </c>
      <c r="D52" s="171" t="s">
        <v>2727</v>
      </c>
      <c r="E52" s="170" t="s">
        <v>669</v>
      </c>
      <c r="F52" s="171" t="s">
        <v>3365</v>
      </c>
      <c r="G52" s="116"/>
      <c r="H52" s="116"/>
      <c r="I52" s="157"/>
      <c r="K52" s="8"/>
      <c r="L52" s="8"/>
      <c r="M52" s="8"/>
      <c r="N52" s="8"/>
      <c r="O52" s="8"/>
      <c r="P52" s="8"/>
    </row>
    <row r="53" spans="1:16" ht="15" customHeight="1">
      <c r="A53" s="285"/>
      <c r="B53" s="303"/>
      <c r="C53" s="170">
        <v>1</v>
      </c>
      <c r="D53" s="171" t="s">
        <v>2726</v>
      </c>
      <c r="E53" s="170" t="s">
        <v>669</v>
      </c>
      <c r="F53" s="171" t="s">
        <v>3364</v>
      </c>
      <c r="G53" s="116"/>
      <c r="H53" s="116"/>
      <c r="I53" s="157"/>
      <c r="K53" s="8"/>
      <c r="L53" s="8"/>
      <c r="M53" s="8"/>
      <c r="N53" s="8"/>
      <c r="O53" s="8"/>
      <c r="P53" s="8"/>
    </row>
    <row r="54" spans="1:16" ht="15" customHeight="1">
      <c r="A54" s="285"/>
      <c r="B54" s="303"/>
      <c r="C54" s="170">
        <v>2</v>
      </c>
      <c r="D54" s="171" t="s">
        <v>2725</v>
      </c>
      <c r="E54" s="170" t="s">
        <v>669</v>
      </c>
      <c r="F54" s="171" t="s">
        <v>3363</v>
      </c>
      <c r="G54" s="116"/>
      <c r="H54" s="116"/>
      <c r="I54" s="157"/>
      <c r="K54" s="8"/>
      <c r="L54" s="8"/>
      <c r="M54" s="8"/>
      <c r="N54" s="8"/>
      <c r="O54" s="8"/>
      <c r="P54" s="8"/>
    </row>
    <row r="55" spans="1:16" ht="15" customHeight="1">
      <c r="A55" s="285"/>
      <c r="B55" s="303"/>
      <c r="C55" s="170">
        <v>3</v>
      </c>
      <c r="D55" s="171" t="s">
        <v>3520</v>
      </c>
      <c r="E55" s="170" t="s">
        <v>669</v>
      </c>
      <c r="F55" s="171" t="s">
        <v>3521</v>
      </c>
      <c r="G55" s="116"/>
      <c r="H55" s="116"/>
      <c r="I55" s="157"/>
      <c r="K55" s="8"/>
      <c r="L55" s="8"/>
      <c r="M55" s="8"/>
      <c r="N55" s="8"/>
      <c r="O55" s="8"/>
      <c r="P55" s="8"/>
    </row>
    <row r="56" spans="1:16" ht="15" customHeight="1">
      <c r="A56" s="284" t="s">
        <v>2723</v>
      </c>
      <c r="B56" s="298" t="s">
        <v>2722</v>
      </c>
      <c r="C56" s="153">
        <v>0</v>
      </c>
      <c r="D56" s="152" t="s">
        <v>2721</v>
      </c>
      <c r="E56" s="153" t="s">
        <v>669</v>
      </c>
      <c r="F56" s="152" t="s">
        <v>3362</v>
      </c>
      <c r="G56" s="116"/>
      <c r="H56" s="116"/>
      <c r="I56" s="157"/>
      <c r="K56" s="8"/>
      <c r="L56" s="8"/>
      <c r="M56" s="8"/>
      <c r="N56" s="8"/>
      <c r="O56" s="8"/>
      <c r="P56" s="8"/>
    </row>
    <row r="57" spans="1:16" ht="15" customHeight="1">
      <c r="A57" s="284"/>
      <c r="B57" s="298"/>
      <c r="C57" s="153">
        <v>1</v>
      </c>
      <c r="D57" s="152" t="s">
        <v>2720</v>
      </c>
      <c r="E57" s="153" t="s">
        <v>669</v>
      </c>
      <c r="F57" s="152" t="s">
        <v>3361</v>
      </c>
      <c r="G57" s="116"/>
      <c r="H57" s="116"/>
      <c r="I57" s="157"/>
      <c r="K57" s="8"/>
      <c r="L57" s="8"/>
      <c r="M57" s="8"/>
      <c r="N57" s="8"/>
      <c r="O57" s="8"/>
      <c r="P57" s="8"/>
    </row>
    <row r="58" spans="1:16" ht="15" customHeight="1">
      <c r="A58" s="284"/>
      <c r="B58" s="298"/>
      <c r="C58" s="153">
        <v>2</v>
      </c>
      <c r="D58" s="152" t="s">
        <v>2719</v>
      </c>
      <c r="E58" s="153" t="s">
        <v>669</v>
      </c>
      <c r="F58" s="152" t="s">
        <v>3360</v>
      </c>
      <c r="G58" s="116"/>
      <c r="H58" s="116"/>
      <c r="I58" s="157"/>
      <c r="K58" s="8"/>
      <c r="L58" s="8"/>
      <c r="M58" s="8"/>
      <c r="N58" s="8"/>
      <c r="O58" s="8"/>
      <c r="P58" s="8"/>
    </row>
    <row r="59" spans="1:16" ht="15" customHeight="1">
      <c r="A59" s="284"/>
      <c r="B59" s="298"/>
      <c r="C59" s="153">
        <v>3</v>
      </c>
      <c r="D59" s="152" t="s">
        <v>3524</v>
      </c>
      <c r="E59" s="153" t="s">
        <v>669</v>
      </c>
      <c r="F59" s="152" t="s">
        <v>3525</v>
      </c>
      <c r="G59" s="116"/>
      <c r="H59" s="116"/>
      <c r="I59" s="157"/>
      <c r="K59" s="8"/>
      <c r="L59" s="8"/>
      <c r="M59" s="8"/>
      <c r="N59" s="8"/>
      <c r="O59" s="8"/>
      <c r="P59" s="8"/>
    </row>
    <row r="60" spans="1:16" ht="15" customHeight="1">
      <c r="A60" s="285" t="s">
        <v>2717</v>
      </c>
      <c r="B60" s="303" t="s">
        <v>2716</v>
      </c>
      <c r="C60" s="170">
        <v>0</v>
      </c>
      <c r="D60" s="171" t="s">
        <v>2715</v>
      </c>
      <c r="E60" s="170" t="s">
        <v>669</v>
      </c>
      <c r="F60" s="171" t="s">
        <v>3359</v>
      </c>
      <c r="G60" s="116"/>
      <c r="H60" s="116"/>
      <c r="I60" s="157"/>
      <c r="K60" s="8"/>
      <c r="L60" s="8"/>
      <c r="M60" s="8"/>
      <c r="N60" s="8"/>
      <c r="O60" s="8"/>
      <c r="P60" s="8"/>
    </row>
    <row r="61" spans="1:16" ht="15" customHeight="1">
      <c r="A61" s="285"/>
      <c r="B61" s="303"/>
      <c r="C61" s="170">
        <v>1</v>
      </c>
      <c r="D61" s="171" t="s">
        <v>2714</v>
      </c>
      <c r="E61" s="170" t="s">
        <v>669</v>
      </c>
      <c r="F61" s="171" t="s">
        <v>3358</v>
      </c>
      <c r="G61" s="116"/>
      <c r="H61" s="116"/>
      <c r="I61" s="157"/>
      <c r="K61" s="8"/>
      <c r="L61" s="8"/>
      <c r="M61" s="8"/>
      <c r="N61" s="8"/>
      <c r="O61" s="8"/>
      <c r="P61" s="8"/>
    </row>
    <row r="62" spans="1:16" ht="15" customHeight="1">
      <c r="A62" s="285"/>
      <c r="B62" s="303"/>
      <c r="C62" s="170">
        <v>2</v>
      </c>
      <c r="D62" s="171" t="s">
        <v>2713</v>
      </c>
      <c r="E62" s="170" t="s">
        <v>669</v>
      </c>
      <c r="F62" s="171" t="s">
        <v>3357</v>
      </c>
      <c r="G62" s="116"/>
      <c r="H62" s="116"/>
      <c r="I62" s="157"/>
      <c r="K62" s="8"/>
      <c r="L62" s="8"/>
      <c r="M62" s="8"/>
      <c r="N62" s="8"/>
      <c r="O62" s="8"/>
      <c r="P62" s="8"/>
    </row>
    <row r="63" spans="1:16" ht="15" customHeight="1">
      <c r="A63" s="285"/>
      <c r="B63" s="303"/>
      <c r="C63" s="170">
        <v>3</v>
      </c>
      <c r="D63" s="171" t="s">
        <v>3526</v>
      </c>
      <c r="E63" s="170" t="s">
        <v>669</v>
      </c>
      <c r="F63" s="171" t="s">
        <v>3527</v>
      </c>
      <c r="G63" s="116"/>
      <c r="H63" s="116"/>
      <c r="I63" s="157"/>
      <c r="K63" s="8"/>
      <c r="L63" s="8"/>
      <c r="M63" s="8"/>
      <c r="N63" s="8"/>
      <c r="O63" s="8"/>
      <c r="P63" s="8"/>
    </row>
    <row r="64" spans="1:16" ht="15" customHeight="1">
      <c r="A64" s="284" t="s">
        <v>2711</v>
      </c>
      <c r="B64" s="298" t="s">
        <v>2710</v>
      </c>
      <c r="C64" s="153">
        <v>0</v>
      </c>
      <c r="D64" s="152" t="s">
        <v>2709</v>
      </c>
      <c r="E64" s="153" t="s">
        <v>669</v>
      </c>
      <c r="F64" s="152" t="s">
        <v>3356</v>
      </c>
      <c r="G64" s="116"/>
      <c r="H64" s="116"/>
      <c r="I64" s="157"/>
      <c r="K64" s="8"/>
      <c r="L64" s="8"/>
      <c r="M64" s="8"/>
      <c r="N64" s="8"/>
      <c r="O64" s="8"/>
      <c r="P64" s="8"/>
    </row>
    <row r="65" spans="1:16" ht="15" customHeight="1">
      <c r="A65" s="284"/>
      <c r="B65" s="298"/>
      <c r="C65" s="153">
        <v>1</v>
      </c>
      <c r="D65" s="152" t="s">
        <v>2708</v>
      </c>
      <c r="E65" s="153" t="s">
        <v>669</v>
      </c>
      <c r="F65" s="152" t="s">
        <v>3355</v>
      </c>
      <c r="G65" s="116"/>
      <c r="H65" s="116"/>
      <c r="I65" s="157"/>
      <c r="K65" s="8"/>
      <c r="L65" s="8"/>
      <c r="M65" s="8"/>
      <c r="N65" s="8"/>
      <c r="O65" s="8"/>
      <c r="P65" s="8"/>
    </row>
    <row r="66" spans="1:16" ht="15" customHeight="1">
      <c r="A66" s="284"/>
      <c r="B66" s="298"/>
      <c r="C66" s="153">
        <v>2</v>
      </c>
      <c r="D66" s="152" t="s">
        <v>2707</v>
      </c>
      <c r="E66" s="153" t="s">
        <v>669</v>
      </c>
      <c r="F66" s="152" t="s">
        <v>3354</v>
      </c>
      <c r="G66" s="116"/>
      <c r="H66" s="116"/>
      <c r="I66" s="157"/>
      <c r="K66" s="8"/>
      <c r="L66" s="8"/>
      <c r="M66" s="8"/>
      <c r="N66" s="8"/>
      <c r="O66" s="8"/>
      <c r="P66" s="8"/>
    </row>
    <row r="67" spans="1:16" ht="15" customHeight="1">
      <c r="A67" s="284"/>
      <c r="B67" s="298"/>
      <c r="C67" s="153">
        <v>3</v>
      </c>
      <c r="D67" s="152" t="s">
        <v>3528</v>
      </c>
      <c r="E67" s="153" t="s">
        <v>669</v>
      </c>
      <c r="F67" s="152" t="s">
        <v>3529</v>
      </c>
      <c r="G67" s="116"/>
      <c r="H67" s="116"/>
      <c r="I67" s="157"/>
      <c r="K67" s="8"/>
      <c r="L67" s="8"/>
      <c r="M67" s="8"/>
      <c r="N67" s="8"/>
      <c r="O67" s="8"/>
      <c r="P67" s="8"/>
    </row>
    <row r="68" spans="1:16" ht="15" customHeight="1">
      <c r="A68" s="286" t="s">
        <v>2705</v>
      </c>
      <c r="B68" s="297" t="s">
        <v>2704</v>
      </c>
      <c r="C68" s="170">
        <v>0</v>
      </c>
      <c r="D68" s="171" t="s">
        <v>2703</v>
      </c>
      <c r="E68" s="170" t="s">
        <v>669</v>
      </c>
      <c r="F68" s="171" t="s">
        <v>3353</v>
      </c>
      <c r="G68" s="116"/>
      <c r="H68" s="116"/>
      <c r="I68" s="157"/>
      <c r="K68" s="8"/>
      <c r="L68" s="8"/>
      <c r="M68" s="8"/>
      <c r="N68" s="8"/>
      <c r="O68" s="8"/>
      <c r="P68" s="8"/>
    </row>
    <row r="69" spans="1:16" ht="15" customHeight="1">
      <c r="A69" s="286"/>
      <c r="B69" s="297"/>
      <c r="C69" s="170">
        <v>1</v>
      </c>
      <c r="D69" s="171" t="s">
        <v>2702</v>
      </c>
      <c r="E69" s="170" t="s">
        <v>669</v>
      </c>
      <c r="F69" s="171" t="s">
        <v>3352</v>
      </c>
      <c r="G69" s="116"/>
      <c r="H69" s="116"/>
      <c r="I69" s="157"/>
      <c r="K69" s="8"/>
      <c r="L69" s="8"/>
      <c r="M69" s="8"/>
      <c r="N69" s="8"/>
      <c r="O69" s="8"/>
      <c r="P69" s="8"/>
    </row>
    <row r="70" spans="1:16" ht="15" customHeight="1">
      <c r="A70" s="286"/>
      <c r="B70" s="297"/>
      <c r="C70" s="170">
        <v>2</v>
      </c>
      <c r="D70" s="171" t="s">
        <v>2701</v>
      </c>
      <c r="E70" s="170" t="s">
        <v>669</v>
      </c>
      <c r="F70" s="171" t="s">
        <v>3351</v>
      </c>
      <c r="G70" s="116"/>
      <c r="H70" s="116"/>
      <c r="I70" s="157"/>
      <c r="K70" s="8"/>
      <c r="L70" s="8"/>
      <c r="M70" s="8"/>
      <c r="N70" s="8"/>
      <c r="O70" s="8"/>
      <c r="P70" s="8"/>
    </row>
    <row r="71" spans="1:16" ht="15" customHeight="1">
      <c r="A71" s="286"/>
      <c r="B71" s="297"/>
      <c r="C71" s="170">
        <v>3</v>
      </c>
      <c r="D71" s="171" t="s">
        <v>3530</v>
      </c>
      <c r="E71" s="170" t="s">
        <v>669</v>
      </c>
      <c r="F71" s="171" t="s">
        <v>3531</v>
      </c>
      <c r="G71" s="116"/>
      <c r="H71" s="116"/>
      <c r="I71" s="157"/>
      <c r="K71" s="8"/>
      <c r="L71" s="8"/>
      <c r="M71" s="8"/>
      <c r="N71" s="8"/>
      <c r="O71" s="8"/>
      <c r="P71" s="8"/>
    </row>
    <row r="72" spans="1:16" ht="15" customHeight="1">
      <c r="A72" s="287" t="s">
        <v>2699</v>
      </c>
      <c r="B72" s="296" t="s">
        <v>2698</v>
      </c>
      <c r="C72" s="153">
        <v>0</v>
      </c>
      <c r="D72" s="152" t="s">
        <v>2697</v>
      </c>
      <c r="E72" s="153" t="s">
        <v>669</v>
      </c>
      <c r="F72" s="152" t="s">
        <v>3350</v>
      </c>
      <c r="G72" s="116"/>
      <c r="H72" s="116"/>
      <c r="I72" s="157"/>
      <c r="K72" s="8"/>
      <c r="L72" s="8"/>
      <c r="M72" s="8"/>
      <c r="N72" s="8"/>
      <c r="O72" s="8"/>
      <c r="P72" s="8"/>
    </row>
    <row r="73" spans="1:16" ht="15" customHeight="1">
      <c r="A73" s="287"/>
      <c r="B73" s="296"/>
      <c r="C73" s="153">
        <v>1</v>
      </c>
      <c r="D73" s="152" t="s">
        <v>2696</v>
      </c>
      <c r="E73" s="153" t="s">
        <v>669</v>
      </c>
      <c r="F73" s="152" t="s">
        <v>3349</v>
      </c>
      <c r="G73" s="116"/>
      <c r="H73" s="116"/>
      <c r="I73" s="157"/>
      <c r="K73" s="8"/>
      <c r="L73" s="8"/>
      <c r="M73" s="8"/>
      <c r="N73" s="8"/>
      <c r="O73" s="8"/>
      <c r="P73" s="8"/>
    </row>
    <row r="74" spans="1:16" ht="15" customHeight="1">
      <c r="A74" s="287"/>
      <c r="B74" s="296"/>
      <c r="C74" s="153">
        <v>2</v>
      </c>
      <c r="D74" s="152" t="s">
        <v>2695</v>
      </c>
      <c r="E74" s="153" t="s">
        <v>669</v>
      </c>
      <c r="F74" s="152" t="s">
        <v>3348</v>
      </c>
      <c r="G74" s="116"/>
      <c r="H74" s="116"/>
      <c r="I74" s="157"/>
      <c r="K74" s="8"/>
      <c r="L74" s="8"/>
      <c r="M74" s="8"/>
      <c r="N74" s="8"/>
      <c r="O74" s="8"/>
      <c r="P74" s="8"/>
    </row>
    <row r="75" spans="1:16" ht="15" customHeight="1">
      <c r="A75" s="287"/>
      <c r="B75" s="296"/>
      <c r="C75" s="153">
        <v>3</v>
      </c>
      <c r="D75" s="152" t="s">
        <v>3532</v>
      </c>
      <c r="E75" s="153" t="s">
        <v>669</v>
      </c>
      <c r="F75" s="152" t="s">
        <v>3533</v>
      </c>
      <c r="G75" s="116"/>
      <c r="H75" s="116"/>
      <c r="I75" s="157"/>
      <c r="K75" s="8"/>
      <c r="L75" s="8"/>
      <c r="M75" s="8"/>
      <c r="N75" s="8"/>
      <c r="O75" s="8"/>
      <c r="P75" s="8"/>
    </row>
    <row r="76" spans="1:16" ht="15" customHeight="1">
      <c r="A76" s="286" t="s">
        <v>2693</v>
      </c>
      <c r="B76" s="297" t="s">
        <v>2692</v>
      </c>
      <c r="C76" s="170">
        <v>0</v>
      </c>
      <c r="D76" s="171" t="s">
        <v>2691</v>
      </c>
      <c r="E76" s="170" t="s">
        <v>669</v>
      </c>
      <c r="F76" s="171" t="s">
        <v>3347</v>
      </c>
      <c r="G76" s="116"/>
      <c r="H76" s="116"/>
      <c r="I76" s="157"/>
      <c r="K76" s="8"/>
      <c r="L76" s="8"/>
      <c r="M76" s="8"/>
      <c r="N76" s="8"/>
      <c r="O76" s="8"/>
      <c r="P76" s="8"/>
    </row>
    <row r="77" spans="1:16" ht="15" customHeight="1">
      <c r="A77" s="286"/>
      <c r="B77" s="297"/>
      <c r="C77" s="170">
        <v>1</v>
      </c>
      <c r="D77" s="171" t="s">
        <v>2690</v>
      </c>
      <c r="E77" s="170" t="s">
        <v>669</v>
      </c>
      <c r="F77" s="171" t="s">
        <v>3346</v>
      </c>
      <c r="G77" s="116"/>
      <c r="H77" s="116"/>
      <c r="I77" s="157"/>
      <c r="K77" s="8"/>
      <c r="L77" s="8"/>
      <c r="M77" s="8"/>
      <c r="N77" s="8"/>
      <c r="O77" s="8"/>
      <c r="P77" s="8"/>
    </row>
    <row r="78" spans="1:16" ht="15" customHeight="1">
      <c r="A78" s="286"/>
      <c r="B78" s="297"/>
      <c r="C78" s="170">
        <v>2</v>
      </c>
      <c r="D78" s="171" t="s">
        <v>2689</v>
      </c>
      <c r="E78" s="170" t="s">
        <v>669</v>
      </c>
      <c r="F78" s="171" t="s">
        <v>3345</v>
      </c>
      <c r="G78" s="116"/>
      <c r="H78" s="116"/>
      <c r="I78" s="157"/>
      <c r="K78" s="8"/>
      <c r="L78" s="8"/>
      <c r="M78" s="8"/>
      <c r="N78" s="8"/>
      <c r="O78" s="8"/>
      <c r="P78" s="8"/>
    </row>
    <row r="79" spans="1:16" ht="15" customHeight="1">
      <c r="A79" s="286"/>
      <c r="B79" s="297"/>
      <c r="C79" s="170">
        <v>3</v>
      </c>
      <c r="D79" s="171" t="s">
        <v>3534</v>
      </c>
      <c r="E79" s="170" t="s">
        <v>669</v>
      </c>
      <c r="F79" s="171" t="s">
        <v>3535</v>
      </c>
      <c r="G79" s="116"/>
      <c r="H79" s="116"/>
      <c r="I79" s="157"/>
      <c r="K79" s="8"/>
      <c r="L79" s="8"/>
      <c r="M79" s="8"/>
      <c r="N79" s="8"/>
      <c r="O79" s="8"/>
      <c r="P79" s="8"/>
    </row>
    <row r="80" spans="1:16" ht="15" customHeight="1">
      <c r="A80" s="287" t="s">
        <v>2687</v>
      </c>
      <c r="B80" s="296" t="s">
        <v>2686</v>
      </c>
      <c r="C80" s="153">
        <v>0</v>
      </c>
      <c r="D80" s="152" t="s">
        <v>2685</v>
      </c>
      <c r="E80" s="153" t="s">
        <v>669</v>
      </c>
      <c r="F80" s="152" t="s">
        <v>3344</v>
      </c>
      <c r="G80" s="116"/>
      <c r="H80" s="116"/>
      <c r="I80" s="157"/>
      <c r="K80" s="8"/>
      <c r="L80" s="8"/>
      <c r="M80" s="8"/>
      <c r="N80" s="8"/>
      <c r="O80" s="8"/>
      <c r="P80" s="8"/>
    </row>
    <row r="81" spans="1:16" ht="15" customHeight="1">
      <c r="A81" s="287"/>
      <c r="B81" s="296"/>
      <c r="C81" s="153">
        <v>1</v>
      </c>
      <c r="D81" s="152" t="s">
        <v>2684</v>
      </c>
      <c r="E81" s="153" t="s">
        <v>669</v>
      </c>
      <c r="F81" s="152" t="s">
        <v>3343</v>
      </c>
      <c r="G81" s="116"/>
      <c r="H81" s="116"/>
      <c r="I81" s="157"/>
      <c r="K81" s="8"/>
      <c r="L81" s="8"/>
      <c r="M81" s="8"/>
      <c r="N81" s="8"/>
      <c r="O81" s="8"/>
      <c r="P81" s="8"/>
    </row>
    <row r="82" spans="1:16" ht="15" customHeight="1">
      <c r="A82" s="287"/>
      <c r="B82" s="296"/>
      <c r="C82" s="153">
        <v>2</v>
      </c>
      <c r="D82" s="152" t="s">
        <v>2683</v>
      </c>
      <c r="E82" s="153" t="s">
        <v>669</v>
      </c>
      <c r="F82" s="152" t="s">
        <v>3342</v>
      </c>
      <c r="G82" s="116"/>
      <c r="H82" s="116"/>
      <c r="I82" s="157"/>
      <c r="K82" s="8"/>
      <c r="L82" s="8"/>
      <c r="M82" s="8"/>
      <c r="N82" s="8"/>
      <c r="O82" s="8"/>
      <c r="P82" s="8"/>
    </row>
    <row r="83" spans="1:16" ht="15" customHeight="1">
      <c r="A83" s="287"/>
      <c r="B83" s="296"/>
      <c r="C83" s="153">
        <v>3</v>
      </c>
      <c r="D83" s="152" t="s">
        <v>3536</v>
      </c>
      <c r="E83" s="153" t="s">
        <v>669</v>
      </c>
      <c r="F83" s="152" t="s">
        <v>3537</v>
      </c>
      <c r="G83" s="116"/>
      <c r="H83" s="116"/>
      <c r="I83" s="157"/>
      <c r="K83" s="8"/>
      <c r="L83" s="8"/>
      <c r="M83" s="8"/>
      <c r="N83" s="8"/>
      <c r="O83" s="8"/>
      <c r="P83" s="8"/>
    </row>
    <row r="84" spans="1:16" ht="15" customHeight="1">
      <c r="A84" s="285" t="s">
        <v>2681</v>
      </c>
      <c r="B84" s="303" t="s">
        <v>2680</v>
      </c>
      <c r="C84" s="170">
        <v>0</v>
      </c>
      <c r="D84" s="171" t="s">
        <v>2679</v>
      </c>
      <c r="E84" s="170" t="s">
        <v>669</v>
      </c>
      <c r="F84" s="171" t="s">
        <v>3341</v>
      </c>
      <c r="G84" s="116"/>
      <c r="H84" s="116"/>
      <c r="I84" s="157"/>
      <c r="K84" s="8"/>
      <c r="L84" s="8"/>
      <c r="M84" s="8"/>
      <c r="N84" s="8"/>
      <c r="O84" s="8"/>
      <c r="P84" s="8"/>
    </row>
    <row r="85" spans="1:16" ht="15" customHeight="1">
      <c r="A85" s="285"/>
      <c r="B85" s="303"/>
      <c r="C85" s="170">
        <v>1</v>
      </c>
      <c r="D85" s="171" t="s">
        <v>2678</v>
      </c>
      <c r="E85" s="170" t="s">
        <v>669</v>
      </c>
      <c r="F85" s="171" t="s">
        <v>3340</v>
      </c>
      <c r="G85" s="116"/>
      <c r="H85" s="116"/>
      <c r="I85" s="157"/>
      <c r="K85" s="8"/>
      <c r="L85" s="8"/>
      <c r="M85" s="8"/>
      <c r="N85" s="8"/>
      <c r="O85" s="8"/>
      <c r="P85" s="8"/>
    </row>
    <row r="86" spans="1:16" ht="15" customHeight="1">
      <c r="A86" s="285"/>
      <c r="B86" s="303"/>
      <c r="C86" s="170">
        <v>2</v>
      </c>
      <c r="D86" s="171" t="s">
        <v>2677</v>
      </c>
      <c r="E86" s="170" t="s">
        <v>669</v>
      </c>
      <c r="F86" s="171" t="s">
        <v>3339</v>
      </c>
      <c r="G86" s="116"/>
      <c r="H86" s="116"/>
      <c r="I86" s="157"/>
      <c r="K86" s="8"/>
      <c r="L86" s="8"/>
      <c r="M86" s="8"/>
      <c r="N86" s="8"/>
      <c r="O86" s="8"/>
      <c r="P86" s="8"/>
    </row>
    <row r="87" spans="1:16" ht="15" customHeight="1">
      <c r="A87" s="285"/>
      <c r="B87" s="303"/>
      <c r="C87" s="170">
        <v>3</v>
      </c>
      <c r="D87" s="171" t="s">
        <v>3538</v>
      </c>
      <c r="E87" s="170" t="s">
        <v>669</v>
      </c>
      <c r="F87" s="171" t="s">
        <v>3539</v>
      </c>
      <c r="G87" s="116"/>
      <c r="H87" s="116"/>
      <c r="I87" s="157"/>
      <c r="K87" s="8"/>
      <c r="L87" s="8"/>
      <c r="M87" s="8"/>
      <c r="N87" s="8"/>
      <c r="O87" s="8"/>
      <c r="P87" s="8"/>
    </row>
    <row r="88" spans="1:16" ht="15" customHeight="1">
      <c r="A88" s="284" t="s">
        <v>2675</v>
      </c>
      <c r="B88" s="298" t="s">
        <v>2674</v>
      </c>
      <c r="C88" s="153">
        <v>0</v>
      </c>
      <c r="D88" s="152" t="s">
        <v>2673</v>
      </c>
      <c r="E88" s="153" t="s">
        <v>669</v>
      </c>
      <c r="F88" s="152" t="s">
        <v>3338</v>
      </c>
      <c r="G88" s="116"/>
      <c r="H88" s="116"/>
      <c r="I88" s="157"/>
      <c r="K88" s="8"/>
      <c r="L88" s="8"/>
      <c r="M88" s="8"/>
      <c r="N88" s="8"/>
      <c r="O88" s="8"/>
      <c r="P88" s="8"/>
    </row>
    <row r="89" spans="1:16" ht="15" customHeight="1">
      <c r="A89" s="284"/>
      <c r="B89" s="298"/>
      <c r="C89" s="153">
        <v>1</v>
      </c>
      <c r="D89" s="152" t="s">
        <v>2672</v>
      </c>
      <c r="E89" s="153" t="s">
        <v>669</v>
      </c>
      <c r="F89" s="152" t="s">
        <v>3337</v>
      </c>
      <c r="G89" s="116"/>
      <c r="H89" s="116"/>
      <c r="I89" s="157"/>
      <c r="K89" s="8"/>
      <c r="L89" s="8"/>
      <c r="M89" s="8"/>
      <c r="N89" s="8"/>
      <c r="O89" s="8"/>
      <c r="P89" s="8"/>
    </row>
    <row r="90" spans="1:16" ht="15" customHeight="1">
      <c r="A90" s="284"/>
      <c r="B90" s="298"/>
      <c r="C90" s="153">
        <v>2</v>
      </c>
      <c r="D90" s="152" t="s">
        <v>2671</v>
      </c>
      <c r="E90" s="153" t="s">
        <v>1123</v>
      </c>
      <c r="F90" s="152" t="s">
        <v>3336</v>
      </c>
      <c r="G90" s="116"/>
      <c r="H90" s="116"/>
      <c r="I90" s="157"/>
      <c r="K90" s="8"/>
      <c r="L90" s="8"/>
      <c r="M90" s="8"/>
      <c r="N90" s="8"/>
      <c r="O90" s="8"/>
      <c r="P90" s="8"/>
    </row>
    <row r="91" spans="1:16" ht="15" customHeight="1">
      <c r="A91" s="284"/>
      <c r="B91" s="298"/>
      <c r="C91" s="153">
        <v>3</v>
      </c>
      <c r="D91" s="152" t="s">
        <v>3540</v>
      </c>
      <c r="E91" s="153" t="s">
        <v>1123</v>
      </c>
      <c r="F91" s="152" t="s">
        <v>3541</v>
      </c>
      <c r="G91" s="116"/>
      <c r="H91" s="116"/>
      <c r="I91" s="157"/>
      <c r="K91" s="8"/>
      <c r="L91" s="8"/>
      <c r="M91" s="8"/>
      <c r="N91" s="8"/>
      <c r="O91" s="8"/>
      <c r="P91" s="8"/>
    </row>
    <row r="92" spans="1:16" ht="15" customHeight="1">
      <c r="A92" s="285" t="s">
        <v>2669</v>
      </c>
      <c r="B92" s="303" t="s">
        <v>2668</v>
      </c>
      <c r="C92" s="170">
        <v>0</v>
      </c>
      <c r="D92" s="171" t="s">
        <v>2667</v>
      </c>
      <c r="E92" s="170" t="s">
        <v>669</v>
      </c>
      <c r="F92" s="171" t="s">
        <v>3335</v>
      </c>
      <c r="G92" s="116"/>
      <c r="H92" s="116"/>
      <c r="I92" s="157"/>
      <c r="K92" s="8"/>
      <c r="L92" s="8"/>
      <c r="M92" s="8"/>
      <c r="N92" s="8"/>
      <c r="O92" s="8"/>
      <c r="P92" s="8"/>
    </row>
    <row r="93" spans="1:16" ht="15" customHeight="1">
      <c r="A93" s="285"/>
      <c r="B93" s="303"/>
      <c r="C93" s="170">
        <v>1</v>
      </c>
      <c r="D93" s="171" t="s">
        <v>2666</v>
      </c>
      <c r="E93" s="170" t="s">
        <v>669</v>
      </c>
      <c r="F93" s="171" t="s">
        <v>3334</v>
      </c>
      <c r="G93" s="116"/>
      <c r="H93" s="116"/>
      <c r="I93" s="157"/>
      <c r="K93" s="8"/>
      <c r="L93" s="8"/>
      <c r="M93" s="8"/>
      <c r="N93" s="8"/>
      <c r="O93" s="8"/>
      <c r="P93" s="8"/>
    </row>
    <row r="94" spans="1:16" ht="15" customHeight="1">
      <c r="A94" s="285"/>
      <c r="B94" s="303"/>
      <c r="C94" s="170">
        <v>2</v>
      </c>
      <c r="D94" s="171" t="s">
        <v>2665</v>
      </c>
      <c r="E94" s="170" t="s">
        <v>1123</v>
      </c>
      <c r="F94" s="171" t="s">
        <v>3333</v>
      </c>
      <c r="G94" s="116"/>
      <c r="H94" s="116"/>
      <c r="I94" s="157"/>
      <c r="K94" s="8"/>
      <c r="L94" s="8"/>
      <c r="M94" s="8"/>
      <c r="N94" s="8"/>
      <c r="O94" s="8"/>
      <c r="P94" s="8"/>
    </row>
    <row r="95" spans="1:16" ht="15" customHeight="1">
      <c r="A95" s="285"/>
      <c r="B95" s="303"/>
      <c r="C95" s="170">
        <v>3</v>
      </c>
      <c r="D95" s="171" t="s">
        <v>3542</v>
      </c>
      <c r="E95" s="170" t="s">
        <v>1123</v>
      </c>
      <c r="F95" s="171" t="s">
        <v>3543</v>
      </c>
      <c r="G95" s="116"/>
      <c r="H95" s="116"/>
      <c r="I95" s="157"/>
      <c r="K95" s="8"/>
      <c r="L95" s="8"/>
      <c r="M95" s="8"/>
      <c r="N95" s="8"/>
      <c r="O95" s="8"/>
      <c r="P95" s="8"/>
    </row>
    <row r="96" spans="1:16" ht="15" customHeight="1">
      <c r="A96" s="284" t="s">
        <v>2663</v>
      </c>
      <c r="B96" s="298" t="s">
        <v>2662</v>
      </c>
      <c r="C96" s="153">
        <v>0</v>
      </c>
      <c r="D96" s="152" t="s">
        <v>245</v>
      </c>
      <c r="E96" s="153" t="s">
        <v>2874</v>
      </c>
      <c r="F96" s="152" t="s">
        <v>3332</v>
      </c>
      <c r="G96" s="116"/>
      <c r="H96" s="116"/>
      <c r="I96" s="157"/>
      <c r="K96" s="8"/>
      <c r="L96" s="8"/>
      <c r="M96" s="8"/>
      <c r="N96" s="8"/>
      <c r="O96" s="8"/>
      <c r="P96" s="8"/>
    </row>
    <row r="97" spans="1:16" ht="15" customHeight="1">
      <c r="A97" s="284"/>
      <c r="B97" s="298"/>
      <c r="C97" s="153">
        <v>1</v>
      </c>
      <c r="D97" s="152" t="s">
        <v>3544</v>
      </c>
      <c r="E97" s="153" t="s">
        <v>2874</v>
      </c>
      <c r="F97" s="152" t="s">
        <v>3545</v>
      </c>
      <c r="G97" s="116"/>
      <c r="H97" s="116"/>
      <c r="I97" s="157"/>
      <c r="K97" s="8"/>
      <c r="L97" s="8"/>
      <c r="M97" s="8"/>
      <c r="N97" s="8"/>
      <c r="O97" s="8"/>
      <c r="P97" s="8"/>
    </row>
    <row r="98" spans="1:16" ht="15" customHeight="1">
      <c r="A98" s="285" t="s">
        <v>2660</v>
      </c>
      <c r="B98" s="303" t="s">
        <v>2659</v>
      </c>
      <c r="C98" s="170">
        <v>0</v>
      </c>
      <c r="D98" s="171" t="s">
        <v>244</v>
      </c>
      <c r="E98" s="170" t="s">
        <v>2874</v>
      </c>
      <c r="F98" s="171" t="s">
        <v>3331</v>
      </c>
      <c r="G98" s="116"/>
      <c r="H98" s="116"/>
      <c r="I98" s="157"/>
      <c r="K98" s="8"/>
      <c r="L98" s="8"/>
      <c r="M98" s="8"/>
      <c r="N98" s="8"/>
      <c r="O98" s="8"/>
      <c r="P98" s="8"/>
    </row>
    <row r="99" spans="1:16" ht="15" customHeight="1">
      <c r="A99" s="285"/>
      <c r="B99" s="303"/>
      <c r="C99" s="170">
        <v>1</v>
      </c>
      <c r="D99" s="171" t="s">
        <v>3546</v>
      </c>
      <c r="E99" s="170" t="s">
        <v>2874</v>
      </c>
      <c r="F99" s="171" t="s">
        <v>3547</v>
      </c>
      <c r="G99" s="116"/>
      <c r="H99" s="116"/>
      <c r="I99" s="157"/>
      <c r="K99" s="8"/>
      <c r="L99" s="8"/>
      <c r="M99" s="8"/>
      <c r="N99" s="8"/>
      <c r="O99" s="8"/>
      <c r="P99" s="8"/>
    </row>
    <row r="100" spans="1:16" ht="15" customHeight="1">
      <c r="A100" s="287" t="s">
        <v>2657</v>
      </c>
      <c r="B100" s="296" t="s">
        <v>2656</v>
      </c>
      <c r="C100" s="153">
        <v>0</v>
      </c>
      <c r="D100" s="152" t="s">
        <v>2655</v>
      </c>
      <c r="E100" s="153" t="s">
        <v>2874</v>
      </c>
      <c r="F100" s="152" t="s">
        <v>3330</v>
      </c>
      <c r="G100" s="116"/>
      <c r="H100" s="116"/>
      <c r="I100" s="157"/>
      <c r="K100" s="8"/>
      <c r="L100" s="8"/>
      <c r="M100" s="8"/>
      <c r="N100" s="8"/>
      <c r="O100" s="8"/>
      <c r="P100" s="8"/>
    </row>
    <row r="101" spans="1:16" ht="15" customHeight="1">
      <c r="A101" s="287"/>
      <c r="B101" s="296"/>
      <c r="C101" s="153">
        <v>1</v>
      </c>
      <c r="D101" s="152" t="s">
        <v>2654</v>
      </c>
      <c r="E101" s="153" t="s">
        <v>2874</v>
      </c>
      <c r="F101" s="152" t="s">
        <v>3329</v>
      </c>
      <c r="G101" s="116"/>
      <c r="H101" s="116"/>
      <c r="I101" s="157"/>
      <c r="K101" s="8"/>
      <c r="L101" s="8"/>
      <c r="M101" s="8"/>
      <c r="N101" s="8"/>
      <c r="O101" s="8"/>
      <c r="P101" s="8"/>
    </row>
    <row r="102" spans="1:16" ht="15" customHeight="1">
      <c r="A102" s="287"/>
      <c r="B102" s="296"/>
      <c r="C102" s="153">
        <v>2</v>
      </c>
      <c r="D102" s="152" t="s">
        <v>2653</v>
      </c>
      <c r="E102" s="153" t="s">
        <v>2874</v>
      </c>
      <c r="F102" s="152" t="s">
        <v>3328</v>
      </c>
      <c r="G102" s="116"/>
      <c r="H102" s="116"/>
      <c r="I102" s="157"/>
      <c r="K102" s="8"/>
      <c r="L102" s="8"/>
      <c r="M102" s="8"/>
      <c r="N102" s="8"/>
      <c r="O102" s="8"/>
      <c r="P102" s="8"/>
    </row>
    <row r="103" spans="1:16" ht="15" customHeight="1">
      <c r="A103" s="287"/>
      <c r="B103" s="296"/>
      <c r="C103" s="153">
        <v>3</v>
      </c>
      <c r="D103" s="152" t="s">
        <v>4652</v>
      </c>
      <c r="E103" s="153" t="s">
        <v>2874</v>
      </c>
      <c r="F103" s="152" t="s">
        <v>4653</v>
      </c>
      <c r="G103" s="116"/>
      <c r="H103" s="116"/>
      <c r="I103" s="157"/>
      <c r="K103" s="8"/>
      <c r="L103" s="8"/>
      <c r="M103" s="8"/>
      <c r="N103" s="8"/>
      <c r="O103" s="8"/>
      <c r="P103" s="8"/>
    </row>
    <row r="104" spans="1:16" ht="15" customHeight="1">
      <c r="A104" s="286" t="s">
        <v>2651</v>
      </c>
      <c r="B104" s="297" t="s">
        <v>2650</v>
      </c>
      <c r="C104" s="170">
        <v>0</v>
      </c>
      <c r="D104" s="171" t="s">
        <v>2649</v>
      </c>
      <c r="E104" s="170" t="s">
        <v>2874</v>
      </c>
      <c r="F104" s="171" t="s">
        <v>3327</v>
      </c>
      <c r="G104" s="116"/>
      <c r="H104" s="116"/>
      <c r="I104" s="157"/>
      <c r="K104" s="8"/>
      <c r="L104" s="8"/>
      <c r="M104" s="8"/>
      <c r="N104" s="8"/>
      <c r="O104" s="8"/>
      <c r="P104" s="8"/>
    </row>
    <row r="105" spans="1:16" ht="15" customHeight="1">
      <c r="A105" s="286"/>
      <c r="B105" s="297"/>
      <c r="C105" s="170">
        <v>1</v>
      </c>
      <c r="D105" s="171" t="s">
        <v>2648</v>
      </c>
      <c r="E105" s="170" t="s">
        <v>2874</v>
      </c>
      <c r="F105" s="171" t="s">
        <v>3326</v>
      </c>
      <c r="G105" s="116"/>
      <c r="H105" s="116"/>
      <c r="I105" s="157"/>
      <c r="K105" s="8"/>
      <c r="L105" s="8"/>
      <c r="M105" s="8"/>
      <c r="N105" s="8"/>
      <c r="O105" s="8"/>
      <c r="P105" s="8"/>
    </row>
    <row r="106" spans="1:16" ht="15" customHeight="1">
      <c r="A106" s="286"/>
      <c r="B106" s="297"/>
      <c r="C106" s="170">
        <v>2</v>
      </c>
      <c r="D106" s="171" t="s">
        <v>2647</v>
      </c>
      <c r="E106" s="170" t="s">
        <v>2874</v>
      </c>
      <c r="F106" s="171" t="s">
        <v>3325</v>
      </c>
      <c r="G106" s="116"/>
      <c r="H106" s="116"/>
      <c r="I106" s="157"/>
      <c r="K106" s="8"/>
      <c r="L106" s="8"/>
      <c r="M106" s="8"/>
      <c r="N106" s="8"/>
      <c r="O106" s="8"/>
      <c r="P106" s="8"/>
    </row>
    <row r="107" spans="1:16" ht="15" customHeight="1">
      <c r="A107" s="286"/>
      <c r="B107" s="297"/>
      <c r="C107" s="170">
        <v>3</v>
      </c>
      <c r="D107" s="171" t="s">
        <v>4654</v>
      </c>
      <c r="E107" s="170" t="s">
        <v>2874</v>
      </c>
      <c r="F107" s="171" t="s">
        <v>4655</v>
      </c>
      <c r="G107" s="116"/>
      <c r="H107" s="116"/>
      <c r="I107" s="157"/>
      <c r="K107" s="8"/>
      <c r="L107" s="8"/>
      <c r="M107" s="8"/>
      <c r="N107" s="8"/>
      <c r="O107" s="8"/>
      <c r="P107" s="8"/>
    </row>
    <row r="108" spans="1:16" ht="15" customHeight="1">
      <c r="A108" s="287" t="s">
        <v>2645</v>
      </c>
      <c r="B108" s="296" t="s">
        <v>2644</v>
      </c>
      <c r="C108" s="153">
        <v>0</v>
      </c>
      <c r="D108" s="152" t="s">
        <v>2643</v>
      </c>
      <c r="E108" s="153" t="s">
        <v>2874</v>
      </c>
      <c r="F108" s="152" t="s">
        <v>3324</v>
      </c>
      <c r="G108" s="116"/>
      <c r="H108" s="116"/>
      <c r="I108" s="157"/>
      <c r="K108" s="8"/>
      <c r="L108" s="8"/>
      <c r="M108" s="8"/>
      <c r="N108" s="8"/>
      <c r="O108" s="8"/>
      <c r="P108" s="8"/>
    </row>
    <row r="109" spans="1:16" ht="15" customHeight="1">
      <c r="A109" s="287"/>
      <c r="B109" s="296"/>
      <c r="C109" s="153">
        <v>1</v>
      </c>
      <c r="D109" s="152" t="s">
        <v>2642</v>
      </c>
      <c r="E109" s="153" t="s">
        <v>2874</v>
      </c>
      <c r="F109" s="152" t="s">
        <v>3323</v>
      </c>
      <c r="G109" s="116"/>
      <c r="H109" s="116"/>
      <c r="I109" s="157"/>
      <c r="K109" s="8"/>
      <c r="L109" s="8"/>
      <c r="M109" s="8"/>
      <c r="N109" s="8"/>
      <c r="O109" s="8"/>
      <c r="P109" s="8"/>
    </row>
    <row r="110" spans="1:16" ht="15" customHeight="1">
      <c r="A110" s="287"/>
      <c r="B110" s="296"/>
      <c r="C110" s="153">
        <v>2</v>
      </c>
      <c r="D110" s="152" t="s">
        <v>2641</v>
      </c>
      <c r="E110" s="153" t="s">
        <v>2874</v>
      </c>
      <c r="F110" s="152" t="s">
        <v>3322</v>
      </c>
      <c r="G110" s="116"/>
      <c r="H110" s="116"/>
      <c r="I110" s="157"/>
      <c r="K110" s="8"/>
      <c r="L110" s="8"/>
      <c r="M110" s="8"/>
      <c r="N110" s="8"/>
      <c r="O110" s="8"/>
      <c r="P110" s="8"/>
    </row>
    <row r="111" spans="1:16" ht="15" customHeight="1">
      <c r="A111" s="287"/>
      <c r="B111" s="296"/>
      <c r="C111" s="153">
        <v>3</v>
      </c>
      <c r="D111" s="152" t="s">
        <v>4656</v>
      </c>
      <c r="E111" s="153" t="s">
        <v>2874</v>
      </c>
      <c r="F111" s="152" t="s">
        <v>4657</v>
      </c>
      <c r="G111" s="116"/>
      <c r="H111" s="116"/>
      <c r="I111" s="157"/>
      <c r="K111" s="8"/>
      <c r="L111" s="8"/>
      <c r="M111" s="8"/>
      <c r="N111" s="8"/>
      <c r="O111" s="8"/>
      <c r="P111" s="8"/>
    </row>
    <row r="112" spans="1:16" ht="15" customHeight="1">
      <c r="A112" s="286" t="s">
        <v>2639</v>
      </c>
      <c r="B112" s="297" t="s">
        <v>2638</v>
      </c>
      <c r="C112" s="170">
        <v>0</v>
      </c>
      <c r="D112" s="171" t="s">
        <v>2637</v>
      </c>
      <c r="E112" s="170" t="s">
        <v>2874</v>
      </c>
      <c r="F112" s="171" t="s">
        <v>3321</v>
      </c>
      <c r="G112" s="116"/>
      <c r="H112" s="116"/>
      <c r="I112" s="157"/>
      <c r="K112" s="8"/>
      <c r="L112" s="8"/>
      <c r="M112" s="8"/>
      <c r="N112" s="8"/>
      <c r="O112" s="8"/>
      <c r="P112" s="8"/>
    </row>
    <row r="113" spans="1:16" ht="15" customHeight="1">
      <c r="A113" s="286"/>
      <c r="B113" s="297"/>
      <c r="C113" s="170">
        <v>1</v>
      </c>
      <c r="D113" s="171" t="s">
        <v>2636</v>
      </c>
      <c r="E113" s="170" t="s">
        <v>2874</v>
      </c>
      <c r="F113" s="171" t="s">
        <v>3320</v>
      </c>
      <c r="G113" s="116"/>
      <c r="H113" s="116"/>
      <c r="I113" s="157"/>
      <c r="K113" s="8"/>
      <c r="L113" s="8"/>
      <c r="M113" s="8"/>
      <c r="N113" s="8"/>
      <c r="O113" s="8"/>
      <c r="P113" s="8"/>
    </row>
    <row r="114" spans="1:16" ht="15" customHeight="1">
      <c r="A114" s="286"/>
      <c r="B114" s="297"/>
      <c r="C114" s="170">
        <v>2</v>
      </c>
      <c r="D114" s="171" t="s">
        <v>2635</v>
      </c>
      <c r="E114" s="170" t="s">
        <v>2874</v>
      </c>
      <c r="F114" s="171" t="s">
        <v>3319</v>
      </c>
      <c r="G114" s="116"/>
      <c r="H114" s="116"/>
      <c r="I114" s="157"/>
      <c r="K114" s="8"/>
      <c r="L114" s="8"/>
      <c r="M114" s="8"/>
      <c r="N114" s="8"/>
      <c r="O114" s="8"/>
      <c r="P114" s="8"/>
    </row>
    <row r="115" spans="1:16" ht="15" customHeight="1">
      <c r="A115" s="286"/>
      <c r="B115" s="297"/>
      <c r="C115" s="170">
        <v>3</v>
      </c>
      <c r="D115" s="171" t="s">
        <v>4658</v>
      </c>
      <c r="E115" s="170" t="s">
        <v>2874</v>
      </c>
      <c r="F115" s="171" t="s">
        <v>4659</v>
      </c>
      <c r="G115" s="116"/>
      <c r="H115" s="116"/>
      <c r="I115" s="157"/>
      <c r="K115" s="8"/>
      <c r="L115" s="8"/>
      <c r="M115" s="8"/>
      <c r="N115" s="8"/>
      <c r="O115" s="8"/>
      <c r="P115" s="8"/>
    </row>
    <row r="116" spans="1:16" ht="15" customHeight="1">
      <c r="A116" s="284" t="s">
        <v>2633</v>
      </c>
      <c r="B116" s="298" t="s">
        <v>2632</v>
      </c>
      <c r="C116" s="153">
        <v>0</v>
      </c>
      <c r="D116" s="152" t="s">
        <v>2631</v>
      </c>
      <c r="E116" s="153" t="s">
        <v>2874</v>
      </c>
      <c r="F116" s="152" t="s">
        <v>3318</v>
      </c>
      <c r="G116" s="116"/>
      <c r="H116" s="116"/>
      <c r="I116" s="157"/>
      <c r="K116" s="8"/>
      <c r="L116" s="8"/>
      <c r="M116" s="8"/>
      <c r="N116" s="8"/>
      <c r="O116" s="8"/>
      <c r="P116" s="8"/>
    </row>
    <row r="117" spans="1:16" ht="15" customHeight="1">
      <c r="A117" s="284"/>
      <c r="B117" s="298"/>
      <c r="C117" s="153">
        <v>1</v>
      </c>
      <c r="D117" s="152" t="s">
        <v>2630</v>
      </c>
      <c r="E117" s="153" t="s">
        <v>2874</v>
      </c>
      <c r="F117" s="152" t="s">
        <v>3317</v>
      </c>
      <c r="G117" s="116"/>
      <c r="H117" s="116"/>
      <c r="I117" s="157"/>
      <c r="K117" s="8"/>
      <c r="L117" s="8"/>
      <c r="M117" s="8"/>
      <c r="N117" s="8"/>
      <c r="O117" s="8"/>
      <c r="P117" s="8"/>
    </row>
    <row r="118" spans="1:16" ht="15" customHeight="1">
      <c r="A118" s="284"/>
      <c r="B118" s="298"/>
      <c r="C118" s="153">
        <v>2</v>
      </c>
      <c r="D118" s="152" t="s">
        <v>2629</v>
      </c>
      <c r="E118" s="153" t="s">
        <v>2874</v>
      </c>
      <c r="F118" s="152" t="s">
        <v>3316</v>
      </c>
      <c r="G118" s="116"/>
      <c r="H118" s="116"/>
      <c r="I118" s="157"/>
      <c r="K118" s="8"/>
      <c r="L118" s="8"/>
      <c r="M118" s="8"/>
      <c r="N118" s="8"/>
      <c r="O118" s="8"/>
      <c r="P118" s="8"/>
    </row>
    <row r="119" spans="1:16" ht="15" customHeight="1">
      <c r="A119" s="284"/>
      <c r="B119" s="298"/>
      <c r="C119" s="153">
        <v>3</v>
      </c>
      <c r="D119" s="152" t="s">
        <v>4660</v>
      </c>
      <c r="E119" s="153" t="s">
        <v>2874</v>
      </c>
      <c r="F119" s="152" t="s">
        <v>4661</v>
      </c>
      <c r="G119" s="116"/>
      <c r="H119" s="116"/>
      <c r="I119" s="157"/>
      <c r="K119" s="8"/>
      <c r="L119" s="8"/>
      <c r="M119" s="8"/>
      <c r="N119" s="8"/>
      <c r="O119" s="8"/>
      <c r="P119" s="8"/>
    </row>
    <row r="120" spans="1:16" ht="15" customHeight="1">
      <c r="A120" s="285" t="s">
        <v>2627</v>
      </c>
      <c r="B120" s="303" t="s">
        <v>2626</v>
      </c>
      <c r="C120" s="170">
        <v>0</v>
      </c>
      <c r="D120" s="171" t="s">
        <v>2625</v>
      </c>
      <c r="E120" s="170" t="s">
        <v>2874</v>
      </c>
      <c r="F120" s="171" t="s">
        <v>3315</v>
      </c>
      <c r="G120" s="116"/>
      <c r="H120" s="116"/>
      <c r="I120" s="157"/>
      <c r="K120" s="8"/>
      <c r="L120" s="8"/>
      <c r="M120" s="8"/>
      <c r="N120" s="8"/>
      <c r="O120" s="8"/>
      <c r="P120" s="8"/>
    </row>
    <row r="121" spans="1:16" ht="15" customHeight="1">
      <c r="A121" s="285"/>
      <c r="B121" s="303"/>
      <c r="C121" s="170">
        <v>1</v>
      </c>
      <c r="D121" s="171" t="s">
        <v>2624</v>
      </c>
      <c r="E121" s="170" t="s">
        <v>2874</v>
      </c>
      <c r="F121" s="171" t="s">
        <v>3314</v>
      </c>
      <c r="G121" s="116"/>
      <c r="H121" s="116"/>
      <c r="I121" s="157"/>
      <c r="K121" s="8"/>
      <c r="L121" s="8"/>
      <c r="M121" s="8"/>
      <c r="N121" s="8"/>
      <c r="O121" s="8"/>
      <c r="P121" s="8"/>
    </row>
    <row r="122" spans="1:16" ht="15" customHeight="1">
      <c r="A122" s="285"/>
      <c r="B122" s="303"/>
      <c r="C122" s="170">
        <v>2</v>
      </c>
      <c r="D122" s="171" t="s">
        <v>2623</v>
      </c>
      <c r="E122" s="170" t="s">
        <v>2874</v>
      </c>
      <c r="F122" s="171" t="s">
        <v>3556</v>
      </c>
      <c r="G122" s="116"/>
      <c r="H122" s="116"/>
      <c r="I122" s="157"/>
      <c r="K122" s="8"/>
      <c r="L122" s="8"/>
      <c r="M122" s="8"/>
      <c r="N122" s="8"/>
      <c r="O122" s="8"/>
      <c r="P122" s="8"/>
    </row>
    <row r="123" spans="1:16" ht="15" customHeight="1">
      <c r="A123" s="285"/>
      <c r="B123" s="303"/>
      <c r="C123" s="170">
        <v>3</v>
      </c>
      <c r="D123" s="171" t="s">
        <v>4662</v>
      </c>
      <c r="E123" s="170" t="s">
        <v>2874</v>
      </c>
      <c r="F123" s="171" t="s">
        <v>4663</v>
      </c>
      <c r="G123" s="116"/>
      <c r="H123" s="116"/>
      <c r="I123" s="157"/>
      <c r="K123" s="8"/>
      <c r="L123" s="8"/>
      <c r="M123" s="8"/>
      <c r="N123" s="8"/>
      <c r="O123" s="8"/>
      <c r="P123" s="8"/>
    </row>
    <row r="124" spans="1:16" ht="15" customHeight="1">
      <c r="A124" s="284" t="s">
        <v>2621</v>
      </c>
      <c r="B124" s="298" t="s">
        <v>2620</v>
      </c>
      <c r="C124" s="164">
        <v>0</v>
      </c>
      <c r="D124" s="165" t="s">
        <v>2619</v>
      </c>
      <c r="E124" s="164" t="s">
        <v>2874</v>
      </c>
      <c r="F124" s="165" t="s">
        <v>3313</v>
      </c>
      <c r="G124" s="116"/>
      <c r="H124" s="116"/>
      <c r="I124" s="157"/>
      <c r="K124" s="8"/>
      <c r="L124" s="8"/>
      <c r="M124" s="8"/>
      <c r="N124" s="8"/>
      <c r="O124" s="8"/>
      <c r="P124" s="8"/>
    </row>
    <row r="125" spans="1:16" ht="15" customHeight="1">
      <c r="A125" s="284"/>
      <c r="B125" s="298"/>
      <c r="C125" s="164">
        <v>1</v>
      </c>
      <c r="D125" s="165" t="s">
        <v>2618</v>
      </c>
      <c r="E125" s="164" t="s">
        <v>2874</v>
      </c>
      <c r="F125" s="165" t="s">
        <v>3312</v>
      </c>
      <c r="G125" s="116"/>
      <c r="H125" s="116"/>
      <c r="I125" s="157"/>
      <c r="K125" s="8"/>
      <c r="L125" s="8"/>
      <c r="M125" s="8"/>
      <c r="N125" s="8"/>
      <c r="O125" s="8"/>
      <c r="P125" s="8"/>
    </row>
    <row r="126" spans="1:16" ht="15" customHeight="1">
      <c r="A126" s="284"/>
      <c r="B126" s="298"/>
      <c r="C126" s="164">
        <v>2</v>
      </c>
      <c r="D126" s="165" t="s">
        <v>2617</v>
      </c>
      <c r="E126" s="164" t="s">
        <v>2874</v>
      </c>
      <c r="F126" s="165" t="s">
        <v>3311</v>
      </c>
      <c r="G126" s="116"/>
      <c r="H126" s="116"/>
      <c r="I126" s="157"/>
      <c r="K126" s="8"/>
      <c r="L126" s="8"/>
      <c r="M126" s="8"/>
      <c r="N126" s="8"/>
      <c r="O126" s="8"/>
      <c r="P126" s="8"/>
    </row>
    <row r="127" spans="1:16" ht="15" customHeight="1">
      <c r="A127" s="284"/>
      <c r="B127" s="298"/>
      <c r="C127" s="164">
        <v>3</v>
      </c>
      <c r="D127" s="165" t="s">
        <v>3558</v>
      </c>
      <c r="E127" s="164" t="s">
        <v>2874</v>
      </c>
      <c r="F127" s="165" t="s">
        <v>3559</v>
      </c>
      <c r="G127" s="116"/>
      <c r="H127" s="116"/>
      <c r="I127" s="157"/>
      <c r="K127" s="8"/>
      <c r="L127" s="8"/>
      <c r="M127" s="8"/>
      <c r="N127" s="8"/>
      <c r="O127" s="8"/>
      <c r="P127" s="8"/>
    </row>
    <row r="128" spans="1:16" ht="15" customHeight="1">
      <c r="A128" s="286" t="s">
        <v>2615</v>
      </c>
      <c r="B128" s="297" t="s">
        <v>2614</v>
      </c>
      <c r="C128" s="184">
        <v>0</v>
      </c>
      <c r="D128" s="185" t="s">
        <v>2613</v>
      </c>
      <c r="E128" s="184" t="s">
        <v>2874</v>
      </c>
      <c r="F128" s="185" t="s">
        <v>3310</v>
      </c>
      <c r="G128" s="116"/>
      <c r="H128" s="116"/>
      <c r="I128" s="157"/>
      <c r="K128" s="8"/>
      <c r="L128" s="8"/>
      <c r="M128" s="8"/>
      <c r="N128" s="8"/>
      <c r="O128" s="8"/>
      <c r="P128" s="8"/>
    </row>
    <row r="129" spans="1:16" ht="15" customHeight="1">
      <c r="A129" s="286"/>
      <c r="B129" s="297"/>
      <c r="C129" s="184">
        <v>1</v>
      </c>
      <c r="D129" s="185" t="s">
        <v>2612</v>
      </c>
      <c r="E129" s="184" t="s">
        <v>2874</v>
      </c>
      <c r="F129" s="185" t="s">
        <v>3309</v>
      </c>
      <c r="G129" s="116"/>
      <c r="H129" s="116"/>
      <c r="I129" s="157"/>
      <c r="K129" s="8"/>
      <c r="L129" s="8"/>
      <c r="M129" s="8"/>
      <c r="N129" s="8"/>
      <c r="O129" s="8"/>
      <c r="P129" s="8"/>
    </row>
    <row r="130" spans="1:16" ht="15" customHeight="1">
      <c r="A130" s="286"/>
      <c r="B130" s="297"/>
      <c r="C130" s="184">
        <v>2</v>
      </c>
      <c r="D130" s="185" t="s">
        <v>2611</v>
      </c>
      <c r="E130" s="184" t="s">
        <v>2874</v>
      </c>
      <c r="F130" s="185" t="s">
        <v>3308</v>
      </c>
      <c r="G130" s="116"/>
      <c r="H130" s="116"/>
      <c r="I130" s="157"/>
      <c r="K130" s="8"/>
      <c r="L130" s="8"/>
      <c r="M130" s="8"/>
      <c r="N130" s="8"/>
      <c r="O130" s="8"/>
      <c r="P130" s="8"/>
    </row>
    <row r="131" spans="1:16" ht="15" customHeight="1">
      <c r="A131" s="286"/>
      <c r="B131" s="297"/>
      <c r="C131" s="184">
        <v>3</v>
      </c>
      <c r="D131" s="185" t="s">
        <v>4938</v>
      </c>
      <c r="E131" s="184" t="s">
        <v>2874</v>
      </c>
      <c r="F131" s="185" t="s">
        <v>4939</v>
      </c>
      <c r="G131" s="116"/>
      <c r="H131" s="116"/>
      <c r="I131" s="157"/>
      <c r="K131" s="8"/>
      <c r="L131" s="8"/>
      <c r="M131" s="8"/>
      <c r="N131" s="8"/>
      <c r="O131" s="8"/>
      <c r="P131" s="8"/>
    </row>
    <row r="132" spans="1:16" ht="15" customHeight="1">
      <c r="A132" s="300" t="s">
        <v>2597</v>
      </c>
      <c r="B132" s="314" t="s">
        <v>3552</v>
      </c>
      <c r="C132" s="164">
        <v>0</v>
      </c>
      <c r="D132" s="165" t="s">
        <v>3307</v>
      </c>
      <c r="E132" s="164" t="s">
        <v>2874</v>
      </c>
      <c r="F132" s="165" t="s">
        <v>3306</v>
      </c>
      <c r="G132" s="116"/>
      <c r="H132" s="116"/>
      <c r="I132" s="157"/>
      <c r="K132" s="8"/>
      <c r="L132" s="8"/>
      <c r="M132" s="8"/>
      <c r="N132" s="8"/>
      <c r="O132" s="8"/>
      <c r="P132" s="8"/>
    </row>
    <row r="133" spans="1:16" ht="15" customHeight="1">
      <c r="A133" s="301"/>
      <c r="B133" s="315"/>
      <c r="C133" s="164">
        <v>1</v>
      </c>
      <c r="D133" s="165" t="s">
        <v>3305</v>
      </c>
      <c r="E133" s="164" t="s">
        <v>2874</v>
      </c>
      <c r="F133" s="165" t="s">
        <v>3304</v>
      </c>
      <c r="G133" s="116"/>
      <c r="H133" s="116"/>
      <c r="I133" s="157"/>
      <c r="K133" s="8"/>
      <c r="L133" s="8"/>
      <c r="M133" s="8"/>
      <c r="N133" s="8"/>
      <c r="O133" s="8"/>
      <c r="P133" s="8"/>
    </row>
    <row r="134" spans="1:16" ht="15" customHeight="1">
      <c r="A134" s="301"/>
      <c r="B134" s="315"/>
      <c r="C134" s="164">
        <v>2</v>
      </c>
      <c r="D134" s="165" t="s">
        <v>3555</v>
      </c>
      <c r="E134" s="164" t="s">
        <v>3554</v>
      </c>
      <c r="F134" s="165" t="s">
        <v>4664</v>
      </c>
      <c r="G134" s="116"/>
      <c r="H134" s="116"/>
      <c r="I134" s="157"/>
      <c r="K134" s="8"/>
      <c r="L134" s="8"/>
      <c r="M134" s="8"/>
      <c r="N134" s="8"/>
      <c r="O134" s="8"/>
      <c r="P134" s="8"/>
    </row>
    <row r="135" spans="1:16" ht="15" customHeight="1">
      <c r="A135" s="302"/>
      <c r="B135" s="316"/>
      <c r="C135" s="164">
        <v>3</v>
      </c>
      <c r="D135" s="165" t="s">
        <v>3553</v>
      </c>
      <c r="E135" s="164" t="s">
        <v>3554</v>
      </c>
      <c r="F135" s="165" t="s">
        <v>3557</v>
      </c>
      <c r="G135" s="116"/>
      <c r="H135" s="116"/>
      <c r="I135" s="157"/>
      <c r="K135" s="8"/>
      <c r="L135" s="8"/>
      <c r="M135" s="8"/>
      <c r="N135" s="8"/>
      <c r="O135" s="8"/>
      <c r="P135" s="8"/>
    </row>
    <row r="136" spans="1:16" ht="15" customHeight="1">
      <c r="A136" s="286" t="s">
        <v>2591</v>
      </c>
      <c r="B136" s="297" t="s">
        <v>223</v>
      </c>
      <c r="C136" s="184">
        <v>0</v>
      </c>
      <c r="D136" s="185" t="s">
        <v>3303</v>
      </c>
      <c r="E136" s="184" t="s">
        <v>2874</v>
      </c>
      <c r="F136" s="185" t="s">
        <v>3302</v>
      </c>
      <c r="G136" s="116"/>
      <c r="H136" s="116"/>
      <c r="I136" s="157"/>
      <c r="K136" s="8"/>
      <c r="L136" s="8"/>
      <c r="M136" s="8"/>
      <c r="N136" s="8"/>
      <c r="O136" s="8"/>
      <c r="P136" s="8"/>
    </row>
    <row r="137" spans="1:16" ht="15" customHeight="1">
      <c r="A137" s="286"/>
      <c r="B137" s="297"/>
      <c r="C137" s="184">
        <v>1</v>
      </c>
      <c r="D137" s="185" t="s">
        <v>3301</v>
      </c>
      <c r="E137" s="184" t="s">
        <v>2874</v>
      </c>
      <c r="F137" s="185" t="s">
        <v>3300</v>
      </c>
      <c r="G137" s="116"/>
      <c r="H137" s="116"/>
      <c r="I137" s="157"/>
      <c r="K137" s="8"/>
      <c r="L137" s="8"/>
      <c r="M137" s="8"/>
      <c r="N137" s="8"/>
      <c r="O137" s="8"/>
      <c r="P137" s="8"/>
    </row>
    <row r="138" spans="1:16" ht="15" customHeight="1">
      <c r="A138" s="287" t="s">
        <v>2609</v>
      </c>
      <c r="B138" s="298" t="s">
        <v>2608</v>
      </c>
      <c r="C138" s="164">
        <v>0</v>
      </c>
      <c r="D138" s="165" t="s">
        <v>3299</v>
      </c>
      <c r="E138" s="164" t="s">
        <v>2874</v>
      </c>
      <c r="F138" s="165" t="s">
        <v>3298</v>
      </c>
      <c r="G138" s="116"/>
      <c r="H138" s="116"/>
      <c r="I138" s="157"/>
      <c r="K138" s="8"/>
      <c r="L138" s="8"/>
      <c r="M138" s="8"/>
      <c r="N138" s="8"/>
      <c r="O138" s="8"/>
      <c r="P138" s="8"/>
    </row>
    <row r="139" spans="1:16" ht="15" customHeight="1">
      <c r="A139" s="287"/>
      <c r="B139" s="298"/>
      <c r="C139" s="164">
        <v>1</v>
      </c>
      <c r="D139" s="165" t="s">
        <v>3297</v>
      </c>
      <c r="E139" s="164" t="s">
        <v>2874</v>
      </c>
      <c r="F139" s="165" t="s">
        <v>3296</v>
      </c>
      <c r="G139" s="116"/>
      <c r="H139" s="116"/>
      <c r="I139" s="157"/>
      <c r="K139" s="8"/>
      <c r="L139" s="8"/>
      <c r="M139" s="8"/>
      <c r="N139" s="8"/>
      <c r="O139" s="8"/>
      <c r="P139" s="8"/>
    </row>
    <row r="140" spans="1:16" ht="15" customHeight="1">
      <c r="A140" s="287"/>
      <c r="B140" s="298"/>
      <c r="C140" s="164">
        <v>2</v>
      </c>
      <c r="D140" s="165" t="s">
        <v>3295</v>
      </c>
      <c r="E140" s="164" t="s">
        <v>2874</v>
      </c>
      <c r="F140" s="165" t="s">
        <v>3294</v>
      </c>
      <c r="G140" s="116"/>
      <c r="H140" s="116"/>
      <c r="I140" s="157"/>
      <c r="K140" s="8"/>
      <c r="L140" s="8"/>
      <c r="M140" s="8"/>
      <c r="N140" s="8"/>
      <c r="O140" s="8"/>
      <c r="P140" s="8"/>
    </row>
    <row r="141" spans="1:16" ht="15" customHeight="1">
      <c r="A141" s="287"/>
      <c r="B141" s="298"/>
      <c r="C141" s="164">
        <v>3</v>
      </c>
      <c r="D141" s="165" t="s">
        <v>3550</v>
      </c>
      <c r="E141" s="164" t="s">
        <v>2874</v>
      </c>
      <c r="F141" s="165" t="s">
        <v>3551</v>
      </c>
      <c r="G141" s="116"/>
      <c r="H141" s="116"/>
      <c r="I141" s="157"/>
      <c r="K141" s="8"/>
      <c r="L141" s="8"/>
      <c r="M141" s="8"/>
      <c r="N141" s="8"/>
      <c r="O141" s="8"/>
      <c r="P141" s="8"/>
    </row>
    <row r="142" spans="1:16" ht="15" customHeight="1">
      <c r="A142" s="274" t="s">
        <v>2603</v>
      </c>
      <c r="B142" s="317" t="s">
        <v>2602</v>
      </c>
      <c r="C142" s="184">
        <v>0</v>
      </c>
      <c r="D142" s="185" t="s">
        <v>3293</v>
      </c>
      <c r="E142" s="184" t="s">
        <v>2874</v>
      </c>
      <c r="F142" s="185" t="s">
        <v>3292</v>
      </c>
      <c r="G142" s="116"/>
      <c r="H142" s="116"/>
      <c r="I142" s="157"/>
      <c r="K142" s="8"/>
      <c r="L142" s="8"/>
      <c r="M142" s="8"/>
      <c r="N142" s="8"/>
      <c r="O142" s="8"/>
      <c r="P142" s="8"/>
    </row>
    <row r="143" spans="1:16" ht="15" customHeight="1">
      <c r="A143" s="299"/>
      <c r="B143" s="318"/>
      <c r="C143" s="184">
        <v>1</v>
      </c>
      <c r="D143" s="185" t="s">
        <v>3291</v>
      </c>
      <c r="E143" s="184" t="s">
        <v>2874</v>
      </c>
      <c r="F143" s="185" t="s">
        <v>3290</v>
      </c>
      <c r="G143" s="116"/>
      <c r="H143" s="116"/>
      <c r="I143" s="157"/>
      <c r="K143" s="8"/>
      <c r="L143" s="8"/>
      <c r="M143" s="8"/>
      <c r="N143" s="8"/>
      <c r="O143" s="8"/>
      <c r="P143" s="8"/>
    </row>
    <row r="144" spans="1:16" ht="15" customHeight="1">
      <c r="A144" s="299"/>
      <c r="B144" s="318"/>
      <c r="C144" s="184">
        <v>2</v>
      </c>
      <c r="D144" s="185" t="s">
        <v>3289</v>
      </c>
      <c r="E144" s="184" t="s">
        <v>2874</v>
      </c>
      <c r="F144" s="185" t="s">
        <v>3288</v>
      </c>
      <c r="G144" s="116"/>
      <c r="H144" s="116"/>
      <c r="I144" s="157"/>
      <c r="K144" s="8"/>
      <c r="L144" s="8"/>
      <c r="M144" s="8"/>
      <c r="N144" s="8"/>
      <c r="O144" s="8"/>
      <c r="P144" s="8"/>
    </row>
    <row r="145" spans="1:16" ht="15" customHeight="1">
      <c r="A145" s="275"/>
      <c r="B145" s="319"/>
      <c r="C145" s="184">
        <v>3</v>
      </c>
      <c r="D145" s="185" t="s">
        <v>3548</v>
      </c>
      <c r="E145" s="184" t="s">
        <v>2874</v>
      </c>
      <c r="F145" s="185" t="s">
        <v>3549</v>
      </c>
      <c r="G145" s="116"/>
      <c r="H145" s="116"/>
      <c r="I145" s="157"/>
      <c r="K145" s="8"/>
      <c r="L145" s="8"/>
      <c r="M145" s="8"/>
      <c r="N145" s="8"/>
      <c r="O145" s="8"/>
      <c r="P145" s="8"/>
    </row>
    <row r="146" spans="1:16" ht="15" customHeight="1">
      <c r="A146" s="300" t="s">
        <v>2588</v>
      </c>
      <c r="B146" s="311" t="s">
        <v>2587</v>
      </c>
      <c r="C146" s="153">
        <v>0</v>
      </c>
      <c r="D146" s="152" t="s">
        <v>2586</v>
      </c>
      <c r="E146" s="153" t="s">
        <v>669</v>
      </c>
      <c r="F146" s="152" t="s">
        <v>3286</v>
      </c>
      <c r="G146" s="116"/>
      <c r="H146" s="116"/>
      <c r="I146" s="157"/>
      <c r="K146" s="8"/>
      <c r="L146" s="8"/>
      <c r="M146" s="8"/>
      <c r="N146" s="8"/>
      <c r="O146" s="8"/>
      <c r="P146" s="8"/>
    </row>
    <row r="147" spans="1:16" ht="15" customHeight="1">
      <c r="A147" s="301"/>
      <c r="B147" s="312"/>
      <c r="C147" s="153">
        <v>1</v>
      </c>
      <c r="D147" s="152" t="s">
        <v>2585</v>
      </c>
      <c r="E147" s="153" t="s">
        <v>669</v>
      </c>
      <c r="F147" s="152" t="s">
        <v>3285</v>
      </c>
      <c r="G147" s="116"/>
      <c r="H147" s="116"/>
      <c r="I147" s="157"/>
      <c r="K147" s="8"/>
      <c r="L147" s="8"/>
      <c r="M147" s="8"/>
      <c r="N147" s="8"/>
      <c r="O147" s="8"/>
      <c r="P147" s="8"/>
    </row>
    <row r="148" spans="1:16" ht="15" customHeight="1">
      <c r="A148" s="301"/>
      <c r="B148" s="312"/>
      <c r="C148" s="153">
        <v>2</v>
      </c>
      <c r="D148" s="152" t="s">
        <v>2584</v>
      </c>
      <c r="E148" s="153" t="s">
        <v>669</v>
      </c>
      <c r="F148" s="152" t="s">
        <v>3284</v>
      </c>
      <c r="G148" s="116"/>
      <c r="H148" s="116"/>
      <c r="I148" s="157"/>
      <c r="K148" s="8"/>
      <c r="L148" s="8"/>
      <c r="M148" s="8"/>
      <c r="N148" s="8"/>
      <c r="O148" s="8"/>
      <c r="P148" s="8"/>
    </row>
    <row r="149" spans="1:16" ht="15" customHeight="1">
      <c r="A149" s="302"/>
      <c r="B149" s="313"/>
      <c r="C149" s="153">
        <v>3</v>
      </c>
      <c r="D149" s="183" t="s">
        <v>3560</v>
      </c>
      <c r="E149" s="182" t="s">
        <v>669</v>
      </c>
      <c r="F149" s="183" t="s">
        <v>3561</v>
      </c>
      <c r="G149" s="116"/>
      <c r="H149" s="116"/>
      <c r="I149" s="157"/>
      <c r="K149" s="8"/>
      <c r="L149" s="8"/>
      <c r="M149" s="8"/>
      <c r="N149" s="8"/>
      <c r="O149" s="8"/>
      <c r="P149" s="8"/>
    </row>
    <row r="150" spans="1:16" ht="15" customHeight="1">
      <c r="A150" s="293" t="s">
        <v>2582</v>
      </c>
      <c r="B150" s="308" t="s">
        <v>2581</v>
      </c>
      <c r="C150" s="151">
        <v>0</v>
      </c>
      <c r="D150" s="171" t="s">
        <v>2580</v>
      </c>
      <c r="E150" s="170" t="s">
        <v>669</v>
      </c>
      <c r="F150" s="171" t="s">
        <v>3283</v>
      </c>
      <c r="G150" s="116"/>
      <c r="H150" s="116"/>
      <c r="I150" s="157"/>
      <c r="K150" s="8"/>
      <c r="L150" s="8"/>
      <c r="M150" s="8"/>
      <c r="N150" s="8"/>
      <c r="O150" s="8"/>
      <c r="P150" s="8"/>
    </row>
    <row r="151" spans="1:16" ht="15" customHeight="1">
      <c r="A151" s="294"/>
      <c r="B151" s="309"/>
      <c r="C151" s="151">
        <v>1</v>
      </c>
      <c r="D151" s="171" t="s">
        <v>2579</v>
      </c>
      <c r="E151" s="170" t="s">
        <v>669</v>
      </c>
      <c r="F151" s="171" t="s">
        <v>3282</v>
      </c>
      <c r="G151" s="116"/>
      <c r="H151" s="116"/>
      <c r="I151" s="157"/>
      <c r="K151" s="8"/>
      <c r="L151" s="8"/>
      <c r="M151" s="8"/>
      <c r="N151" s="8"/>
      <c r="O151" s="8"/>
      <c r="P151" s="8"/>
    </row>
    <row r="152" spans="1:16" ht="15" customHeight="1">
      <c r="A152" s="294"/>
      <c r="B152" s="309"/>
      <c r="C152" s="151">
        <v>2</v>
      </c>
      <c r="D152" s="171" t="s">
        <v>2578</v>
      </c>
      <c r="E152" s="170" t="s">
        <v>669</v>
      </c>
      <c r="F152" s="171" t="s">
        <v>3281</v>
      </c>
      <c r="G152" s="116"/>
      <c r="H152" s="116"/>
      <c r="I152" s="157"/>
      <c r="K152" s="8"/>
      <c r="L152" s="8"/>
      <c r="M152" s="8"/>
      <c r="N152" s="8"/>
      <c r="O152" s="8"/>
      <c r="P152" s="8"/>
    </row>
    <row r="153" spans="1:16" ht="15" customHeight="1">
      <c r="A153" s="295"/>
      <c r="B153" s="310"/>
      <c r="C153" s="170">
        <v>3</v>
      </c>
      <c r="D153" s="171" t="s">
        <v>3562</v>
      </c>
      <c r="E153" s="170" t="s">
        <v>669</v>
      </c>
      <c r="F153" s="171" t="s">
        <v>3563</v>
      </c>
      <c r="G153" s="116"/>
      <c r="H153" s="116"/>
      <c r="I153" s="157"/>
      <c r="K153" s="8"/>
      <c r="L153" s="8"/>
      <c r="M153" s="8"/>
      <c r="N153" s="8"/>
      <c r="O153" s="8"/>
      <c r="P153" s="8"/>
    </row>
    <row r="154" spans="1:16" ht="15" customHeight="1">
      <c r="A154" s="300" t="s">
        <v>2576</v>
      </c>
      <c r="B154" s="311" t="s">
        <v>2575</v>
      </c>
      <c r="C154" s="153">
        <v>0</v>
      </c>
      <c r="D154" s="152" t="s">
        <v>2574</v>
      </c>
      <c r="E154" s="153" t="s">
        <v>669</v>
      </c>
      <c r="F154" s="152" t="s">
        <v>3280</v>
      </c>
      <c r="G154" s="116"/>
      <c r="H154" s="116"/>
      <c r="I154" s="157"/>
      <c r="K154" s="8"/>
      <c r="L154" s="8"/>
      <c r="M154" s="8"/>
      <c r="N154" s="8"/>
      <c r="O154" s="8"/>
      <c r="P154" s="8"/>
    </row>
    <row r="155" spans="1:16" ht="15" customHeight="1">
      <c r="A155" s="301"/>
      <c r="B155" s="312"/>
      <c r="C155" s="153">
        <v>1</v>
      </c>
      <c r="D155" s="152" t="s">
        <v>2573</v>
      </c>
      <c r="E155" s="153" t="s">
        <v>669</v>
      </c>
      <c r="F155" s="152" t="s">
        <v>3279</v>
      </c>
      <c r="G155" s="116"/>
      <c r="H155" s="116"/>
      <c r="I155" s="157"/>
      <c r="K155" s="8"/>
      <c r="L155" s="8"/>
      <c r="M155" s="8"/>
      <c r="N155" s="8"/>
      <c r="O155" s="8"/>
      <c r="P155" s="8"/>
    </row>
    <row r="156" spans="1:16" ht="15" customHeight="1">
      <c r="A156" s="301"/>
      <c r="B156" s="312"/>
      <c r="C156" s="153">
        <v>2</v>
      </c>
      <c r="D156" s="152" t="s">
        <v>2572</v>
      </c>
      <c r="E156" s="153" t="s">
        <v>669</v>
      </c>
      <c r="F156" s="152" t="s">
        <v>3278</v>
      </c>
      <c r="G156" s="116"/>
      <c r="H156" s="116"/>
      <c r="I156" s="157"/>
      <c r="K156" s="8"/>
      <c r="L156" s="8"/>
      <c r="M156" s="8"/>
      <c r="N156" s="8"/>
      <c r="O156" s="8"/>
      <c r="P156" s="8"/>
    </row>
    <row r="157" spans="1:16" ht="15" customHeight="1">
      <c r="A157" s="302"/>
      <c r="B157" s="313"/>
      <c r="C157" s="153">
        <v>3</v>
      </c>
      <c r="D157" s="152" t="s">
        <v>3565</v>
      </c>
      <c r="E157" s="153" t="s">
        <v>669</v>
      </c>
      <c r="F157" s="152" t="s">
        <v>3564</v>
      </c>
      <c r="G157" s="116"/>
      <c r="H157" s="116"/>
      <c r="I157" s="157"/>
      <c r="K157" s="8"/>
      <c r="L157" s="8"/>
      <c r="M157" s="8"/>
      <c r="N157" s="8"/>
      <c r="O157" s="8"/>
      <c r="P157" s="8"/>
    </row>
    <row r="158" spans="1:16" ht="15" customHeight="1">
      <c r="A158" s="293" t="s">
        <v>2570</v>
      </c>
      <c r="B158" s="308" t="s">
        <v>2569</v>
      </c>
      <c r="C158" s="151">
        <v>0</v>
      </c>
      <c r="D158" s="171" t="s">
        <v>2568</v>
      </c>
      <c r="E158" s="170" t="s">
        <v>669</v>
      </c>
      <c r="F158" s="171" t="s">
        <v>3277</v>
      </c>
      <c r="G158" s="116"/>
      <c r="H158" s="116"/>
      <c r="I158" s="157"/>
      <c r="K158" s="8"/>
      <c r="L158" s="8"/>
      <c r="M158" s="8"/>
      <c r="N158" s="8"/>
      <c r="O158" s="8"/>
      <c r="P158" s="8"/>
    </row>
    <row r="159" spans="1:16" ht="15" customHeight="1">
      <c r="A159" s="294"/>
      <c r="B159" s="309"/>
      <c r="C159" s="151">
        <v>1</v>
      </c>
      <c r="D159" s="171" t="s">
        <v>2567</v>
      </c>
      <c r="E159" s="170" t="s">
        <v>669</v>
      </c>
      <c r="F159" s="171" t="s">
        <v>3276</v>
      </c>
      <c r="G159" s="116"/>
      <c r="H159" s="116"/>
      <c r="I159" s="157"/>
      <c r="K159" s="8"/>
      <c r="L159" s="8"/>
      <c r="M159" s="8"/>
      <c r="N159" s="8"/>
      <c r="O159" s="8"/>
      <c r="P159" s="8"/>
    </row>
    <row r="160" spans="1:16" ht="15" customHeight="1">
      <c r="A160" s="294"/>
      <c r="B160" s="309"/>
      <c r="C160" s="151">
        <v>2</v>
      </c>
      <c r="D160" s="171" t="s">
        <v>2566</v>
      </c>
      <c r="E160" s="170" t="s">
        <v>669</v>
      </c>
      <c r="F160" s="171" t="s">
        <v>3275</v>
      </c>
      <c r="G160" s="116"/>
      <c r="H160" s="116"/>
      <c r="I160" s="157"/>
      <c r="K160" s="8"/>
      <c r="L160" s="8"/>
      <c r="M160" s="8"/>
      <c r="N160" s="8"/>
      <c r="O160" s="8"/>
      <c r="P160" s="8"/>
    </row>
    <row r="161" spans="1:16" ht="15" customHeight="1">
      <c r="A161" s="295"/>
      <c r="B161" s="310"/>
      <c r="C161" s="170">
        <v>3</v>
      </c>
      <c r="D161" s="171" t="s">
        <v>3566</v>
      </c>
      <c r="E161" s="170" t="s">
        <v>669</v>
      </c>
      <c r="F161" s="171" t="s">
        <v>3567</v>
      </c>
      <c r="G161" s="116"/>
      <c r="H161" s="116"/>
      <c r="I161" s="157"/>
      <c r="K161" s="8"/>
      <c r="L161" s="8"/>
      <c r="M161" s="8"/>
      <c r="N161" s="8"/>
      <c r="O161" s="8"/>
      <c r="P161" s="8"/>
    </row>
    <row r="162" spans="1:16" ht="15" customHeight="1">
      <c r="A162" s="300" t="s">
        <v>2564</v>
      </c>
      <c r="B162" s="311" t="s">
        <v>2563</v>
      </c>
      <c r="C162" s="153">
        <v>0</v>
      </c>
      <c r="D162" s="152" t="s">
        <v>2562</v>
      </c>
      <c r="E162" s="153" t="s">
        <v>669</v>
      </c>
      <c r="F162" s="152" t="s">
        <v>3274</v>
      </c>
      <c r="G162" s="116"/>
      <c r="H162" s="116"/>
      <c r="I162" s="157"/>
      <c r="K162" s="8"/>
      <c r="L162" s="8"/>
      <c r="M162" s="8"/>
      <c r="N162" s="8"/>
      <c r="O162" s="8"/>
      <c r="P162" s="8"/>
    </row>
    <row r="163" spans="1:16" ht="15" customHeight="1">
      <c r="A163" s="301"/>
      <c r="B163" s="312"/>
      <c r="C163" s="153">
        <v>1</v>
      </c>
      <c r="D163" s="152" t="s">
        <v>2561</v>
      </c>
      <c r="E163" s="153" t="s">
        <v>669</v>
      </c>
      <c r="F163" s="152" t="s">
        <v>3273</v>
      </c>
      <c r="G163" s="116"/>
      <c r="H163" s="116"/>
      <c r="I163" s="157"/>
      <c r="K163" s="8"/>
      <c r="L163" s="8"/>
      <c r="M163" s="8"/>
      <c r="N163" s="8"/>
      <c r="O163" s="8"/>
      <c r="P163" s="8"/>
    </row>
    <row r="164" spans="1:16" ht="15" customHeight="1">
      <c r="A164" s="301"/>
      <c r="B164" s="312"/>
      <c r="C164" s="153">
        <v>2</v>
      </c>
      <c r="D164" s="152" t="s">
        <v>2560</v>
      </c>
      <c r="E164" s="153" t="s">
        <v>669</v>
      </c>
      <c r="F164" s="152" t="s">
        <v>3272</v>
      </c>
      <c r="G164" s="116"/>
      <c r="H164" s="116"/>
      <c r="I164" s="157"/>
      <c r="K164" s="8"/>
      <c r="L164" s="8"/>
      <c r="M164" s="8"/>
      <c r="N164" s="8"/>
      <c r="O164" s="8"/>
      <c r="P164" s="8"/>
    </row>
    <row r="165" spans="1:16" ht="15" customHeight="1">
      <c r="A165" s="302"/>
      <c r="B165" s="313"/>
      <c r="C165" s="153">
        <v>3</v>
      </c>
      <c r="D165" s="152" t="s">
        <v>3568</v>
      </c>
      <c r="E165" s="153" t="s">
        <v>669</v>
      </c>
      <c r="F165" s="152" t="s">
        <v>3569</v>
      </c>
      <c r="G165" s="116"/>
      <c r="H165" s="116"/>
      <c r="I165" s="157"/>
      <c r="K165" s="8"/>
      <c r="L165" s="8"/>
      <c r="M165" s="8"/>
      <c r="N165" s="8"/>
      <c r="O165" s="8"/>
      <c r="P165" s="8"/>
    </row>
    <row r="166" spans="1:16" ht="15" customHeight="1">
      <c r="A166" s="293" t="s">
        <v>2558</v>
      </c>
      <c r="B166" s="308" t="s">
        <v>2557</v>
      </c>
      <c r="C166" s="151">
        <v>0</v>
      </c>
      <c r="D166" s="171" t="s">
        <v>2556</v>
      </c>
      <c r="E166" s="170" t="s">
        <v>669</v>
      </c>
      <c r="F166" s="171" t="s">
        <v>3271</v>
      </c>
      <c r="G166" s="116"/>
      <c r="H166" s="116"/>
      <c r="I166" s="157"/>
      <c r="K166" s="8"/>
      <c r="L166" s="8"/>
      <c r="M166" s="8"/>
      <c r="N166" s="8"/>
      <c r="O166" s="8"/>
      <c r="P166" s="8"/>
    </row>
    <row r="167" spans="1:16" ht="15" customHeight="1">
      <c r="A167" s="294"/>
      <c r="B167" s="309"/>
      <c r="C167" s="151">
        <v>1</v>
      </c>
      <c r="D167" s="171" t="s">
        <v>2555</v>
      </c>
      <c r="E167" s="170" t="s">
        <v>669</v>
      </c>
      <c r="F167" s="171" t="s">
        <v>3270</v>
      </c>
      <c r="G167" s="116"/>
      <c r="H167" s="116"/>
      <c r="I167" s="157"/>
      <c r="K167" s="8"/>
      <c r="L167" s="8"/>
      <c r="M167" s="8"/>
      <c r="N167" s="8"/>
      <c r="O167" s="8"/>
      <c r="P167" s="8"/>
    </row>
    <row r="168" spans="1:16" ht="15" customHeight="1">
      <c r="A168" s="294"/>
      <c r="B168" s="309"/>
      <c r="C168" s="151">
        <v>2</v>
      </c>
      <c r="D168" s="171" t="s">
        <v>2554</v>
      </c>
      <c r="E168" s="170" t="s">
        <v>669</v>
      </c>
      <c r="F168" s="171" t="s">
        <v>3269</v>
      </c>
      <c r="G168" s="116"/>
      <c r="H168" s="116"/>
      <c r="I168" s="157"/>
      <c r="K168" s="8"/>
      <c r="L168" s="8"/>
      <c r="M168" s="8"/>
      <c r="N168" s="8"/>
      <c r="O168" s="8"/>
      <c r="P168" s="8"/>
    </row>
    <row r="169" spans="1:16" ht="15" customHeight="1">
      <c r="A169" s="295"/>
      <c r="B169" s="310"/>
      <c r="C169" s="170">
        <v>3</v>
      </c>
      <c r="D169" s="171" t="s">
        <v>3570</v>
      </c>
      <c r="E169" s="170" t="s">
        <v>669</v>
      </c>
      <c r="F169" s="171" t="s">
        <v>3571</v>
      </c>
      <c r="G169" s="116"/>
      <c r="H169" s="116"/>
      <c r="I169" s="157"/>
      <c r="K169" s="8"/>
      <c r="L169" s="8"/>
      <c r="M169" s="8"/>
      <c r="N169" s="8"/>
      <c r="O169" s="8"/>
      <c r="P169" s="8"/>
    </row>
    <row r="170" spans="1:16" ht="15" customHeight="1">
      <c r="A170" s="300" t="s">
        <v>2552</v>
      </c>
      <c r="B170" s="311" t="s">
        <v>2551</v>
      </c>
      <c r="C170" s="153">
        <v>0</v>
      </c>
      <c r="D170" s="152" t="s">
        <v>2550</v>
      </c>
      <c r="E170" s="153" t="s">
        <v>669</v>
      </c>
      <c r="F170" s="152" t="s">
        <v>3268</v>
      </c>
      <c r="G170" s="116"/>
      <c r="H170" s="116"/>
      <c r="I170" s="157"/>
      <c r="K170" s="8"/>
      <c r="L170" s="8"/>
      <c r="M170" s="8"/>
      <c r="N170" s="8"/>
      <c r="O170" s="8"/>
      <c r="P170" s="8"/>
    </row>
    <row r="171" spans="1:16" ht="15" customHeight="1">
      <c r="A171" s="301"/>
      <c r="B171" s="312"/>
      <c r="C171" s="153">
        <v>1</v>
      </c>
      <c r="D171" s="152" t="s">
        <v>2549</v>
      </c>
      <c r="E171" s="153" t="s">
        <v>669</v>
      </c>
      <c r="F171" s="152" t="s">
        <v>3267</v>
      </c>
      <c r="G171" s="116"/>
      <c r="H171" s="116"/>
      <c r="I171" s="157"/>
      <c r="K171" s="8"/>
      <c r="L171" s="8"/>
      <c r="M171" s="8"/>
      <c r="N171" s="8"/>
      <c r="O171" s="8"/>
      <c r="P171" s="8"/>
    </row>
    <row r="172" spans="1:16" ht="15" customHeight="1">
      <c r="A172" s="301"/>
      <c r="B172" s="312"/>
      <c r="C172" s="153">
        <v>2</v>
      </c>
      <c r="D172" s="152" t="s">
        <v>2548</v>
      </c>
      <c r="E172" s="153" t="s">
        <v>669</v>
      </c>
      <c r="F172" s="152" t="s">
        <v>3266</v>
      </c>
      <c r="G172" s="116"/>
      <c r="H172" s="116"/>
      <c r="I172" s="157"/>
      <c r="K172" s="8"/>
      <c r="L172" s="8"/>
      <c r="M172" s="8"/>
      <c r="N172" s="8"/>
      <c r="O172" s="8"/>
      <c r="P172" s="8"/>
    </row>
    <row r="173" spans="1:16" ht="15" customHeight="1">
      <c r="A173" s="302"/>
      <c r="B173" s="313"/>
      <c r="C173" s="153">
        <v>3</v>
      </c>
      <c r="D173" s="152" t="s">
        <v>3572</v>
      </c>
      <c r="E173" s="153" t="s">
        <v>669</v>
      </c>
      <c r="F173" s="152" t="s">
        <v>3573</v>
      </c>
      <c r="G173" s="116"/>
      <c r="H173" s="116"/>
      <c r="I173" s="157"/>
      <c r="K173" s="8"/>
      <c r="L173" s="8"/>
      <c r="M173" s="8"/>
      <c r="N173" s="8"/>
      <c r="O173" s="8"/>
      <c r="P173" s="8"/>
    </row>
    <row r="174" spans="1:16" ht="15" customHeight="1">
      <c r="A174" s="293" t="s">
        <v>2546</v>
      </c>
      <c r="B174" s="308" t="s">
        <v>2545</v>
      </c>
      <c r="C174" s="151">
        <v>0</v>
      </c>
      <c r="D174" s="171" t="s">
        <v>2544</v>
      </c>
      <c r="E174" s="170" t="s">
        <v>669</v>
      </c>
      <c r="F174" s="171" t="s">
        <v>3265</v>
      </c>
      <c r="G174" s="116"/>
      <c r="H174" s="116"/>
      <c r="I174" s="157"/>
      <c r="K174" s="8"/>
      <c r="L174" s="8"/>
      <c r="M174" s="8"/>
      <c r="N174" s="8"/>
      <c r="O174" s="8"/>
      <c r="P174" s="8"/>
    </row>
    <row r="175" spans="1:16" ht="15" customHeight="1">
      <c r="A175" s="294"/>
      <c r="B175" s="309"/>
      <c r="C175" s="151">
        <v>1</v>
      </c>
      <c r="D175" s="171" t="s">
        <v>2543</v>
      </c>
      <c r="E175" s="170" t="s">
        <v>669</v>
      </c>
      <c r="F175" s="171" t="s">
        <v>3264</v>
      </c>
      <c r="G175" s="116"/>
      <c r="H175" s="116"/>
      <c r="I175" s="157"/>
      <c r="K175" s="8"/>
      <c r="L175" s="8"/>
      <c r="M175" s="8"/>
      <c r="N175" s="8"/>
      <c r="O175" s="8"/>
      <c r="P175" s="8"/>
    </row>
    <row r="176" spans="1:16" ht="15" customHeight="1">
      <c r="A176" s="294"/>
      <c r="B176" s="309"/>
      <c r="C176" s="151">
        <v>2</v>
      </c>
      <c r="D176" s="171" t="s">
        <v>2542</v>
      </c>
      <c r="E176" s="170" t="s">
        <v>669</v>
      </c>
      <c r="F176" s="171" t="s">
        <v>3263</v>
      </c>
      <c r="G176" s="116"/>
      <c r="H176" s="116"/>
      <c r="I176" s="157"/>
      <c r="K176" s="8"/>
      <c r="L176" s="8"/>
      <c r="M176" s="8"/>
      <c r="N176" s="8"/>
      <c r="O176" s="8"/>
      <c r="P176" s="8"/>
    </row>
    <row r="177" spans="1:16" ht="15" customHeight="1">
      <c r="A177" s="295"/>
      <c r="B177" s="310"/>
      <c r="C177" s="170">
        <v>3</v>
      </c>
      <c r="D177" s="171" t="s">
        <v>3574</v>
      </c>
      <c r="E177" s="170" t="s">
        <v>669</v>
      </c>
      <c r="F177" s="171" t="s">
        <v>3575</v>
      </c>
      <c r="G177" s="116"/>
      <c r="H177" s="116"/>
      <c r="I177" s="157"/>
      <c r="K177" s="8"/>
      <c r="L177" s="8"/>
      <c r="M177" s="8"/>
      <c r="N177" s="8"/>
      <c r="O177" s="8"/>
      <c r="P177" s="8"/>
    </row>
    <row r="178" spans="1:16" ht="15" customHeight="1">
      <c r="A178" s="300" t="s">
        <v>2540</v>
      </c>
      <c r="B178" s="311" t="s">
        <v>2539</v>
      </c>
      <c r="C178" s="153">
        <v>0</v>
      </c>
      <c r="D178" s="152" t="s">
        <v>2538</v>
      </c>
      <c r="E178" s="153" t="s">
        <v>669</v>
      </c>
      <c r="F178" s="152" t="s">
        <v>3262</v>
      </c>
      <c r="G178" s="116"/>
      <c r="H178" s="116"/>
      <c r="I178" s="157"/>
      <c r="K178" s="8"/>
      <c r="L178" s="8"/>
      <c r="M178" s="8"/>
      <c r="N178" s="8"/>
      <c r="O178" s="8"/>
      <c r="P178" s="8"/>
    </row>
    <row r="179" spans="1:16" ht="15" customHeight="1">
      <c r="A179" s="301"/>
      <c r="B179" s="312"/>
      <c r="C179" s="153">
        <v>1</v>
      </c>
      <c r="D179" s="152" t="s">
        <v>2537</v>
      </c>
      <c r="E179" s="153" t="s">
        <v>669</v>
      </c>
      <c r="F179" s="152" t="s">
        <v>3261</v>
      </c>
      <c r="G179" s="116"/>
      <c r="H179" s="116"/>
      <c r="I179" s="157"/>
      <c r="K179" s="8"/>
      <c r="L179" s="8"/>
      <c r="M179" s="8"/>
      <c r="N179" s="8"/>
      <c r="O179" s="8"/>
      <c r="P179" s="8"/>
    </row>
    <row r="180" spans="1:16" ht="15" customHeight="1">
      <c r="A180" s="301"/>
      <c r="B180" s="312"/>
      <c r="C180" s="153">
        <v>2</v>
      </c>
      <c r="D180" s="152" t="s">
        <v>2536</v>
      </c>
      <c r="E180" s="153" t="s">
        <v>669</v>
      </c>
      <c r="F180" s="152" t="s">
        <v>3260</v>
      </c>
      <c r="G180" s="116"/>
      <c r="H180" s="116"/>
      <c r="I180" s="157"/>
      <c r="K180" s="8"/>
      <c r="L180" s="8"/>
      <c r="M180" s="8"/>
      <c r="N180" s="8"/>
      <c r="O180" s="8"/>
      <c r="P180" s="8"/>
    </row>
    <row r="181" spans="1:16" ht="15" customHeight="1">
      <c r="A181" s="302"/>
      <c r="B181" s="313"/>
      <c r="C181" s="153">
        <v>3</v>
      </c>
      <c r="D181" s="152" t="s">
        <v>3576</v>
      </c>
      <c r="E181" s="153" t="s">
        <v>669</v>
      </c>
      <c r="F181" s="152" t="s">
        <v>3577</v>
      </c>
      <c r="G181" s="116"/>
      <c r="H181" s="116"/>
      <c r="I181" s="157"/>
      <c r="K181" s="8"/>
      <c r="L181" s="8"/>
      <c r="M181" s="8"/>
      <c r="N181" s="8"/>
      <c r="O181" s="8"/>
      <c r="P181" s="8"/>
    </row>
    <row r="182" spans="1:16" ht="15" customHeight="1">
      <c r="A182" s="293" t="s">
        <v>2534</v>
      </c>
      <c r="B182" s="308" t="s">
        <v>2533</v>
      </c>
      <c r="C182" s="151">
        <v>0</v>
      </c>
      <c r="D182" s="171" t="s">
        <v>2532</v>
      </c>
      <c r="E182" s="170" t="s">
        <v>669</v>
      </c>
      <c r="F182" s="171" t="s">
        <v>3259</v>
      </c>
      <c r="G182" s="116"/>
      <c r="H182" s="116"/>
      <c r="I182" s="157"/>
      <c r="K182" s="8"/>
      <c r="L182" s="8"/>
      <c r="M182" s="8"/>
      <c r="N182" s="8"/>
      <c r="O182" s="8"/>
      <c r="P182" s="8"/>
    </row>
    <row r="183" spans="1:16" ht="15" customHeight="1">
      <c r="A183" s="294"/>
      <c r="B183" s="309"/>
      <c r="C183" s="151">
        <v>1</v>
      </c>
      <c r="D183" s="171" t="s">
        <v>2531</v>
      </c>
      <c r="E183" s="170" t="s">
        <v>669</v>
      </c>
      <c r="F183" s="171" t="s">
        <v>3258</v>
      </c>
      <c r="G183" s="116"/>
      <c r="H183" s="116"/>
      <c r="I183" s="157"/>
      <c r="K183" s="8"/>
      <c r="L183" s="8"/>
      <c r="M183" s="8"/>
      <c r="N183" s="8"/>
      <c r="O183" s="8"/>
      <c r="P183" s="8"/>
    </row>
    <row r="184" spans="1:16" ht="15" customHeight="1">
      <c r="A184" s="294"/>
      <c r="B184" s="309"/>
      <c r="C184" s="151">
        <v>2</v>
      </c>
      <c r="D184" s="171" t="s">
        <v>2530</v>
      </c>
      <c r="E184" s="170" t="s">
        <v>1123</v>
      </c>
      <c r="F184" s="171" t="s">
        <v>3257</v>
      </c>
      <c r="G184" s="116"/>
      <c r="H184" s="116"/>
      <c r="I184" s="157"/>
      <c r="K184" s="8"/>
      <c r="L184" s="8"/>
      <c r="M184" s="8"/>
      <c r="N184" s="8"/>
      <c r="O184" s="8"/>
      <c r="P184" s="8"/>
    </row>
    <row r="185" spans="1:16" ht="15" customHeight="1">
      <c r="A185" s="295"/>
      <c r="B185" s="310"/>
      <c r="C185" s="170">
        <v>3</v>
      </c>
      <c r="D185" s="171" t="s">
        <v>3578</v>
      </c>
      <c r="E185" s="170" t="s">
        <v>1123</v>
      </c>
      <c r="F185" s="171" t="s">
        <v>3579</v>
      </c>
      <c r="G185" s="116"/>
      <c r="H185" s="116"/>
      <c r="I185" s="157"/>
      <c r="K185" s="8"/>
      <c r="L185" s="8"/>
      <c r="M185" s="8"/>
      <c r="N185" s="8"/>
      <c r="O185" s="8"/>
      <c r="P185" s="8"/>
    </row>
    <row r="186" spans="1:16" ht="15" customHeight="1">
      <c r="A186" s="300" t="s">
        <v>2528</v>
      </c>
      <c r="B186" s="311" t="s">
        <v>2527</v>
      </c>
      <c r="C186" s="153">
        <v>0</v>
      </c>
      <c r="D186" s="152" t="s">
        <v>2526</v>
      </c>
      <c r="E186" s="153" t="s">
        <v>669</v>
      </c>
      <c r="F186" s="152" t="s">
        <v>3256</v>
      </c>
      <c r="G186" s="116"/>
      <c r="H186" s="116"/>
      <c r="I186" s="157"/>
      <c r="K186" s="8"/>
      <c r="L186" s="8"/>
      <c r="M186" s="8"/>
      <c r="N186" s="8"/>
      <c r="O186" s="8"/>
      <c r="P186" s="8"/>
    </row>
    <row r="187" spans="1:16" ht="15" customHeight="1">
      <c r="A187" s="301"/>
      <c r="B187" s="312"/>
      <c r="C187" s="153">
        <v>1</v>
      </c>
      <c r="D187" s="152" t="s">
        <v>2525</v>
      </c>
      <c r="E187" s="153" t="s">
        <v>669</v>
      </c>
      <c r="F187" s="152" t="s">
        <v>3255</v>
      </c>
      <c r="G187" s="116"/>
      <c r="H187" s="116"/>
      <c r="I187" s="157"/>
      <c r="K187" s="8"/>
      <c r="L187" s="8"/>
      <c r="M187" s="8"/>
      <c r="N187" s="8"/>
      <c r="O187" s="8"/>
      <c r="P187" s="8"/>
    </row>
    <row r="188" spans="1:16" ht="15" customHeight="1">
      <c r="A188" s="301"/>
      <c r="B188" s="312"/>
      <c r="C188" s="153">
        <v>2</v>
      </c>
      <c r="D188" s="152" t="s">
        <v>2524</v>
      </c>
      <c r="E188" s="153" t="s">
        <v>1123</v>
      </c>
      <c r="F188" s="152" t="s">
        <v>3254</v>
      </c>
      <c r="G188" s="116"/>
      <c r="H188" s="116"/>
      <c r="I188" s="157"/>
      <c r="K188" s="8"/>
      <c r="L188" s="8"/>
      <c r="M188" s="8"/>
      <c r="N188" s="8"/>
      <c r="O188" s="8"/>
      <c r="P188" s="8"/>
    </row>
    <row r="189" spans="1:16" ht="15" customHeight="1">
      <c r="A189" s="302"/>
      <c r="B189" s="313"/>
      <c r="C189" s="153">
        <v>3</v>
      </c>
      <c r="D189" s="152" t="s">
        <v>3580</v>
      </c>
      <c r="E189" s="153" t="s">
        <v>1123</v>
      </c>
      <c r="F189" s="152" t="s">
        <v>3581</v>
      </c>
      <c r="G189" s="116"/>
      <c r="H189" s="116"/>
      <c r="I189" s="157"/>
      <c r="K189" s="8"/>
      <c r="L189" s="8"/>
      <c r="M189" s="8"/>
      <c r="N189" s="8"/>
      <c r="O189" s="8"/>
      <c r="P189" s="8"/>
    </row>
    <row r="190" spans="1:16" ht="15" customHeight="1">
      <c r="A190" s="293" t="s">
        <v>2522</v>
      </c>
      <c r="B190" s="308" t="s">
        <v>2521</v>
      </c>
      <c r="C190" s="151">
        <v>0</v>
      </c>
      <c r="D190" s="171" t="s">
        <v>499</v>
      </c>
      <c r="E190" s="170" t="s">
        <v>2874</v>
      </c>
      <c r="F190" s="171" t="s">
        <v>3253</v>
      </c>
      <c r="G190" s="116"/>
      <c r="H190" s="116"/>
      <c r="I190" s="157"/>
      <c r="K190" s="8"/>
      <c r="L190" s="8"/>
      <c r="M190" s="8"/>
      <c r="N190" s="8"/>
      <c r="O190" s="8"/>
      <c r="P190" s="8"/>
    </row>
    <row r="191" spans="1:16" ht="15" customHeight="1">
      <c r="A191" s="295"/>
      <c r="B191" s="310"/>
      <c r="C191" s="170">
        <v>1</v>
      </c>
      <c r="D191" s="171" t="s">
        <v>3582</v>
      </c>
      <c r="E191" s="170" t="s">
        <v>2874</v>
      </c>
      <c r="F191" s="171" t="s">
        <v>3583</v>
      </c>
      <c r="G191" s="116"/>
      <c r="H191" s="116"/>
      <c r="I191" s="157"/>
      <c r="K191" s="8"/>
      <c r="L191" s="8"/>
      <c r="M191" s="8"/>
      <c r="N191" s="8"/>
      <c r="O191" s="8"/>
      <c r="P191" s="8"/>
    </row>
    <row r="192" spans="1:16" ht="15" customHeight="1">
      <c r="A192" s="300" t="s">
        <v>2519</v>
      </c>
      <c r="B192" s="311" t="s">
        <v>2518</v>
      </c>
      <c r="C192" s="153">
        <v>0</v>
      </c>
      <c r="D192" s="152" t="s">
        <v>500</v>
      </c>
      <c r="E192" s="153" t="s">
        <v>2874</v>
      </c>
      <c r="F192" s="152" t="s">
        <v>3252</v>
      </c>
      <c r="G192" s="116"/>
      <c r="H192" s="116"/>
      <c r="I192" s="157"/>
      <c r="K192" s="8"/>
      <c r="L192" s="8"/>
      <c r="M192" s="8"/>
      <c r="N192" s="8"/>
      <c r="O192" s="8"/>
      <c r="P192" s="8"/>
    </row>
    <row r="193" spans="1:16" ht="15" customHeight="1">
      <c r="A193" s="302"/>
      <c r="B193" s="313"/>
      <c r="C193" s="153">
        <v>1</v>
      </c>
      <c r="D193" s="152" t="s">
        <v>3584</v>
      </c>
      <c r="E193" s="153" t="s">
        <v>2874</v>
      </c>
      <c r="F193" s="152" t="s">
        <v>3585</v>
      </c>
      <c r="G193" s="116"/>
      <c r="H193" s="116"/>
      <c r="I193" s="157"/>
      <c r="K193" s="8"/>
      <c r="L193" s="8"/>
      <c r="M193" s="8"/>
      <c r="N193" s="8"/>
      <c r="O193" s="8"/>
      <c r="P193" s="8"/>
    </row>
    <row r="194" spans="1:16" ht="15" customHeight="1">
      <c r="A194" s="293" t="s">
        <v>2516</v>
      </c>
      <c r="B194" s="308" t="s">
        <v>2515</v>
      </c>
      <c r="C194" s="151">
        <v>0</v>
      </c>
      <c r="D194" s="171" t="s">
        <v>2514</v>
      </c>
      <c r="E194" s="170" t="s">
        <v>669</v>
      </c>
      <c r="F194" s="171" t="s">
        <v>3251</v>
      </c>
      <c r="G194" s="116"/>
      <c r="H194" s="116"/>
      <c r="I194" s="157"/>
      <c r="K194" s="8"/>
      <c r="L194" s="8"/>
      <c r="M194" s="8"/>
      <c r="N194" s="8"/>
      <c r="O194" s="8"/>
      <c r="P194" s="8"/>
    </row>
    <row r="195" spans="1:16" ht="15" customHeight="1">
      <c r="A195" s="294"/>
      <c r="B195" s="309"/>
      <c r="C195" s="151">
        <v>1</v>
      </c>
      <c r="D195" s="171" t="s">
        <v>2513</v>
      </c>
      <c r="E195" s="170" t="s">
        <v>669</v>
      </c>
      <c r="F195" s="171" t="s">
        <v>3250</v>
      </c>
      <c r="G195" s="116"/>
      <c r="H195" s="116"/>
      <c r="I195" s="157"/>
      <c r="K195" s="8"/>
      <c r="L195" s="8"/>
      <c r="M195" s="8"/>
      <c r="N195" s="8"/>
      <c r="O195" s="8"/>
      <c r="P195" s="8"/>
    </row>
    <row r="196" spans="1:16" ht="15" customHeight="1">
      <c r="A196" s="294"/>
      <c r="B196" s="309"/>
      <c r="C196" s="151">
        <v>2</v>
      </c>
      <c r="D196" s="171" t="s">
        <v>2512</v>
      </c>
      <c r="E196" s="170" t="s">
        <v>669</v>
      </c>
      <c r="F196" s="171" t="s">
        <v>3249</v>
      </c>
      <c r="G196" s="116"/>
      <c r="H196" s="116"/>
      <c r="I196" s="157"/>
      <c r="K196" s="8"/>
      <c r="L196" s="8"/>
      <c r="M196" s="8"/>
      <c r="N196" s="8"/>
      <c r="O196" s="8"/>
      <c r="P196" s="8"/>
    </row>
    <row r="197" spans="1:16" ht="15" customHeight="1">
      <c r="A197" s="295"/>
      <c r="B197" s="310"/>
      <c r="C197" s="170">
        <v>3</v>
      </c>
      <c r="D197" s="171" t="s">
        <v>3586</v>
      </c>
      <c r="E197" s="170" t="s">
        <v>669</v>
      </c>
      <c r="F197" s="171" t="s">
        <v>3587</v>
      </c>
      <c r="G197" s="116"/>
      <c r="H197" s="116"/>
      <c r="I197" s="157"/>
      <c r="K197" s="8"/>
      <c r="L197" s="8"/>
      <c r="M197" s="8"/>
      <c r="N197" s="8"/>
      <c r="O197" s="8"/>
      <c r="P197" s="8"/>
    </row>
    <row r="198" spans="1:16" ht="15" customHeight="1">
      <c r="A198" s="300" t="s">
        <v>2510</v>
      </c>
      <c r="B198" s="311" t="s">
        <v>2509</v>
      </c>
      <c r="C198" s="153">
        <v>0</v>
      </c>
      <c r="D198" s="152" t="s">
        <v>2508</v>
      </c>
      <c r="E198" s="153" t="s">
        <v>669</v>
      </c>
      <c r="F198" s="152" t="s">
        <v>3248</v>
      </c>
      <c r="G198" s="116"/>
      <c r="H198" s="116"/>
      <c r="I198" s="157"/>
      <c r="K198" s="8"/>
      <c r="L198" s="8"/>
      <c r="M198" s="8"/>
      <c r="N198" s="8"/>
      <c r="O198" s="8"/>
      <c r="P198" s="8"/>
    </row>
    <row r="199" spans="1:16" ht="15" customHeight="1">
      <c r="A199" s="301"/>
      <c r="B199" s="312"/>
      <c r="C199" s="153">
        <v>1</v>
      </c>
      <c r="D199" s="152" t="s">
        <v>2507</v>
      </c>
      <c r="E199" s="153" t="s">
        <v>669</v>
      </c>
      <c r="F199" s="152" t="s">
        <v>3247</v>
      </c>
      <c r="G199" s="116"/>
      <c r="H199" s="116"/>
      <c r="I199" s="157"/>
      <c r="K199" s="8"/>
      <c r="L199" s="8"/>
      <c r="M199" s="8"/>
      <c r="N199" s="8"/>
      <c r="O199" s="8"/>
      <c r="P199" s="8"/>
    </row>
    <row r="200" spans="1:16" ht="15" customHeight="1">
      <c r="A200" s="301"/>
      <c r="B200" s="312"/>
      <c r="C200" s="153">
        <v>2</v>
      </c>
      <c r="D200" s="152" t="s">
        <v>2506</v>
      </c>
      <c r="E200" s="153" t="s">
        <v>669</v>
      </c>
      <c r="F200" s="152" t="s">
        <v>3246</v>
      </c>
      <c r="G200" s="116"/>
      <c r="H200" s="116"/>
      <c r="I200" s="157"/>
      <c r="K200" s="8"/>
      <c r="L200" s="8"/>
      <c r="M200" s="8"/>
      <c r="N200" s="8"/>
      <c r="O200" s="8"/>
      <c r="P200" s="8"/>
    </row>
    <row r="201" spans="1:16" ht="15" customHeight="1">
      <c r="A201" s="302"/>
      <c r="B201" s="313"/>
      <c r="C201" s="153">
        <v>3</v>
      </c>
      <c r="D201" s="152" t="s">
        <v>3588</v>
      </c>
      <c r="E201" s="153" t="s">
        <v>669</v>
      </c>
      <c r="F201" s="152" t="s">
        <v>3589</v>
      </c>
      <c r="G201" s="116"/>
      <c r="H201" s="116"/>
      <c r="I201" s="157"/>
      <c r="K201" s="8"/>
      <c r="L201" s="8"/>
      <c r="M201" s="8"/>
      <c r="N201" s="8"/>
      <c r="O201" s="8"/>
      <c r="P201" s="8"/>
    </row>
    <row r="202" spans="1:16" ht="15" customHeight="1">
      <c r="A202" s="293" t="s">
        <v>2504</v>
      </c>
      <c r="B202" s="308" t="s">
        <v>2503</v>
      </c>
      <c r="C202" s="151">
        <v>0</v>
      </c>
      <c r="D202" s="171" t="s">
        <v>2502</v>
      </c>
      <c r="E202" s="170" t="s">
        <v>669</v>
      </c>
      <c r="F202" s="171" t="s">
        <v>3245</v>
      </c>
      <c r="G202" s="116"/>
      <c r="H202" s="116"/>
      <c r="I202" s="157"/>
      <c r="K202" s="8"/>
      <c r="L202" s="8"/>
      <c r="M202" s="8"/>
      <c r="N202" s="8"/>
      <c r="O202" s="8"/>
      <c r="P202" s="8"/>
    </row>
    <row r="203" spans="1:16" ht="15" customHeight="1">
      <c r="A203" s="294"/>
      <c r="B203" s="309"/>
      <c r="C203" s="151">
        <v>1</v>
      </c>
      <c r="D203" s="171" t="s">
        <v>2501</v>
      </c>
      <c r="E203" s="170" t="s">
        <v>669</v>
      </c>
      <c r="F203" s="171" t="s">
        <v>3244</v>
      </c>
      <c r="G203" s="116"/>
      <c r="H203" s="116"/>
      <c r="I203" s="157"/>
      <c r="K203" s="8"/>
      <c r="L203" s="8"/>
      <c r="M203" s="8"/>
      <c r="N203" s="8"/>
      <c r="O203" s="8"/>
      <c r="P203" s="8"/>
    </row>
    <row r="204" spans="1:16" ht="15" customHeight="1">
      <c r="A204" s="294"/>
      <c r="B204" s="309"/>
      <c r="C204" s="151">
        <v>2</v>
      </c>
      <c r="D204" s="171" t="s">
        <v>2500</v>
      </c>
      <c r="E204" s="170" t="s">
        <v>669</v>
      </c>
      <c r="F204" s="171" t="s">
        <v>3243</v>
      </c>
      <c r="G204" s="116"/>
      <c r="H204" s="116"/>
      <c r="I204" s="157"/>
      <c r="K204" s="8"/>
      <c r="L204" s="8"/>
      <c r="M204" s="8"/>
      <c r="N204" s="8"/>
      <c r="O204" s="8"/>
      <c r="P204" s="8"/>
    </row>
    <row r="205" spans="1:16" ht="15" customHeight="1">
      <c r="A205" s="295"/>
      <c r="B205" s="310"/>
      <c r="C205" s="170">
        <v>3</v>
      </c>
      <c r="D205" s="171" t="s">
        <v>3590</v>
      </c>
      <c r="E205" s="170" t="s">
        <v>669</v>
      </c>
      <c r="F205" s="171" t="s">
        <v>3591</v>
      </c>
      <c r="G205" s="116"/>
      <c r="H205" s="116"/>
      <c r="I205" s="157"/>
      <c r="K205" s="8"/>
      <c r="L205" s="8"/>
      <c r="M205" s="8"/>
      <c r="N205" s="8"/>
      <c r="O205" s="8"/>
      <c r="P205" s="8"/>
    </row>
    <row r="206" spans="1:16" ht="15" customHeight="1">
      <c r="A206" s="300" t="s">
        <v>2498</v>
      </c>
      <c r="B206" s="311" t="s">
        <v>2497</v>
      </c>
      <c r="C206" s="153">
        <v>0</v>
      </c>
      <c r="D206" s="152" t="s">
        <v>2496</v>
      </c>
      <c r="E206" s="153" t="s">
        <v>669</v>
      </c>
      <c r="F206" s="152" t="s">
        <v>3242</v>
      </c>
      <c r="G206" s="116"/>
      <c r="H206" s="116"/>
      <c r="I206" s="157"/>
      <c r="K206" s="8"/>
      <c r="L206" s="8"/>
      <c r="M206" s="8"/>
      <c r="N206" s="8"/>
      <c r="O206" s="8"/>
      <c r="P206" s="8"/>
    </row>
    <row r="207" spans="1:16" ht="15" customHeight="1">
      <c r="A207" s="301"/>
      <c r="B207" s="312"/>
      <c r="C207" s="153">
        <v>1</v>
      </c>
      <c r="D207" s="152" t="s">
        <v>2495</v>
      </c>
      <c r="E207" s="153" t="s">
        <v>669</v>
      </c>
      <c r="F207" s="152" t="s">
        <v>3241</v>
      </c>
      <c r="G207" s="116"/>
      <c r="H207" s="116"/>
      <c r="I207" s="157"/>
      <c r="K207" s="8"/>
      <c r="L207" s="8"/>
      <c r="M207" s="8"/>
      <c r="N207" s="8"/>
      <c r="O207" s="8"/>
      <c r="P207" s="8"/>
    </row>
    <row r="208" spans="1:16" ht="15" customHeight="1">
      <c r="A208" s="301"/>
      <c r="B208" s="312"/>
      <c r="C208" s="153">
        <v>2</v>
      </c>
      <c r="D208" s="152" t="s">
        <v>2494</v>
      </c>
      <c r="E208" s="153" t="s">
        <v>669</v>
      </c>
      <c r="F208" s="152" t="s">
        <v>3240</v>
      </c>
      <c r="G208" s="116"/>
      <c r="H208" s="116"/>
      <c r="I208" s="157"/>
      <c r="K208" s="8"/>
      <c r="L208" s="8"/>
      <c r="M208" s="8"/>
      <c r="N208" s="8"/>
      <c r="O208" s="8"/>
      <c r="P208" s="8"/>
    </row>
    <row r="209" spans="1:16" ht="15" customHeight="1">
      <c r="A209" s="302"/>
      <c r="B209" s="313"/>
      <c r="C209" s="153">
        <v>3</v>
      </c>
      <c r="D209" s="152" t="s">
        <v>3592</v>
      </c>
      <c r="E209" s="153" t="s">
        <v>669</v>
      </c>
      <c r="F209" s="152" t="s">
        <v>3593</v>
      </c>
      <c r="G209" s="116"/>
      <c r="H209" s="116"/>
      <c r="I209" s="157"/>
      <c r="K209" s="8"/>
      <c r="L209" s="8"/>
      <c r="M209" s="8"/>
      <c r="N209" s="8"/>
      <c r="O209" s="8"/>
      <c r="P209" s="8"/>
    </row>
    <row r="210" spans="1:16" ht="15" customHeight="1">
      <c r="A210" s="293" t="s">
        <v>2492</v>
      </c>
      <c r="B210" s="308" t="s">
        <v>2491</v>
      </c>
      <c r="C210" s="151">
        <v>0</v>
      </c>
      <c r="D210" s="171" t="s">
        <v>2490</v>
      </c>
      <c r="E210" s="170" t="s">
        <v>669</v>
      </c>
      <c r="F210" s="171" t="s">
        <v>3239</v>
      </c>
      <c r="G210" s="116"/>
      <c r="H210" s="116"/>
      <c r="I210" s="157"/>
      <c r="K210" s="8"/>
      <c r="L210" s="8"/>
      <c r="M210" s="8"/>
      <c r="N210" s="8"/>
      <c r="O210" s="8"/>
      <c r="P210" s="8"/>
    </row>
    <row r="211" spans="1:16" ht="15" customHeight="1">
      <c r="A211" s="294"/>
      <c r="B211" s="309"/>
      <c r="C211" s="151">
        <v>1</v>
      </c>
      <c r="D211" s="171" t="s">
        <v>2489</v>
      </c>
      <c r="E211" s="170" t="s">
        <v>669</v>
      </c>
      <c r="F211" s="171" t="s">
        <v>3238</v>
      </c>
      <c r="G211" s="116"/>
      <c r="H211" s="116"/>
      <c r="I211" s="157"/>
      <c r="K211" s="8"/>
      <c r="L211" s="8"/>
      <c r="M211" s="8"/>
      <c r="N211" s="8"/>
      <c r="O211" s="8"/>
      <c r="P211" s="8"/>
    </row>
    <row r="212" spans="1:16" ht="15" customHeight="1">
      <c r="A212" s="294"/>
      <c r="B212" s="309"/>
      <c r="C212" s="151">
        <v>2</v>
      </c>
      <c r="D212" s="171" t="s">
        <v>2488</v>
      </c>
      <c r="E212" s="170" t="s">
        <v>669</v>
      </c>
      <c r="F212" s="171" t="s">
        <v>3237</v>
      </c>
      <c r="G212" s="116"/>
      <c r="H212" s="116"/>
      <c r="I212" s="157"/>
      <c r="K212" s="8"/>
      <c r="L212" s="8"/>
      <c r="M212" s="8"/>
      <c r="N212" s="8"/>
      <c r="O212" s="8"/>
      <c r="P212" s="8"/>
    </row>
    <row r="213" spans="1:16" ht="15" customHeight="1">
      <c r="A213" s="295"/>
      <c r="B213" s="310"/>
      <c r="C213" s="170">
        <v>3</v>
      </c>
      <c r="D213" s="171" t="s">
        <v>3594</v>
      </c>
      <c r="E213" s="170" t="s">
        <v>669</v>
      </c>
      <c r="F213" s="171" t="s">
        <v>3595</v>
      </c>
      <c r="G213" s="116"/>
      <c r="H213" s="116"/>
      <c r="I213" s="157"/>
      <c r="K213" s="8"/>
      <c r="L213" s="8"/>
      <c r="M213" s="8"/>
      <c r="N213" s="8"/>
      <c r="O213" s="8"/>
      <c r="P213" s="8"/>
    </row>
    <row r="214" spans="1:16" ht="15" customHeight="1">
      <c r="A214" s="300" t="s">
        <v>2486</v>
      </c>
      <c r="B214" s="311" t="s">
        <v>2485</v>
      </c>
      <c r="C214" s="153">
        <v>0</v>
      </c>
      <c r="D214" s="152" t="s">
        <v>2484</v>
      </c>
      <c r="E214" s="153" t="s">
        <v>669</v>
      </c>
      <c r="F214" s="152" t="s">
        <v>3236</v>
      </c>
      <c r="G214" s="116"/>
      <c r="H214" s="116"/>
      <c r="I214" s="157"/>
      <c r="K214" s="8"/>
      <c r="L214" s="8"/>
      <c r="M214" s="8"/>
      <c r="N214" s="8"/>
      <c r="O214" s="8"/>
      <c r="P214" s="8"/>
    </row>
    <row r="215" spans="1:16" ht="15" customHeight="1">
      <c r="A215" s="301"/>
      <c r="B215" s="312"/>
      <c r="C215" s="153">
        <v>1</v>
      </c>
      <c r="D215" s="152" t="s">
        <v>2483</v>
      </c>
      <c r="E215" s="153" t="s">
        <v>669</v>
      </c>
      <c r="F215" s="152" t="s">
        <v>3235</v>
      </c>
      <c r="G215" s="116"/>
      <c r="H215" s="116"/>
      <c r="I215" s="157"/>
      <c r="K215" s="8"/>
      <c r="L215" s="8"/>
      <c r="M215" s="8"/>
      <c r="N215" s="8"/>
      <c r="O215" s="8"/>
      <c r="P215" s="8"/>
    </row>
    <row r="216" spans="1:16" ht="15" customHeight="1">
      <c r="A216" s="301"/>
      <c r="B216" s="312"/>
      <c r="C216" s="153">
        <v>2</v>
      </c>
      <c r="D216" s="152" t="s">
        <v>2482</v>
      </c>
      <c r="E216" s="153" t="s">
        <v>669</v>
      </c>
      <c r="F216" s="152" t="s">
        <v>3234</v>
      </c>
      <c r="G216" s="116"/>
      <c r="H216" s="116"/>
      <c r="I216" s="157"/>
      <c r="K216" s="8"/>
      <c r="L216" s="8"/>
      <c r="M216" s="8"/>
      <c r="N216" s="8"/>
      <c r="O216" s="8"/>
      <c r="P216" s="8"/>
    </row>
    <row r="217" spans="1:16" ht="15" customHeight="1">
      <c r="A217" s="302"/>
      <c r="B217" s="313"/>
      <c r="C217" s="153">
        <v>3</v>
      </c>
      <c r="D217" s="152" t="s">
        <v>3596</v>
      </c>
      <c r="E217" s="153" t="s">
        <v>669</v>
      </c>
      <c r="F217" s="152" t="s">
        <v>3597</v>
      </c>
      <c r="G217" s="116"/>
      <c r="H217" s="116"/>
      <c r="I217" s="157"/>
      <c r="K217" s="8"/>
      <c r="L217" s="8"/>
      <c r="M217" s="8"/>
      <c r="N217" s="8"/>
      <c r="O217" s="8"/>
      <c r="P217" s="8"/>
    </row>
    <row r="218" spans="1:16" ht="15" customHeight="1">
      <c r="A218" s="293" t="s">
        <v>2480</v>
      </c>
      <c r="B218" s="308" t="s">
        <v>2479</v>
      </c>
      <c r="C218" s="151">
        <v>0</v>
      </c>
      <c r="D218" s="171" t="s">
        <v>2478</v>
      </c>
      <c r="E218" s="170" t="s">
        <v>669</v>
      </c>
      <c r="F218" s="171" t="s">
        <v>3233</v>
      </c>
      <c r="G218" s="116"/>
      <c r="H218" s="116"/>
      <c r="I218" s="157"/>
      <c r="K218" s="8"/>
      <c r="L218" s="8"/>
      <c r="M218" s="8"/>
      <c r="N218" s="8"/>
      <c r="O218" s="8"/>
      <c r="P218" s="8"/>
    </row>
    <row r="219" spans="1:16" ht="15" customHeight="1">
      <c r="A219" s="294"/>
      <c r="B219" s="309"/>
      <c r="C219" s="151">
        <v>1</v>
      </c>
      <c r="D219" s="171" t="s">
        <v>2477</v>
      </c>
      <c r="E219" s="170" t="s">
        <v>669</v>
      </c>
      <c r="F219" s="171" t="s">
        <v>3232</v>
      </c>
      <c r="G219" s="116"/>
      <c r="H219" s="116"/>
      <c r="I219" s="157"/>
      <c r="K219" s="8"/>
      <c r="L219" s="8"/>
      <c r="M219" s="8"/>
      <c r="N219" s="8"/>
      <c r="O219" s="8"/>
      <c r="P219" s="8"/>
    </row>
    <row r="220" spans="1:16" ht="15" customHeight="1">
      <c r="A220" s="294"/>
      <c r="B220" s="309"/>
      <c r="C220" s="151">
        <v>2</v>
      </c>
      <c r="D220" s="171" t="s">
        <v>2476</v>
      </c>
      <c r="E220" s="170" t="s">
        <v>669</v>
      </c>
      <c r="F220" s="171" t="s">
        <v>3231</v>
      </c>
      <c r="G220" s="116"/>
      <c r="H220" s="116"/>
      <c r="I220" s="157"/>
      <c r="K220" s="8"/>
      <c r="L220" s="8"/>
      <c r="M220" s="8"/>
      <c r="N220" s="8"/>
      <c r="O220" s="8"/>
      <c r="P220" s="8"/>
    </row>
    <row r="221" spans="1:16" ht="15" customHeight="1">
      <c r="A221" s="295"/>
      <c r="B221" s="310"/>
      <c r="C221" s="170">
        <v>3</v>
      </c>
      <c r="D221" s="171" t="s">
        <v>3598</v>
      </c>
      <c r="E221" s="170" t="s">
        <v>669</v>
      </c>
      <c r="F221" s="171" t="s">
        <v>3599</v>
      </c>
      <c r="G221" s="116"/>
      <c r="H221" s="116"/>
      <c r="I221" s="157"/>
      <c r="K221" s="8"/>
      <c r="L221" s="8"/>
      <c r="M221" s="8"/>
      <c r="N221" s="8"/>
      <c r="O221" s="8"/>
      <c r="P221" s="8"/>
    </row>
    <row r="222" spans="1:16" ht="15" customHeight="1">
      <c r="A222" s="300" t="s">
        <v>2474</v>
      </c>
      <c r="B222" s="311" t="s">
        <v>2473</v>
      </c>
      <c r="C222" s="153">
        <v>0</v>
      </c>
      <c r="D222" s="152" t="s">
        <v>2472</v>
      </c>
      <c r="E222" s="153" t="s">
        <v>669</v>
      </c>
      <c r="F222" s="152" t="s">
        <v>3230</v>
      </c>
      <c r="G222" s="116"/>
      <c r="H222" s="116"/>
      <c r="I222" s="157"/>
      <c r="K222" s="8"/>
      <c r="L222" s="8"/>
      <c r="M222" s="8"/>
      <c r="N222" s="8"/>
      <c r="O222" s="8"/>
      <c r="P222" s="8"/>
    </row>
    <row r="223" spans="1:16" ht="15" customHeight="1">
      <c r="A223" s="301"/>
      <c r="B223" s="312"/>
      <c r="C223" s="153">
        <v>1</v>
      </c>
      <c r="D223" s="152" t="s">
        <v>2471</v>
      </c>
      <c r="E223" s="153" t="s">
        <v>669</v>
      </c>
      <c r="F223" s="152" t="s">
        <v>3229</v>
      </c>
      <c r="G223" s="116"/>
      <c r="H223" s="116"/>
      <c r="I223" s="157"/>
      <c r="K223" s="8"/>
      <c r="L223" s="8"/>
      <c r="M223" s="8"/>
      <c r="N223" s="8"/>
      <c r="O223" s="8"/>
      <c r="P223" s="8"/>
    </row>
    <row r="224" spans="1:16" ht="15" customHeight="1">
      <c r="A224" s="301"/>
      <c r="B224" s="312"/>
      <c r="C224" s="153">
        <v>2</v>
      </c>
      <c r="D224" s="152" t="s">
        <v>2470</v>
      </c>
      <c r="E224" s="153" t="s">
        <v>669</v>
      </c>
      <c r="F224" s="152" t="s">
        <v>3228</v>
      </c>
      <c r="G224" s="116"/>
      <c r="H224" s="116"/>
      <c r="I224" s="157"/>
      <c r="K224" s="8"/>
      <c r="L224" s="8"/>
      <c r="M224" s="8"/>
      <c r="N224" s="8"/>
      <c r="O224" s="8"/>
      <c r="P224" s="8"/>
    </row>
    <row r="225" spans="1:16" ht="15" customHeight="1">
      <c r="A225" s="302"/>
      <c r="B225" s="313"/>
      <c r="C225" s="153">
        <v>3</v>
      </c>
      <c r="D225" s="152" t="s">
        <v>3600</v>
      </c>
      <c r="E225" s="153" t="s">
        <v>669</v>
      </c>
      <c r="F225" s="152" t="s">
        <v>3601</v>
      </c>
      <c r="G225" s="116"/>
      <c r="H225" s="116"/>
      <c r="I225" s="157"/>
      <c r="K225" s="8"/>
      <c r="L225" s="8"/>
      <c r="M225" s="8"/>
      <c r="N225" s="8"/>
      <c r="O225" s="8"/>
      <c r="P225" s="8"/>
    </row>
    <row r="226" spans="1:16" ht="15" customHeight="1">
      <c r="A226" s="293" t="s">
        <v>2468</v>
      </c>
      <c r="B226" s="308" t="s">
        <v>2467</v>
      </c>
      <c r="C226" s="151">
        <v>0</v>
      </c>
      <c r="D226" s="171" t="s">
        <v>2466</v>
      </c>
      <c r="E226" s="170" t="s">
        <v>669</v>
      </c>
      <c r="F226" s="171" t="s">
        <v>3227</v>
      </c>
      <c r="G226" s="116"/>
      <c r="H226" s="116"/>
      <c r="I226" s="157"/>
      <c r="K226" s="8"/>
      <c r="L226" s="8"/>
      <c r="M226" s="8"/>
      <c r="N226" s="8"/>
      <c r="O226" s="8"/>
      <c r="P226" s="8"/>
    </row>
    <row r="227" spans="1:16" ht="15" customHeight="1">
      <c r="A227" s="294"/>
      <c r="B227" s="309"/>
      <c r="C227" s="151">
        <v>1</v>
      </c>
      <c r="D227" s="171" t="s">
        <v>2465</v>
      </c>
      <c r="E227" s="170" t="s">
        <v>669</v>
      </c>
      <c r="F227" s="171" t="s">
        <v>3226</v>
      </c>
      <c r="G227" s="116"/>
      <c r="H227" s="116"/>
      <c r="I227" s="157"/>
      <c r="K227" s="8"/>
      <c r="L227" s="8"/>
      <c r="M227" s="8"/>
      <c r="N227" s="8"/>
      <c r="O227" s="8"/>
      <c r="P227" s="8"/>
    </row>
    <row r="228" spans="1:16" ht="15" customHeight="1">
      <c r="A228" s="294"/>
      <c r="B228" s="309"/>
      <c r="C228" s="151">
        <v>2</v>
      </c>
      <c r="D228" s="171" t="s">
        <v>2464</v>
      </c>
      <c r="E228" s="170" t="s">
        <v>669</v>
      </c>
      <c r="F228" s="171" t="s">
        <v>3225</v>
      </c>
      <c r="G228" s="116"/>
      <c r="H228" s="116"/>
      <c r="I228" s="157"/>
      <c r="K228" s="8"/>
      <c r="L228" s="8"/>
      <c r="M228" s="8"/>
      <c r="N228" s="8"/>
      <c r="O228" s="8"/>
      <c r="P228" s="8"/>
    </row>
    <row r="229" spans="1:16" ht="15" customHeight="1">
      <c r="A229" s="295"/>
      <c r="B229" s="310"/>
      <c r="C229" s="170">
        <v>3</v>
      </c>
      <c r="D229" s="171" t="s">
        <v>3602</v>
      </c>
      <c r="E229" s="170" t="s">
        <v>669</v>
      </c>
      <c r="F229" s="171" t="s">
        <v>3603</v>
      </c>
      <c r="G229" s="116"/>
      <c r="H229" s="116"/>
      <c r="I229" s="157"/>
      <c r="K229" s="8"/>
      <c r="L229" s="8"/>
      <c r="M229" s="8"/>
      <c r="N229" s="8"/>
      <c r="O229" s="8"/>
      <c r="P229" s="8"/>
    </row>
    <row r="230" spans="1:16" ht="15" customHeight="1">
      <c r="A230" s="300" t="s">
        <v>2462</v>
      </c>
      <c r="B230" s="311" t="s">
        <v>2461</v>
      </c>
      <c r="C230" s="153">
        <v>0</v>
      </c>
      <c r="D230" s="152" t="s">
        <v>2460</v>
      </c>
      <c r="E230" s="153" t="s">
        <v>669</v>
      </c>
      <c r="F230" s="152" t="s">
        <v>3224</v>
      </c>
      <c r="G230" s="116"/>
      <c r="H230" s="116"/>
      <c r="I230" s="157"/>
      <c r="K230" s="8"/>
      <c r="L230" s="8"/>
      <c r="M230" s="8"/>
      <c r="N230" s="8"/>
      <c r="O230" s="8"/>
      <c r="P230" s="8"/>
    </row>
    <row r="231" spans="1:16" ht="15" customHeight="1">
      <c r="A231" s="301"/>
      <c r="B231" s="312"/>
      <c r="C231" s="153">
        <v>1</v>
      </c>
      <c r="D231" s="152" t="s">
        <v>2459</v>
      </c>
      <c r="E231" s="153" t="s">
        <v>669</v>
      </c>
      <c r="F231" s="152" t="s">
        <v>3223</v>
      </c>
      <c r="G231" s="116"/>
      <c r="H231" s="116"/>
      <c r="I231" s="157"/>
      <c r="K231" s="8"/>
      <c r="L231" s="8"/>
      <c r="M231" s="8"/>
      <c r="N231" s="8"/>
      <c r="O231" s="8"/>
      <c r="P231" s="8"/>
    </row>
    <row r="232" spans="1:16" ht="15" customHeight="1">
      <c r="A232" s="301"/>
      <c r="B232" s="312"/>
      <c r="C232" s="153">
        <v>2</v>
      </c>
      <c r="D232" s="152" t="s">
        <v>2458</v>
      </c>
      <c r="E232" s="153" t="s">
        <v>1123</v>
      </c>
      <c r="F232" s="152" t="s">
        <v>3222</v>
      </c>
      <c r="G232" s="116"/>
      <c r="H232" s="116"/>
      <c r="I232" s="157"/>
      <c r="K232" s="8"/>
      <c r="L232" s="8"/>
      <c r="M232" s="8"/>
      <c r="N232" s="8"/>
      <c r="O232" s="8"/>
      <c r="P232" s="8"/>
    </row>
    <row r="233" spans="1:16" ht="15" customHeight="1">
      <c r="A233" s="302"/>
      <c r="B233" s="313"/>
      <c r="C233" s="153">
        <v>3</v>
      </c>
      <c r="D233" s="152" t="s">
        <v>3604</v>
      </c>
      <c r="E233" s="153" t="s">
        <v>1123</v>
      </c>
      <c r="F233" s="152" t="s">
        <v>3605</v>
      </c>
      <c r="G233" s="116"/>
      <c r="H233" s="116"/>
      <c r="I233" s="157"/>
      <c r="K233" s="8"/>
      <c r="L233" s="8"/>
      <c r="M233" s="8"/>
      <c r="N233" s="8"/>
      <c r="O233" s="8"/>
      <c r="P233" s="8"/>
    </row>
    <row r="234" spans="1:16" ht="15" customHeight="1">
      <c r="A234" s="293" t="s">
        <v>2456</v>
      </c>
      <c r="B234" s="308" t="s">
        <v>2455</v>
      </c>
      <c r="C234" s="151">
        <v>0</v>
      </c>
      <c r="D234" s="171" t="s">
        <v>2454</v>
      </c>
      <c r="E234" s="170" t="s">
        <v>669</v>
      </c>
      <c r="F234" s="171" t="s">
        <v>3221</v>
      </c>
      <c r="G234" s="116"/>
      <c r="H234" s="116"/>
      <c r="I234" s="157"/>
      <c r="K234" s="8"/>
      <c r="L234" s="8"/>
      <c r="M234" s="8"/>
      <c r="N234" s="8"/>
      <c r="O234" s="8"/>
      <c r="P234" s="8"/>
    </row>
    <row r="235" spans="1:16" ht="15" customHeight="1">
      <c r="A235" s="294"/>
      <c r="B235" s="309"/>
      <c r="C235" s="151">
        <v>1</v>
      </c>
      <c r="D235" s="171" t="s">
        <v>2453</v>
      </c>
      <c r="E235" s="170" t="s">
        <v>669</v>
      </c>
      <c r="F235" s="171" t="s">
        <v>3220</v>
      </c>
      <c r="G235" s="116"/>
      <c r="H235" s="116"/>
      <c r="I235" s="157"/>
      <c r="K235" s="8"/>
      <c r="L235" s="8"/>
      <c r="M235" s="8"/>
      <c r="N235" s="8"/>
      <c r="O235" s="8"/>
      <c r="P235" s="8"/>
    </row>
    <row r="236" spans="1:16" ht="15" customHeight="1">
      <c r="A236" s="294"/>
      <c r="B236" s="309"/>
      <c r="C236" s="151">
        <v>2</v>
      </c>
      <c r="D236" s="171" t="s">
        <v>2452</v>
      </c>
      <c r="E236" s="170" t="s">
        <v>1123</v>
      </c>
      <c r="F236" s="171" t="s">
        <v>3219</v>
      </c>
      <c r="G236" s="116"/>
      <c r="H236" s="116"/>
      <c r="I236" s="157"/>
      <c r="K236" s="8"/>
      <c r="L236" s="8"/>
      <c r="M236" s="8"/>
      <c r="N236" s="8"/>
      <c r="O236" s="8"/>
      <c r="P236" s="8"/>
    </row>
    <row r="237" spans="1:16" ht="15" customHeight="1">
      <c r="A237" s="295"/>
      <c r="B237" s="310"/>
      <c r="C237" s="170">
        <v>3</v>
      </c>
      <c r="D237" s="171" t="s">
        <v>3606</v>
      </c>
      <c r="E237" s="170" t="s">
        <v>1123</v>
      </c>
      <c r="F237" s="171" t="s">
        <v>3607</v>
      </c>
      <c r="G237" s="116"/>
      <c r="H237" s="116"/>
      <c r="I237" s="157"/>
      <c r="K237" s="8"/>
      <c r="L237" s="8"/>
      <c r="M237" s="8"/>
      <c r="N237" s="8"/>
      <c r="O237" s="8"/>
      <c r="P237" s="8"/>
    </row>
    <row r="238" spans="1:16" ht="15" customHeight="1">
      <c r="A238" s="300" t="s">
        <v>2450</v>
      </c>
      <c r="B238" s="311" t="s">
        <v>2449</v>
      </c>
      <c r="C238" s="153">
        <v>0</v>
      </c>
      <c r="D238" s="152" t="s">
        <v>546</v>
      </c>
      <c r="E238" s="153" t="s">
        <v>2874</v>
      </c>
      <c r="F238" s="152" t="s">
        <v>3218</v>
      </c>
      <c r="G238" s="116"/>
      <c r="H238" s="116"/>
      <c r="I238" s="157"/>
      <c r="K238" s="8"/>
      <c r="L238" s="8"/>
      <c r="M238" s="8"/>
      <c r="N238" s="8"/>
      <c r="O238" s="8"/>
      <c r="P238" s="8"/>
    </row>
    <row r="239" spans="1:16" ht="15" customHeight="1">
      <c r="A239" s="302"/>
      <c r="B239" s="313"/>
      <c r="C239" s="153">
        <v>1</v>
      </c>
      <c r="D239" s="152" t="s">
        <v>3608</v>
      </c>
      <c r="E239" s="153" t="s">
        <v>2874</v>
      </c>
      <c r="F239" s="152" t="s">
        <v>3609</v>
      </c>
      <c r="G239" s="116"/>
      <c r="H239" s="116"/>
      <c r="I239" s="157"/>
      <c r="K239" s="8"/>
      <c r="L239" s="8"/>
      <c r="M239" s="8"/>
      <c r="N239" s="8"/>
      <c r="O239" s="8"/>
      <c r="P239" s="8"/>
    </row>
    <row r="240" spans="1:16" ht="15" customHeight="1">
      <c r="A240" s="293" t="s">
        <v>2447</v>
      </c>
      <c r="B240" s="308" t="s">
        <v>2446</v>
      </c>
      <c r="C240" s="151">
        <v>0</v>
      </c>
      <c r="D240" s="171" t="s">
        <v>545</v>
      </c>
      <c r="E240" s="170" t="s">
        <v>2874</v>
      </c>
      <c r="F240" s="171" t="s">
        <v>3217</v>
      </c>
      <c r="G240" s="116"/>
      <c r="H240" s="116"/>
      <c r="I240" s="157"/>
      <c r="K240" s="8"/>
      <c r="L240" s="8"/>
      <c r="M240" s="8"/>
      <c r="N240" s="8"/>
      <c r="O240" s="8"/>
      <c r="P240" s="8"/>
    </row>
    <row r="241" spans="1:16" ht="15" customHeight="1">
      <c r="A241" s="295"/>
      <c r="B241" s="310"/>
      <c r="C241" s="170">
        <v>1</v>
      </c>
      <c r="D241" s="171" t="s">
        <v>3610</v>
      </c>
      <c r="E241" s="170" t="s">
        <v>2874</v>
      </c>
      <c r="F241" s="171" t="s">
        <v>3611</v>
      </c>
      <c r="G241" s="116"/>
      <c r="H241" s="116"/>
      <c r="I241" s="157"/>
      <c r="K241" s="8"/>
      <c r="L241" s="8"/>
      <c r="M241" s="8"/>
      <c r="N241" s="8"/>
      <c r="O241" s="8"/>
      <c r="P241" s="8"/>
    </row>
    <row r="242" spans="1:16" ht="15" customHeight="1">
      <c r="A242" s="300" t="s">
        <v>2444</v>
      </c>
      <c r="B242" s="311" t="s">
        <v>2443</v>
      </c>
      <c r="C242" s="153">
        <v>0</v>
      </c>
      <c r="D242" s="152" t="s">
        <v>2442</v>
      </c>
      <c r="E242" s="153" t="s">
        <v>2874</v>
      </c>
      <c r="F242" s="152" t="s">
        <v>3216</v>
      </c>
      <c r="G242" s="116"/>
      <c r="H242" s="116"/>
      <c r="I242" s="157"/>
      <c r="K242" s="8"/>
      <c r="L242" s="8"/>
      <c r="M242" s="8"/>
      <c r="N242" s="8"/>
      <c r="O242" s="8"/>
      <c r="P242" s="8"/>
    </row>
    <row r="243" spans="1:16" ht="15" customHeight="1">
      <c r="A243" s="301"/>
      <c r="B243" s="312"/>
      <c r="C243" s="153">
        <v>1</v>
      </c>
      <c r="D243" s="152" t="s">
        <v>2441</v>
      </c>
      <c r="E243" s="153" t="s">
        <v>2874</v>
      </c>
      <c r="F243" s="152" t="s">
        <v>3215</v>
      </c>
      <c r="G243" s="116"/>
      <c r="H243" s="116"/>
      <c r="I243" s="157"/>
      <c r="K243" s="8"/>
      <c r="L243" s="8"/>
      <c r="M243" s="8"/>
      <c r="N243" s="8"/>
      <c r="O243" s="8"/>
      <c r="P243" s="8"/>
    </row>
    <row r="244" spans="1:16" ht="15" customHeight="1">
      <c r="A244" s="301"/>
      <c r="B244" s="312"/>
      <c r="C244" s="153">
        <v>2</v>
      </c>
      <c r="D244" s="152" t="s">
        <v>2440</v>
      </c>
      <c r="E244" s="153" t="s">
        <v>2874</v>
      </c>
      <c r="F244" s="152" t="s">
        <v>3214</v>
      </c>
      <c r="G244" s="116"/>
      <c r="H244" s="116"/>
      <c r="I244" s="157"/>
      <c r="K244" s="8"/>
      <c r="L244" s="8"/>
      <c r="M244" s="8"/>
      <c r="N244" s="8"/>
      <c r="O244" s="8"/>
      <c r="P244" s="8"/>
    </row>
    <row r="245" spans="1:16" ht="15" customHeight="1">
      <c r="A245" s="302"/>
      <c r="B245" s="313"/>
      <c r="C245" s="153">
        <v>3</v>
      </c>
      <c r="D245" s="152" t="s">
        <v>3612</v>
      </c>
      <c r="E245" s="153" t="s">
        <v>2874</v>
      </c>
      <c r="F245" s="152" t="s">
        <v>3613</v>
      </c>
      <c r="G245" s="116"/>
      <c r="H245" s="116"/>
      <c r="I245" s="157"/>
      <c r="K245" s="8"/>
      <c r="L245" s="8"/>
      <c r="M245" s="8"/>
      <c r="N245" s="8"/>
      <c r="O245" s="8"/>
      <c r="P245" s="8"/>
    </row>
    <row r="246" spans="1:16" ht="15" customHeight="1">
      <c r="A246" s="293" t="s">
        <v>2438</v>
      </c>
      <c r="B246" s="308" t="s">
        <v>2437</v>
      </c>
      <c r="C246" s="151">
        <v>0</v>
      </c>
      <c r="D246" s="171" t="s">
        <v>2436</v>
      </c>
      <c r="E246" s="170" t="s">
        <v>2874</v>
      </c>
      <c r="F246" s="171" t="s">
        <v>3213</v>
      </c>
      <c r="G246" s="116"/>
      <c r="H246" s="116"/>
      <c r="I246" s="157"/>
      <c r="K246" s="8"/>
      <c r="L246" s="8"/>
      <c r="M246" s="8"/>
      <c r="N246" s="8"/>
      <c r="O246" s="8"/>
      <c r="P246" s="8"/>
    </row>
    <row r="247" spans="1:16" ht="15" customHeight="1">
      <c r="A247" s="294"/>
      <c r="B247" s="309"/>
      <c r="C247" s="151">
        <v>1</v>
      </c>
      <c r="D247" s="171" t="s">
        <v>2435</v>
      </c>
      <c r="E247" s="170" t="s">
        <v>2874</v>
      </c>
      <c r="F247" s="171" t="s">
        <v>3212</v>
      </c>
      <c r="G247" s="116"/>
      <c r="H247" s="116"/>
      <c r="I247" s="157"/>
      <c r="K247" s="8"/>
      <c r="L247" s="8"/>
      <c r="M247" s="8"/>
      <c r="N247" s="8"/>
      <c r="O247" s="8"/>
      <c r="P247" s="8"/>
    </row>
    <row r="248" spans="1:16" ht="15" customHeight="1">
      <c r="A248" s="294"/>
      <c r="B248" s="309"/>
      <c r="C248" s="151">
        <v>2</v>
      </c>
      <c r="D248" s="171" t="s">
        <v>2434</v>
      </c>
      <c r="E248" s="170" t="s">
        <v>2874</v>
      </c>
      <c r="F248" s="171" t="s">
        <v>3211</v>
      </c>
      <c r="G248" s="116"/>
      <c r="H248" s="116"/>
      <c r="I248" s="157"/>
      <c r="K248" s="8"/>
      <c r="L248" s="8"/>
      <c r="M248" s="8"/>
      <c r="N248" s="8"/>
      <c r="O248" s="8"/>
      <c r="P248" s="8"/>
    </row>
    <row r="249" spans="1:16" ht="15" customHeight="1">
      <c r="A249" s="295"/>
      <c r="B249" s="310"/>
      <c r="C249" s="170">
        <v>3</v>
      </c>
      <c r="D249" s="171" t="s">
        <v>3614</v>
      </c>
      <c r="E249" s="170" t="s">
        <v>2874</v>
      </c>
      <c r="F249" s="171" t="s">
        <v>3615</v>
      </c>
      <c r="G249" s="116"/>
      <c r="H249" s="116"/>
      <c r="I249" s="157"/>
      <c r="K249" s="8"/>
      <c r="L249" s="8"/>
      <c r="M249" s="8"/>
      <c r="N249" s="8"/>
      <c r="O249" s="8"/>
      <c r="P249" s="8"/>
    </row>
    <row r="250" spans="1:16" ht="15" customHeight="1">
      <c r="A250" s="300" t="s">
        <v>2432</v>
      </c>
      <c r="B250" s="311" t="s">
        <v>2431</v>
      </c>
      <c r="C250" s="153">
        <v>0</v>
      </c>
      <c r="D250" s="152" t="s">
        <v>2430</v>
      </c>
      <c r="E250" s="153" t="s">
        <v>2874</v>
      </c>
      <c r="F250" s="152" t="s">
        <v>3210</v>
      </c>
      <c r="G250" s="116"/>
      <c r="H250" s="116"/>
      <c r="I250" s="157"/>
      <c r="K250" s="8"/>
      <c r="L250" s="8"/>
      <c r="M250" s="8"/>
      <c r="N250" s="8"/>
      <c r="O250" s="8"/>
      <c r="P250" s="8"/>
    </row>
    <row r="251" spans="1:16" ht="15" customHeight="1">
      <c r="A251" s="301"/>
      <c r="B251" s="312"/>
      <c r="C251" s="153">
        <v>1</v>
      </c>
      <c r="D251" s="152" t="s">
        <v>2429</v>
      </c>
      <c r="E251" s="153" t="s">
        <v>2874</v>
      </c>
      <c r="F251" s="152" t="s">
        <v>3209</v>
      </c>
      <c r="G251" s="116"/>
      <c r="H251" s="116"/>
      <c r="I251" s="157"/>
      <c r="K251" s="8"/>
      <c r="L251" s="8"/>
      <c r="M251" s="8"/>
      <c r="N251" s="8"/>
      <c r="O251" s="8"/>
      <c r="P251" s="8"/>
    </row>
    <row r="252" spans="1:16" ht="15" customHeight="1">
      <c r="A252" s="301"/>
      <c r="B252" s="312"/>
      <c r="C252" s="153">
        <v>2</v>
      </c>
      <c r="D252" s="152" t="s">
        <v>2428</v>
      </c>
      <c r="E252" s="153" t="s">
        <v>2874</v>
      </c>
      <c r="F252" s="152" t="s">
        <v>3208</v>
      </c>
      <c r="G252" s="116"/>
      <c r="H252" s="116"/>
      <c r="I252" s="157"/>
      <c r="K252" s="8"/>
      <c r="L252" s="8"/>
      <c r="M252" s="8"/>
      <c r="N252" s="8"/>
      <c r="O252" s="8"/>
      <c r="P252" s="8"/>
    </row>
    <row r="253" spans="1:16" ht="15" customHeight="1">
      <c r="A253" s="302"/>
      <c r="B253" s="313"/>
      <c r="C253" s="153">
        <v>3</v>
      </c>
      <c r="D253" s="152" t="s">
        <v>3616</v>
      </c>
      <c r="E253" s="153" t="s">
        <v>2874</v>
      </c>
      <c r="F253" s="152" t="s">
        <v>3617</v>
      </c>
      <c r="G253" s="116"/>
      <c r="H253" s="116"/>
      <c r="I253" s="157"/>
      <c r="K253" s="8"/>
      <c r="L253" s="8"/>
      <c r="M253" s="8"/>
      <c r="N253" s="8"/>
      <c r="O253" s="8"/>
      <c r="P253" s="8"/>
    </row>
    <row r="254" spans="1:16" ht="15" customHeight="1">
      <c r="A254" s="293" t="s">
        <v>2426</v>
      </c>
      <c r="B254" s="308" t="s">
        <v>2425</v>
      </c>
      <c r="C254" s="151">
        <v>0</v>
      </c>
      <c r="D254" s="171" t="s">
        <v>2424</v>
      </c>
      <c r="E254" s="170" t="s">
        <v>2874</v>
      </c>
      <c r="F254" s="171" t="s">
        <v>3207</v>
      </c>
      <c r="G254" s="116"/>
      <c r="H254" s="116"/>
      <c r="I254" s="157"/>
      <c r="K254" s="8"/>
      <c r="L254" s="8"/>
      <c r="M254" s="8"/>
      <c r="N254" s="8"/>
      <c r="O254" s="8"/>
      <c r="P254" s="8"/>
    </row>
    <row r="255" spans="1:16" ht="15" customHeight="1">
      <c r="A255" s="294"/>
      <c r="B255" s="309"/>
      <c r="C255" s="151">
        <v>1</v>
      </c>
      <c r="D255" s="171" t="s">
        <v>2423</v>
      </c>
      <c r="E255" s="170" t="s">
        <v>2874</v>
      </c>
      <c r="F255" s="171" t="s">
        <v>3206</v>
      </c>
      <c r="G255" s="116"/>
      <c r="H255" s="116"/>
      <c r="I255" s="157"/>
      <c r="K255" s="8"/>
      <c r="L255" s="8"/>
      <c r="M255" s="8"/>
      <c r="N255" s="8"/>
      <c r="O255" s="8"/>
      <c r="P255" s="8"/>
    </row>
    <row r="256" spans="1:16" ht="15" customHeight="1">
      <c r="A256" s="294"/>
      <c r="B256" s="309"/>
      <c r="C256" s="151">
        <v>2</v>
      </c>
      <c r="D256" s="171" t="s">
        <v>2422</v>
      </c>
      <c r="E256" s="170" t="s">
        <v>2874</v>
      </c>
      <c r="F256" s="171" t="s">
        <v>3205</v>
      </c>
      <c r="G256" s="116"/>
      <c r="H256" s="116"/>
      <c r="I256" s="157"/>
      <c r="K256" s="8"/>
      <c r="L256" s="8"/>
      <c r="M256" s="8"/>
      <c r="N256" s="8"/>
      <c r="O256" s="8"/>
      <c r="P256" s="8"/>
    </row>
    <row r="257" spans="1:16" ht="15" customHeight="1">
      <c r="A257" s="295"/>
      <c r="B257" s="310"/>
      <c r="C257" s="170">
        <v>3</v>
      </c>
      <c r="D257" s="171" t="s">
        <v>3618</v>
      </c>
      <c r="E257" s="170" t="s">
        <v>2874</v>
      </c>
      <c r="F257" s="171" t="s">
        <v>3619</v>
      </c>
      <c r="G257" s="116"/>
      <c r="H257" s="116"/>
      <c r="I257" s="157"/>
      <c r="K257" s="8"/>
      <c r="L257" s="8"/>
      <c r="M257" s="8"/>
      <c r="N257" s="8"/>
      <c r="O257" s="8"/>
      <c r="P257" s="8"/>
    </row>
    <row r="258" spans="1:16" ht="15" customHeight="1">
      <c r="A258" s="300" t="s">
        <v>2420</v>
      </c>
      <c r="B258" s="311" t="s">
        <v>2419</v>
      </c>
      <c r="C258" s="153">
        <v>0</v>
      </c>
      <c r="D258" s="152" t="s">
        <v>2418</v>
      </c>
      <c r="E258" s="153" t="s">
        <v>2874</v>
      </c>
      <c r="F258" s="152" t="s">
        <v>3204</v>
      </c>
      <c r="G258" s="116"/>
      <c r="H258" s="116"/>
      <c r="I258" s="157"/>
      <c r="K258" s="8"/>
      <c r="L258" s="8"/>
      <c r="M258" s="8"/>
      <c r="N258" s="8"/>
      <c r="O258" s="8"/>
      <c r="P258" s="8"/>
    </row>
    <row r="259" spans="1:16" ht="15" customHeight="1">
      <c r="A259" s="301"/>
      <c r="B259" s="312"/>
      <c r="C259" s="153">
        <v>1</v>
      </c>
      <c r="D259" s="152" t="s">
        <v>2417</v>
      </c>
      <c r="E259" s="153" t="s">
        <v>2874</v>
      </c>
      <c r="F259" s="152" t="s">
        <v>3203</v>
      </c>
      <c r="G259" s="116"/>
      <c r="H259" s="116"/>
      <c r="I259" s="157"/>
      <c r="K259" s="8"/>
      <c r="L259" s="8"/>
      <c r="M259" s="8"/>
      <c r="N259" s="8"/>
      <c r="O259" s="8"/>
      <c r="P259" s="8"/>
    </row>
    <row r="260" spans="1:16" ht="15" customHeight="1">
      <c r="A260" s="301"/>
      <c r="B260" s="312"/>
      <c r="C260" s="153">
        <v>2</v>
      </c>
      <c r="D260" s="152" t="s">
        <v>2416</v>
      </c>
      <c r="E260" s="153" t="s">
        <v>2874</v>
      </c>
      <c r="F260" s="152" t="s">
        <v>3202</v>
      </c>
      <c r="G260" s="116"/>
      <c r="H260" s="116"/>
      <c r="I260" s="157"/>
      <c r="K260" s="8"/>
      <c r="L260" s="8"/>
      <c r="M260" s="8"/>
      <c r="N260" s="8"/>
      <c r="O260" s="8"/>
      <c r="P260" s="8"/>
    </row>
    <row r="261" spans="1:16" ht="15" customHeight="1">
      <c r="A261" s="302"/>
      <c r="B261" s="313"/>
      <c r="C261" s="153">
        <v>3</v>
      </c>
      <c r="D261" s="152" t="s">
        <v>3620</v>
      </c>
      <c r="E261" s="153" t="s">
        <v>2874</v>
      </c>
      <c r="F261" s="152" t="s">
        <v>3621</v>
      </c>
      <c r="G261" s="116"/>
      <c r="H261" s="116"/>
      <c r="I261" s="157"/>
      <c r="K261" s="8"/>
      <c r="L261" s="8"/>
      <c r="M261" s="8"/>
      <c r="N261" s="8"/>
      <c r="O261" s="8"/>
      <c r="P261" s="8"/>
    </row>
    <row r="262" spans="1:16" ht="15" customHeight="1">
      <c r="A262" s="293" t="s">
        <v>2414</v>
      </c>
      <c r="B262" s="308" t="s">
        <v>2413</v>
      </c>
      <c r="C262" s="151">
        <v>0</v>
      </c>
      <c r="D262" s="171" t="s">
        <v>2412</v>
      </c>
      <c r="E262" s="170" t="s">
        <v>2874</v>
      </c>
      <c r="F262" s="171" t="s">
        <v>3201</v>
      </c>
      <c r="G262" s="116"/>
      <c r="H262" s="116"/>
      <c r="I262" s="157"/>
      <c r="K262" s="8"/>
      <c r="L262" s="8"/>
      <c r="M262" s="8"/>
      <c r="N262" s="8"/>
      <c r="O262" s="8"/>
      <c r="P262" s="8"/>
    </row>
    <row r="263" spans="1:16" ht="15" customHeight="1">
      <c r="A263" s="294"/>
      <c r="B263" s="309"/>
      <c r="C263" s="151">
        <v>1</v>
      </c>
      <c r="D263" s="171" t="s">
        <v>2411</v>
      </c>
      <c r="E263" s="170" t="s">
        <v>2874</v>
      </c>
      <c r="F263" s="171" t="s">
        <v>3200</v>
      </c>
      <c r="G263" s="116"/>
      <c r="H263" s="116"/>
      <c r="I263" s="157"/>
      <c r="K263" s="8"/>
      <c r="L263" s="8"/>
      <c r="M263" s="8"/>
      <c r="N263" s="8"/>
      <c r="O263" s="8"/>
      <c r="P263" s="8"/>
    </row>
    <row r="264" spans="1:16" ht="15" customHeight="1">
      <c r="A264" s="294"/>
      <c r="B264" s="309"/>
      <c r="C264" s="151">
        <v>2</v>
      </c>
      <c r="D264" s="171" t="s">
        <v>2410</v>
      </c>
      <c r="E264" s="170" t="s">
        <v>2874</v>
      </c>
      <c r="F264" s="171" t="s">
        <v>3199</v>
      </c>
      <c r="G264" s="116"/>
      <c r="H264" s="116"/>
      <c r="I264" s="157"/>
      <c r="K264" s="8"/>
      <c r="L264" s="8"/>
      <c r="M264" s="8"/>
      <c r="N264" s="8"/>
      <c r="O264" s="8"/>
      <c r="P264" s="8"/>
    </row>
    <row r="265" spans="1:16" ht="15" customHeight="1">
      <c r="A265" s="295"/>
      <c r="B265" s="310"/>
      <c r="C265" s="170">
        <v>3</v>
      </c>
      <c r="D265" s="171" t="s">
        <v>3622</v>
      </c>
      <c r="E265" s="170" t="s">
        <v>2874</v>
      </c>
      <c r="F265" s="171" t="s">
        <v>3623</v>
      </c>
      <c r="G265" s="116"/>
      <c r="H265" s="116"/>
      <c r="I265" s="157"/>
      <c r="K265" s="8"/>
      <c r="L265" s="8"/>
      <c r="M265" s="8"/>
      <c r="N265" s="8"/>
      <c r="O265" s="8"/>
      <c r="P265" s="8"/>
    </row>
    <row r="266" spans="1:16" ht="15" customHeight="1">
      <c r="A266" s="272" t="s">
        <v>2408</v>
      </c>
      <c r="B266" s="314" t="s">
        <v>2407</v>
      </c>
      <c r="C266" s="180">
        <v>0</v>
      </c>
      <c r="D266" s="181" t="s">
        <v>2406</v>
      </c>
      <c r="E266" s="180" t="s">
        <v>2874</v>
      </c>
      <c r="F266" s="181" t="s">
        <v>3198</v>
      </c>
      <c r="G266" s="116"/>
      <c r="H266" s="116"/>
      <c r="I266" s="157"/>
      <c r="K266" s="8"/>
      <c r="L266" s="8"/>
      <c r="M266" s="8"/>
      <c r="N266" s="8"/>
      <c r="O266" s="8"/>
      <c r="P266" s="8"/>
    </row>
    <row r="267" spans="1:16" ht="15" customHeight="1">
      <c r="A267" s="292"/>
      <c r="B267" s="315"/>
      <c r="C267" s="180">
        <v>1</v>
      </c>
      <c r="D267" s="181" t="s">
        <v>2405</v>
      </c>
      <c r="E267" s="180" t="s">
        <v>2874</v>
      </c>
      <c r="F267" s="181" t="s">
        <v>3197</v>
      </c>
      <c r="G267" s="116"/>
      <c r="H267" s="116"/>
      <c r="I267" s="157"/>
      <c r="K267" s="8"/>
      <c r="L267" s="8"/>
      <c r="M267" s="8"/>
      <c r="N267" s="8"/>
      <c r="O267" s="8"/>
      <c r="P267" s="8"/>
    </row>
    <row r="268" spans="1:16" ht="15" customHeight="1">
      <c r="A268" s="292"/>
      <c r="B268" s="315"/>
      <c r="C268" s="180">
        <v>2</v>
      </c>
      <c r="D268" s="181" t="s">
        <v>2404</v>
      </c>
      <c r="E268" s="180" t="s">
        <v>2874</v>
      </c>
      <c r="F268" s="181" t="s">
        <v>3196</v>
      </c>
      <c r="G268" s="116"/>
      <c r="H268" s="116"/>
      <c r="I268" s="157"/>
      <c r="K268" s="8"/>
      <c r="L268" s="8"/>
      <c r="M268" s="8"/>
      <c r="N268" s="8"/>
      <c r="O268" s="8"/>
      <c r="P268" s="8"/>
    </row>
    <row r="269" spans="1:16" ht="15" customHeight="1">
      <c r="A269" s="273"/>
      <c r="B269" s="316"/>
      <c r="C269" s="180">
        <v>3</v>
      </c>
      <c r="D269" s="181" t="s">
        <v>3624</v>
      </c>
      <c r="E269" s="180" t="s">
        <v>2874</v>
      </c>
      <c r="F269" s="181" t="s">
        <v>3625</v>
      </c>
      <c r="G269" s="116"/>
      <c r="H269" s="116"/>
      <c r="I269" s="157"/>
      <c r="K269" s="8"/>
      <c r="L269" s="8"/>
      <c r="M269" s="8"/>
      <c r="N269" s="8"/>
      <c r="O269" s="8"/>
      <c r="P269" s="8"/>
    </row>
    <row r="270" spans="1:16" ht="15" customHeight="1">
      <c r="A270" s="274" t="s">
        <v>2402</v>
      </c>
      <c r="B270" s="317" t="s">
        <v>2401</v>
      </c>
      <c r="C270" s="184">
        <v>0</v>
      </c>
      <c r="D270" s="185" t="s">
        <v>2400</v>
      </c>
      <c r="E270" s="184" t="s">
        <v>2874</v>
      </c>
      <c r="F270" s="185" t="s">
        <v>3195</v>
      </c>
      <c r="G270" s="116"/>
      <c r="H270" s="116"/>
      <c r="I270" s="157"/>
      <c r="K270" s="8"/>
      <c r="L270" s="8"/>
      <c r="M270" s="8"/>
      <c r="N270" s="8"/>
      <c r="O270" s="8"/>
      <c r="P270" s="8"/>
    </row>
    <row r="271" spans="1:16" ht="15" customHeight="1">
      <c r="A271" s="299"/>
      <c r="B271" s="318"/>
      <c r="C271" s="184">
        <v>1</v>
      </c>
      <c r="D271" s="185" t="s">
        <v>2399</v>
      </c>
      <c r="E271" s="184" t="s">
        <v>2874</v>
      </c>
      <c r="F271" s="185" t="s">
        <v>3194</v>
      </c>
      <c r="G271" s="116"/>
      <c r="H271" s="116"/>
      <c r="I271" s="157"/>
      <c r="K271" s="8"/>
      <c r="L271" s="8"/>
      <c r="M271" s="8"/>
      <c r="N271" s="8"/>
      <c r="O271" s="8"/>
      <c r="P271" s="8"/>
    </row>
    <row r="272" spans="1:16" ht="15" customHeight="1">
      <c r="A272" s="299"/>
      <c r="B272" s="318"/>
      <c r="C272" s="184">
        <v>2</v>
      </c>
      <c r="D272" s="185" t="s">
        <v>2398</v>
      </c>
      <c r="E272" s="184" t="s">
        <v>2874</v>
      </c>
      <c r="F272" s="185" t="s">
        <v>3193</v>
      </c>
      <c r="G272" s="116"/>
      <c r="H272" s="116"/>
      <c r="I272" s="157"/>
      <c r="K272" s="8"/>
      <c r="L272" s="8"/>
      <c r="M272" s="8"/>
      <c r="N272" s="8"/>
      <c r="O272" s="8"/>
      <c r="P272" s="8"/>
    </row>
    <row r="273" spans="1:16" ht="15" customHeight="1">
      <c r="A273" s="275"/>
      <c r="B273" s="319"/>
      <c r="C273" s="184">
        <v>3</v>
      </c>
      <c r="D273" s="185" t="s">
        <v>3626</v>
      </c>
      <c r="E273" s="184" t="s">
        <v>2874</v>
      </c>
      <c r="F273" s="185" t="s">
        <v>3627</v>
      </c>
      <c r="G273" s="116"/>
      <c r="H273" s="116"/>
      <c r="I273" s="157"/>
      <c r="K273" s="8"/>
      <c r="L273" s="8"/>
      <c r="M273" s="8"/>
      <c r="N273" s="8"/>
      <c r="O273" s="8"/>
      <c r="P273" s="8"/>
    </row>
    <row r="274" spans="1:16" ht="15" customHeight="1">
      <c r="A274" s="186" t="s">
        <v>2384</v>
      </c>
      <c r="B274" s="314" t="s">
        <v>3628</v>
      </c>
      <c r="C274" s="180">
        <v>0</v>
      </c>
      <c r="D274" s="181" t="s">
        <v>2382</v>
      </c>
      <c r="E274" s="180" t="s">
        <v>2874</v>
      </c>
      <c r="F274" s="181" t="s">
        <v>3192</v>
      </c>
      <c r="G274" s="116"/>
      <c r="H274" s="116"/>
      <c r="I274" s="157"/>
      <c r="K274" s="8"/>
      <c r="L274" s="8"/>
      <c r="M274" s="8"/>
      <c r="N274" s="8"/>
      <c r="O274" s="8"/>
      <c r="P274" s="8"/>
    </row>
    <row r="275" spans="1:16" ht="15" customHeight="1">
      <c r="A275" s="187"/>
      <c r="B275" s="315"/>
      <c r="C275" s="180">
        <v>1</v>
      </c>
      <c r="D275" s="181" t="s">
        <v>2381</v>
      </c>
      <c r="E275" s="180" t="s">
        <v>2874</v>
      </c>
      <c r="F275" s="181" t="s">
        <v>3191</v>
      </c>
      <c r="G275" s="116"/>
      <c r="H275" s="116"/>
      <c r="I275" s="157"/>
      <c r="K275" s="8"/>
      <c r="L275" s="8"/>
      <c r="M275" s="8"/>
      <c r="N275" s="8"/>
      <c r="O275" s="8"/>
      <c r="P275" s="8"/>
    </row>
    <row r="276" spans="1:16" ht="15" customHeight="1">
      <c r="A276" s="187"/>
      <c r="B276" s="315"/>
      <c r="C276" s="180">
        <v>2</v>
      </c>
      <c r="D276" s="181" t="s">
        <v>3629</v>
      </c>
      <c r="E276" s="180" t="s">
        <v>2874</v>
      </c>
      <c r="F276" s="181" t="s">
        <v>3631</v>
      </c>
      <c r="G276" s="116"/>
      <c r="H276" s="116"/>
      <c r="I276" s="157"/>
      <c r="K276" s="8"/>
      <c r="L276" s="8"/>
      <c r="M276" s="8"/>
      <c r="N276" s="8"/>
      <c r="O276" s="8"/>
      <c r="P276" s="8"/>
    </row>
    <row r="277" spans="1:16" ht="15" customHeight="1">
      <c r="A277" s="187"/>
      <c r="B277" s="316"/>
      <c r="C277" s="180">
        <v>3</v>
      </c>
      <c r="D277" s="181" t="s">
        <v>3630</v>
      </c>
      <c r="E277" s="180" t="s">
        <v>2874</v>
      </c>
      <c r="F277" s="181" t="s">
        <v>3632</v>
      </c>
      <c r="G277" s="116"/>
      <c r="H277" s="116"/>
      <c r="I277" s="157"/>
      <c r="K277" s="8"/>
      <c r="L277" s="8"/>
      <c r="M277" s="8"/>
      <c r="N277" s="8"/>
      <c r="O277" s="8"/>
      <c r="P277" s="8"/>
    </row>
    <row r="278" spans="1:16" ht="15" customHeight="1">
      <c r="A278" s="190" t="s">
        <v>2378</v>
      </c>
      <c r="B278" s="317" t="s">
        <v>412</v>
      </c>
      <c r="C278" s="184">
        <v>0</v>
      </c>
      <c r="D278" s="185" t="s">
        <v>2377</v>
      </c>
      <c r="E278" s="184" t="s">
        <v>2874</v>
      </c>
      <c r="F278" s="185" t="s">
        <v>3190</v>
      </c>
      <c r="G278" s="116"/>
      <c r="H278" s="116"/>
      <c r="I278" s="157"/>
      <c r="K278" s="8"/>
      <c r="L278" s="8"/>
      <c r="M278" s="8"/>
      <c r="N278" s="8"/>
      <c r="O278" s="8"/>
      <c r="P278" s="8"/>
    </row>
    <row r="279" spans="1:16" ht="15" customHeight="1">
      <c r="A279" s="191"/>
      <c r="B279" s="319"/>
      <c r="C279" s="184">
        <v>1</v>
      </c>
      <c r="D279" s="185" t="s">
        <v>2376</v>
      </c>
      <c r="E279" s="184" t="s">
        <v>2874</v>
      </c>
      <c r="F279" s="185" t="s">
        <v>3189</v>
      </c>
      <c r="G279" s="116"/>
      <c r="H279" s="116"/>
      <c r="I279" s="157"/>
      <c r="K279" s="8"/>
      <c r="L279" s="8"/>
      <c r="M279" s="8"/>
      <c r="N279" s="8"/>
      <c r="O279" s="8"/>
      <c r="P279" s="8"/>
    </row>
    <row r="280" spans="1:16" ht="15" customHeight="1">
      <c r="A280" s="272" t="s">
        <v>2396</v>
      </c>
      <c r="B280" s="314" t="s">
        <v>2395</v>
      </c>
      <c r="C280" s="180">
        <v>0</v>
      </c>
      <c r="D280" s="181" t="s">
        <v>2394</v>
      </c>
      <c r="E280" s="180" t="s">
        <v>2874</v>
      </c>
      <c r="F280" s="181" t="s">
        <v>3188</v>
      </c>
      <c r="G280" s="116"/>
      <c r="H280" s="116"/>
      <c r="I280" s="157"/>
      <c r="K280" s="8"/>
      <c r="L280" s="8"/>
      <c r="M280" s="8"/>
      <c r="N280" s="8"/>
      <c r="O280" s="8"/>
      <c r="P280" s="8"/>
    </row>
    <row r="281" spans="1:16" ht="15" customHeight="1">
      <c r="A281" s="292"/>
      <c r="B281" s="315"/>
      <c r="C281" s="180">
        <v>1</v>
      </c>
      <c r="D281" s="181" t="s">
        <v>2393</v>
      </c>
      <c r="E281" s="180" t="s">
        <v>2874</v>
      </c>
      <c r="F281" s="181" t="s">
        <v>3187</v>
      </c>
      <c r="G281" s="116"/>
      <c r="H281" s="116"/>
      <c r="I281" s="157"/>
      <c r="K281" s="8"/>
      <c r="L281" s="8"/>
      <c r="M281" s="8"/>
      <c r="N281" s="8"/>
      <c r="O281" s="8"/>
      <c r="P281" s="8"/>
    </row>
    <row r="282" spans="1:16" ht="15" customHeight="1">
      <c r="A282" s="292"/>
      <c r="B282" s="315"/>
      <c r="C282" s="180">
        <v>2</v>
      </c>
      <c r="D282" s="181" t="s">
        <v>2392</v>
      </c>
      <c r="E282" s="180" t="s">
        <v>2874</v>
      </c>
      <c r="F282" s="181" t="s">
        <v>3186</v>
      </c>
      <c r="G282" s="116"/>
      <c r="H282" s="116"/>
      <c r="I282" s="157"/>
      <c r="K282" s="8"/>
      <c r="L282" s="8"/>
      <c r="M282" s="8"/>
      <c r="N282" s="8"/>
      <c r="O282" s="8"/>
      <c r="P282" s="8"/>
    </row>
    <row r="283" spans="1:16" ht="15" customHeight="1">
      <c r="A283" s="273"/>
      <c r="B283" s="316"/>
      <c r="C283" s="180">
        <v>3</v>
      </c>
      <c r="D283" s="181" t="s">
        <v>3633</v>
      </c>
      <c r="E283" s="180" t="s">
        <v>2874</v>
      </c>
      <c r="F283" s="181" t="s">
        <v>3634</v>
      </c>
      <c r="G283" s="116"/>
      <c r="H283" s="116"/>
      <c r="I283" s="157"/>
      <c r="K283" s="8"/>
      <c r="L283" s="8"/>
      <c r="M283" s="8"/>
      <c r="N283" s="8"/>
      <c r="O283" s="8"/>
      <c r="P283" s="8"/>
    </row>
    <row r="284" spans="1:16" ht="15" customHeight="1">
      <c r="A284" s="274" t="s">
        <v>2390</v>
      </c>
      <c r="B284" s="317" t="s">
        <v>2389</v>
      </c>
      <c r="C284" s="184">
        <v>0</v>
      </c>
      <c r="D284" s="185" t="s">
        <v>2388</v>
      </c>
      <c r="E284" s="184" t="s">
        <v>2874</v>
      </c>
      <c r="F284" s="185" t="s">
        <v>3185</v>
      </c>
      <c r="G284" s="116"/>
      <c r="H284" s="116"/>
      <c r="I284" s="157"/>
      <c r="K284" s="8"/>
      <c r="L284" s="8"/>
      <c r="M284" s="8"/>
      <c r="N284" s="8"/>
      <c r="O284" s="8"/>
      <c r="P284" s="8"/>
    </row>
    <row r="285" spans="1:16" ht="15" customHeight="1">
      <c r="A285" s="299"/>
      <c r="B285" s="318"/>
      <c r="C285" s="184">
        <v>1</v>
      </c>
      <c r="D285" s="185" t="s">
        <v>2387</v>
      </c>
      <c r="E285" s="184" t="s">
        <v>2874</v>
      </c>
      <c r="F285" s="185" t="s">
        <v>3184</v>
      </c>
      <c r="G285" s="116"/>
      <c r="H285" s="116"/>
      <c r="I285" s="157"/>
      <c r="K285" s="8"/>
      <c r="L285" s="8"/>
      <c r="M285" s="8"/>
      <c r="N285" s="8"/>
      <c r="O285" s="8"/>
      <c r="P285" s="8"/>
    </row>
    <row r="286" spans="1:16" ht="15" customHeight="1">
      <c r="A286" s="299"/>
      <c r="B286" s="318"/>
      <c r="C286" s="184">
        <v>2</v>
      </c>
      <c r="D286" s="185" t="s">
        <v>2386</v>
      </c>
      <c r="E286" s="184" t="s">
        <v>2874</v>
      </c>
      <c r="F286" s="185" t="s">
        <v>3183</v>
      </c>
      <c r="G286" s="116"/>
      <c r="H286" s="116"/>
      <c r="I286" s="157"/>
      <c r="K286" s="8"/>
      <c r="L286" s="8"/>
      <c r="M286" s="8"/>
      <c r="N286" s="8"/>
      <c r="O286" s="8"/>
      <c r="P286" s="8"/>
    </row>
    <row r="287" spans="1:16" ht="15" customHeight="1">
      <c r="A287" s="275"/>
      <c r="B287" s="319"/>
      <c r="C287" s="184">
        <v>3</v>
      </c>
      <c r="D287" s="185" t="s">
        <v>3635</v>
      </c>
      <c r="E287" s="184" t="s">
        <v>2874</v>
      </c>
      <c r="F287" s="185" t="s">
        <v>3636</v>
      </c>
      <c r="G287" s="116"/>
      <c r="H287" s="116"/>
      <c r="I287" s="157"/>
      <c r="K287" s="8"/>
      <c r="L287" s="8"/>
      <c r="M287" s="8"/>
      <c r="N287" s="8"/>
      <c r="O287" s="8"/>
      <c r="P287" s="8"/>
    </row>
    <row r="288" spans="1:16" ht="15" customHeight="1">
      <c r="A288" s="272" t="s">
        <v>2375</v>
      </c>
      <c r="B288" s="314" t="s">
        <v>2374</v>
      </c>
      <c r="C288" s="180">
        <v>0</v>
      </c>
      <c r="D288" s="181" t="s">
        <v>2373</v>
      </c>
      <c r="E288" s="180" t="s">
        <v>2874</v>
      </c>
      <c r="F288" s="181" t="s">
        <v>3182</v>
      </c>
      <c r="G288" s="116"/>
      <c r="H288" s="116"/>
      <c r="I288" s="157"/>
      <c r="K288" s="8"/>
      <c r="L288" s="8"/>
      <c r="M288" s="8"/>
      <c r="N288" s="8"/>
      <c r="O288" s="8"/>
      <c r="P288" s="8"/>
    </row>
    <row r="289" spans="1:16" ht="15" customHeight="1">
      <c r="A289" s="292"/>
      <c r="B289" s="315"/>
      <c r="C289" s="180">
        <v>1</v>
      </c>
      <c r="D289" s="181" t="s">
        <v>2372</v>
      </c>
      <c r="E289" s="180" t="s">
        <v>2874</v>
      </c>
      <c r="F289" s="181" t="s">
        <v>3181</v>
      </c>
      <c r="G289" s="116"/>
      <c r="H289" s="116"/>
      <c r="I289" s="157"/>
      <c r="K289" s="8"/>
      <c r="L289" s="8"/>
      <c r="M289" s="8"/>
      <c r="N289" s="8"/>
      <c r="O289" s="8"/>
      <c r="P289" s="8"/>
    </row>
    <row r="290" spans="1:16" ht="15" customHeight="1">
      <c r="A290" s="292"/>
      <c r="B290" s="315"/>
      <c r="C290" s="180">
        <v>2</v>
      </c>
      <c r="D290" s="181" t="s">
        <v>2371</v>
      </c>
      <c r="E290" s="180" t="s">
        <v>2874</v>
      </c>
      <c r="F290" s="181" t="s">
        <v>3180</v>
      </c>
      <c r="G290" s="116"/>
      <c r="H290" s="116"/>
      <c r="I290" s="157"/>
      <c r="K290" s="8"/>
      <c r="L290" s="8"/>
      <c r="M290" s="8"/>
      <c r="N290" s="8"/>
      <c r="O290" s="8"/>
      <c r="P290" s="8"/>
    </row>
    <row r="291" spans="1:16" ht="15" customHeight="1">
      <c r="A291" s="273"/>
      <c r="B291" s="316"/>
      <c r="C291" s="180">
        <v>3</v>
      </c>
      <c r="D291" s="181" t="s">
        <v>4630</v>
      </c>
      <c r="E291" s="180" t="s">
        <v>2874</v>
      </c>
      <c r="F291" s="181" t="s">
        <v>4631</v>
      </c>
      <c r="G291" s="116"/>
      <c r="H291" s="116"/>
      <c r="I291" s="157"/>
      <c r="K291" s="8"/>
      <c r="L291" s="8"/>
      <c r="M291" s="8"/>
      <c r="N291" s="8"/>
      <c r="O291" s="8"/>
      <c r="P291" s="8"/>
    </row>
    <row r="292" spans="1:16" ht="15" customHeight="1">
      <c r="A292" s="192" t="s">
        <v>2369</v>
      </c>
      <c r="B292" s="200" t="s">
        <v>4933</v>
      </c>
      <c r="C292" s="184" t="s">
        <v>2850</v>
      </c>
      <c r="D292" s="185" t="s">
        <v>4935</v>
      </c>
      <c r="E292" s="184" t="s">
        <v>753</v>
      </c>
      <c r="F292" s="212" t="s">
        <v>4934</v>
      </c>
      <c r="G292" s="116"/>
      <c r="H292" s="116"/>
      <c r="I292" s="157"/>
      <c r="K292" s="8"/>
      <c r="L292" s="8"/>
      <c r="M292" s="8"/>
      <c r="N292" s="8"/>
      <c r="O292" s="8"/>
      <c r="P292" s="8"/>
    </row>
    <row r="293" spans="1:16" ht="50.25" customHeight="1">
      <c r="A293" s="193" t="s">
        <v>2368</v>
      </c>
      <c r="B293" s="181" t="s">
        <v>364</v>
      </c>
      <c r="C293" s="180" t="s">
        <v>2852</v>
      </c>
      <c r="D293" s="181" t="s">
        <v>3287</v>
      </c>
      <c r="E293" s="180" t="s">
        <v>1123</v>
      </c>
      <c r="F293" s="181" t="s">
        <v>3637</v>
      </c>
      <c r="K293" s="8"/>
      <c r="L293" s="8"/>
      <c r="M293" s="8"/>
      <c r="N293" s="8"/>
      <c r="O293" s="8"/>
      <c r="P293" s="8"/>
    </row>
    <row r="294" spans="1:16" ht="15" customHeight="1">
      <c r="A294" s="194" t="s">
        <v>2367</v>
      </c>
      <c r="B294" s="185" t="s">
        <v>2366</v>
      </c>
      <c r="C294" s="184" t="s">
        <v>2852</v>
      </c>
      <c r="D294" s="185" t="s">
        <v>4988</v>
      </c>
      <c r="E294" s="184" t="s">
        <v>505</v>
      </c>
      <c r="F294" s="185" t="s">
        <v>4989</v>
      </c>
      <c r="K294" s="8"/>
      <c r="L294" s="8"/>
      <c r="M294" s="8"/>
      <c r="N294" s="8"/>
      <c r="O294" s="8"/>
      <c r="P294" s="8"/>
    </row>
    <row r="295" spans="1:16" ht="15" customHeight="1">
      <c r="A295" s="193" t="s">
        <v>2365</v>
      </c>
      <c r="B295" s="181" t="s">
        <v>360</v>
      </c>
      <c r="C295" s="180" t="s">
        <v>2852</v>
      </c>
      <c r="D295" s="181" t="s">
        <v>360</v>
      </c>
      <c r="E295" s="180" t="s">
        <v>505</v>
      </c>
      <c r="F295" s="181" t="s">
        <v>3179</v>
      </c>
      <c r="K295" s="8"/>
      <c r="L295" s="8"/>
      <c r="M295" s="8"/>
      <c r="N295" s="8"/>
      <c r="O295" s="8"/>
      <c r="P295" s="8"/>
    </row>
    <row r="296" spans="1:16" ht="15" customHeight="1">
      <c r="A296" s="194" t="s">
        <v>2364</v>
      </c>
      <c r="B296" s="185" t="s">
        <v>472</v>
      </c>
      <c r="C296" s="184" t="s">
        <v>2852</v>
      </c>
      <c r="D296" s="185" t="s">
        <v>472</v>
      </c>
      <c r="E296" s="184" t="s">
        <v>505</v>
      </c>
      <c r="F296" s="185" t="s">
        <v>3178</v>
      </c>
      <c r="K296" s="8"/>
      <c r="L296" s="8"/>
      <c r="M296" s="8"/>
      <c r="N296" s="8"/>
      <c r="O296" s="8"/>
      <c r="P296" s="8"/>
    </row>
    <row r="297" spans="1:16" ht="15" customHeight="1">
      <c r="A297" s="193" t="s">
        <v>2362</v>
      </c>
      <c r="B297" s="181" t="s">
        <v>449</v>
      </c>
      <c r="C297" s="180" t="s">
        <v>2852</v>
      </c>
      <c r="D297" s="181" t="s">
        <v>449</v>
      </c>
      <c r="E297" s="180" t="s">
        <v>505</v>
      </c>
      <c r="F297" s="181" t="s">
        <v>3178</v>
      </c>
      <c r="K297" s="8"/>
      <c r="L297" s="8"/>
      <c r="M297" s="8"/>
      <c r="N297" s="8"/>
      <c r="O297" s="8"/>
      <c r="P297" s="8"/>
    </row>
    <row r="298" spans="1:16" ht="15" customHeight="1">
      <c r="A298" s="194" t="s">
        <v>2361</v>
      </c>
      <c r="B298" s="185" t="s">
        <v>427</v>
      </c>
      <c r="C298" s="184" t="s">
        <v>2852</v>
      </c>
      <c r="D298" s="185" t="s">
        <v>427</v>
      </c>
      <c r="E298" s="184" t="s">
        <v>505</v>
      </c>
      <c r="F298" s="185" t="s">
        <v>3178</v>
      </c>
      <c r="K298" s="8"/>
      <c r="L298" s="8"/>
      <c r="M298" s="8"/>
      <c r="N298" s="8"/>
      <c r="O298" s="8"/>
      <c r="P298" s="8"/>
    </row>
    <row r="299" spans="1:16" ht="15" customHeight="1">
      <c r="A299" s="193" t="s">
        <v>2360</v>
      </c>
      <c r="B299" s="181" t="s">
        <v>382</v>
      </c>
      <c r="C299" s="180" t="s">
        <v>2852</v>
      </c>
      <c r="D299" s="181" t="s">
        <v>382</v>
      </c>
      <c r="E299" s="180" t="s">
        <v>505</v>
      </c>
      <c r="F299" s="181" t="s">
        <v>3178</v>
      </c>
      <c r="K299" s="8"/>
      <c r="L299" s="8"/>
      <c r="M299" s="8"/>
      <c r="N299" s="8"/>
      <c r="O299" s="8"/>
      <c r="P299" s="8"/>
    </row>
    <row r="300" spans="1:16" ht="15" customHeight="1">
      <c r="A300" s="194" t="s">
        <v>2359</v>
      </c>
      <c r="B300" s="185" t="s">
        <v>426</v>
      </c>
      <c r="C300" s="184" t="s">
        <v>2852</v>
      </c>
      <c r="D300" s="185" t="s">
        <v>4990</v>
      </c>
      <c r="E300" s="184" t="s">
        <v>505</v>
      </c>
      <c r="F300" s="185" t="s">
        <v>3178</v>
      </c>
      <c r="K300" s="8"/>
      <c r="L300" s="8"/>
      <c r="M300" s="8"/>
      <c r="N300" s="8"/>
      <c r="O300" s="8"/>
      <c r="P300" s="8"/>
    </row>
    <row r="301" spans="1:16" ht="15" customHeight="1">
      <c r="A301" s="193" t="s">
        <v>2358</v>
      </c>
      <c r="B301" s="181" t="s">
        <v>405</v>
      </c>
      <c r="C301" s="180" t="s">
        <v>2852</v>
      </c>
      <c r="D301" s="181" t="s">
        <v>4991</v>
      </c>
      <c r="E301" s="180" t="s">
        <v>505</v>
      </c>
      <c r="F301" s="181" t="s">
        <v>3178</v>
      </c>
      <c r="K301" s="8"/>
      <c r="L301" s="8"/>
      <c r="M301" s="8"/>
      <c r="N301" s="8"/>
      <c r="O301" s="8"/>
      <c r="P301" s="8"/>
    </row>
    <row r="302" spans="1:16" ht="33.75" customHeight="1">
      <c r="A302" s="194" t="s">
        <v>2357</v>
      </c>
      <c r="B302" s="185" t="s">
        <v>4992</v>
      </c>
      <c r="C302" s="184" t="s">
        <v>2852</v>
      </c>
      <c r="D302" s="215" t="s">
        <v>406</v>
      </c>
      <c r="E302" s="184" t="s">
        <v>505</v>
      </c>
      <c r="F302" s="215" t="s">
        <v>4993</v>
      </c>
      <c r="K302" s="8"/>
      <c r="L302" s="8"/>
      <c r="M302" s="8"/>
      <c r="N302" s="8"/>
      <c r="O302" s="8"/>
      <c r="P302" s="8"/>
    </row>
    <row r="303" spans="1:16" ht="33.75" customHeight="1">
      <c r="A303" s="193" t="s">
        <v>2355</v>
      </c>
      <c r="B303" s="181" t="s">
        <v>4997</v>
      </c>
      <c r="C303" s="180" t="s">
        <v>2852</v>
      </c>
      <c r="D303" s="181" t="s">
        <v>4998</v>
      </c>
      <c r="E303" s="180" t="s">
        <v>505</v>
      </c>
      <c r="F303" s="181" t="s">
        <v>4994</v>
      </c>
      <c r="K303" s="8"/>
      <c r="L303" s="8"/>
      <c r="M303" s="8"/>
      <c r="N303" s="8"/>
      <c r="O303" s="8"/>
      <c r="P303" s="8"/>
    </row>
    <row r="304" spans="1:16" ht="33.75" customHeight="1">
      <c r="A304" s="194" t="s">
        <v>2352</v>
      </c>
      <c r="B304" s="185" t="s">
        <v>473</v>
      </c>
      <c r="C304" s="184" t="s">
        <v>2852</v>
      </c>
      <c r="D304" s="185" t="s">
        <v>4999</v>
      </c>
      <c r="E304" s="184" t="s">
        <v>505</v>
      </c>
      <c r="F304" s="185" t="s">
        <v>4996</v>
      </c>
      <c r="K304" s="8"/>
      <c r="L304" s="8"/>
      <c r="M304" s="8"/>
      <c r="N304" s="8"/>
      <c r="O304" s="8"/>
      <c r="P304" s="8"/>
    </row>
    <row r="305" spans="1:16" ht="33.75" customHeight="1">
      <c r="A305" s="193" t="s">
        <v>2351</v>
      </c>
      <c r="B305" s="181" t="s">
        <v>450</v>
      </c>
      <c r="C305" s="180" t="s">
        <v>2852</v>
      </c>
      <c r="D305" s="181" t="s">
        <v>5000</v>
      </c>
      <c r="E305" s="180" t="s">
        <v>505</v>
      </c>
      <c r="F305" s="181" t="s">
        <v>4995</v>
      </c>
      <c r="K305" s="8"/>
      <c r="L305" s="8"/>
      <c r="M305" s="8"/>
      <c r="N305" s="8"/>
      <c r="O305" s="8"/>
      <c r="P305" s="8"/>
    </row>
    <row r="306" spans="1:16" ht="33.75" customHeight="1">
      <c r="A306" s="194" t="s">
        <v>2350</v>
      </c>
      <c r="B306" s="185" t="s">
        <v>428</v>
      </c>
      <c r="C306" s="184" t="s">
        <v>2852</v>
      </c>
      <c r="D306" s="185" t="s">
        <v>5001</v>
      </c>
      <c r="E306" s="184" t="s">
        <v>505</v>
      </c>
      <c r="F306" s="185" t="s">
        <v>4995</v>
      </c>
      <c r="K306" s="8"/>
      <c r="L306" s="8"/>
      <c r="M306" s="8"/>
      <c r="N306" s="8"/>
      <c r="O306" s="8"/>
      <c r="P306" s="8"/>
    </row>
    <row r="307" spans="1:16" ht="33.75" customHeight="1">
      <c r="A307" s="193" t="s">
        <v>2349</v>
      </c>
      <c r="B307" s="181" t="s">
        <v>384</v>
      </c>
      <c r="C307" s="180" t="s">
        <v>2852</v>
      </c>
      <c r="D307" s="181" t="s">
        <v>384</v>
      </c>
      <c r="E307" s="180" t="s">
        <v>505</v>
      </c>
      <c r="F307" s="181" t="s">
        <v>4995</v>
      </c>
      <c r="K307" s="8"/>
      <c r="L307" s="8"/>
      <c r="M307" s="8"/>
      <c r="N307" s="8"/>
      <c r="O307" s="8"/>
      <c r="P307" s="8"/>
    </row>
    <row r="308" spans="1:16" ht="33.75" customHeight="1">
      <c r="A308" s="194" t="s">
        <v>2348</v>
      </c>
      <c r="B308" s="185" t="s">
        <v>383</v>
      </c>
      <c r="C308" s="184" t="s">
        <v>2852</v>
      </c>
      <c r="D308" s="185" t="s">
        <v>383</v>
      </c>
      <c r="E308" s="184" t="s">
        <v>505</v>
      </c>
      <c r="F308" s="185" t="s">
        <v>4995</v>
      </c>
      <c r="K308" s="8"/>
      <c r="L308" s="8"/>
      <c r="M308" s="8"/>
      <c r="N308" s="8"/>
      <c r="O308" s="8"/>
      <c r="P308" s="8"/>
    </row>
    <row r="309" spans="1:16" ht="15" customHeight="1">
      <c r="A309" s="155" t="s">
        <v>2346</v>
      </c>
      <c r="B309" s="154"/>
      <c r="C309" s="155"/>
      <c r="D309" s="154"/>
      <c r="E309" s="155"/>
      <c r="F309" s="154"/>
      <c r="K309" s="8"/>
      <c r="L309" s="8"/>
      <c r="M309" s="8"/>
      <c r="N309" s="8"/>
      <c r="O309" s="8"/>
      <c r="P309" s="8"/>
    </row>
    <row r="310" spans="1:16" ht="15" customHeight="1">
      <c r="A310" s="182" t="s">
        <v>2345</v>
      </c>
      <c r="B310" s="152" t="s">
        <v>626</v>
      </c>
      <c r="C310" s="153" t="s">
        <v>2852</v>
      </c>
      <c r="D310" s="152" t="s">
        <v>626</v>
      </c>
      <c r="E310" s="153" t="s">
        <v>2874</v>
      </c>
      <c r="F310" s="152" t="s">
        <v>3177</v>
      </c>
      <c r="G310" s="116"/>
      <c r="H310" s="116"/>
      <c r="I310" s="157"/>
      <c r="K310" s="8"/>
      <c r="L310" s="8"/>
      <c r="M310" s="8"/>
      <c r="N310" s="8"/>
      <c r="O310" s="8"/>
      <c r="P310" s="8"/>
    </row>
    <row r="311" spans="1:16" ht="15" customHeight="1">
      <c r="A311" s="195" t="s">
        <v>2344</v>
      </c>
      <c r="B311" s="150" t="s">
        <v>642</v>
      </c>
      <c r="C311" s="151" t="s">
        <v>2852</v>
      </c>
      <c r="D311" s="171" t="s">
        <v>642</v>
      </c>
      <c r="E311" s="170" t="s">
        <v>2874</v>
      </c>
      <c r="F311" s="171" t="s">
        <v>3176</v>
      </c>
      <c r="G311" s="116"/>
      <c r="H311" s="116"/>
      <c r="K311" s="8"/>
      <c r="L311" s="8"/>
      <c r="M311" s="8"/>
      <c r="N311" s="8"/>
      <c r="O311" s="8"/>
      <c r="P311" s="8"/>
    </row>
    <row r="312" spans="1:16" ht="15" customHeight="1">
      <c r="A312" s="182" t="s">
        <v>2343</v>
      </c>
      <c r="B312" s="152" t="s">
        <v>643</v>
      </c>
      <c r="C312" s="153" t="s">
        <v>2852</v>
      </c>
      <c r="D312" s="152" t="s">
        <v>643</v>
      </c>
      <c r="E312" s="153" t="s">
        <v>2874</v>
      </c>
      <c r="F312" s="152" t="s">
        <v>3175</v>
      </c>
      <c r="G312" s="116"/>
      <c r="H312" s="116"/>
      <c r="K312" s="8"/>
      <c r="L312" s="8"/>
      <c r="M312" s="8"/>
      <c r="N312" s="8"/>
      <c r="O312" s="8"/>
      <c r="P312" s="8"/>
    </row>
    <row r="313" spans="1:16" ht="15" customHeight="1">
      <c r="A313" s="195" t="s">
        <v>2342</v>
      </c>
      <c r="B313" s="150" t="s">
        <v>627</v>
      </c>
      <c r="C313" s="151" t="s">
        <v>2852</v>
      </c>
      <c r="D313" s="171" t="s">
        <v>627</v>
      </c>
      <c r="E313" s="170" t="s">
        <v>2874</v>
      </c>
      <c r="F313" s="171" t="s">
        <v>3174</v>
      </c>
      <c r="G313" s="116"/>
      <c r="H313" s="116"/>
      <c r="K313" s="8"/>
      <c r="L313" s="8"/>
      <c r="M313" s="8"/>
      <c r="N313" s="8"/>
      <c r="O313" s="8"/>
      <c r="P313" s="8"/>
    </row>
    <row r="314" spans="1:16" ht="15" customHeight="1">
      <c r="A314" s="182" t="s">
        <v>2341</v>
      </c>
      <c r="B314" s="152" t="s">
        <v>672</v>
      </c>
      <c r="C314" s="153" t="s">
        <v>2852</v>
      </c>
      <c r="D314" s="152" t="s">
        <v>672</v>
      </c>
      <c r="E314" s="153" t="s">
        <v>1123</v>
      </c>
      <c r="F314" s="152" t="s">
        <v>3173</v>
      </c>
      <c r="G314" s="116"/>
      <c r="H314" s="116"/>
      <c r="K314" s="8"/>
      <c r="L314" s="8"/>
      <c r="M314" s="8"/>
      <c r="N314" s="8"/>
      <c r="O314" s="8"/>
      <c r="P314" s="8"/>
    </row>
    <row r="315" spans="1:16" ht="15" customHeight="1">
      <c r="A315" s="195" t="s">
        <v>2340</v>
      </c>
      <c r="B315" s="150" t="s">
        <v>673</v>
      </c>
      <c r="C315" s="151" t="s">
        <v>2852</v>
      </c>
      <c r="D315" s="171" t="s">
        <v>673</v>
      </c>
      <c r="E315" s="170" t="s">
        <v>1123</v>
      </c>
      <c r="F315" s="171" t="s">
        <v>3172</v>
      </c>
      <c r="G315" s="116"/>
      <c r="H315" s="116"/>
      <c r="K315" s="8"/>
      <c r="L315" s="8"/>
      <c r="M315" s="8"/>
      <c r="N315" s="8"/>
      <c r="O315" s="8"/>
      <c r="P315" s="8"/>
    </row>
    <row r="316" spans="1:16" ht="15" customHeight="1">
      <c r="A316" s="182" t="s">
        <v>2339</v>
      </c>
      <c r="B316" s="152" t="s">
        <v>705</v>
      </c>
      <c r="C316" s="153" t="s">
        <v>2852</v>
      </c>
      <c r="D316" s="152" t="s">
        <v>705</v>
      </c>
      <c r="E316" s="153" t="s">
        <v>1123</v>
      </c>
      <c r="F316" s="152" t="s">
        <v>3171</v>
      </c>
      <c r="G316" s="116"/>
      <c r="H316" s="116"/>
      <c r="K316" s="8"/>
      <c r="L316" s="8"/>
      <c r="M316" s="8"/>
      <c r="N316" s="8"/>
      <c r="O316" s="8"/>
      <c r="P316" s="8"/>
    </row>
    <row r="317" spans="1:16" ht="15" customHeight="1">
      <c r="A317" s="195" t="s">
        <v>2338</v>
      </c>
      <c r="B317" s="150" t="s">
        <v>706</v>
      </c>
      <c r="C317" s="151" t="s">
        <v>2852</v>
      </c>
      <c r="D317" s="171" t="s">
        <v>706</v>
      </c>
      <c r="E317" s="170" t="s">
        <v>1123</v>
      </c>
      <c r="F317" s="171" t="s">
        <v>3170</v>
      </c>
      <c r="G317" s="116"/>
      <c r="H317" s="116"/>
      <c r="K317" s="8"/>
      <c r="L317" s="8"/>
      <c r="M317" s="8"/>
      <c r="N317" s="8"/>
      <c r="O317" s="8"/>
      <c r="P317" s="8"/>
    </row>
    <row r="318" spans="1:16" ht="30.75" customHeight="1">
      <c r="A318" s="182" t="s">
        <v>2337</v>
      </c>
      <c r="B318" s="152" t="s">
        <v>707</v>
      </c>
      <c r="C318" s="153" t="s">
        <v>2852</v>
      </c>
      <c r="D318" s="152" t="s">
        <v>707</v>
      </c>
      <c r="E318" s="153" t="s">
        <v>1123</v>
      </c>
      <c r="F318" s="152" t="s">
        <v>3169</v>
      </c>
      <c r="G318" s="116"/>
      <c r="H318" s="116"/>
      <c r="K318" s="8"/>
      <c r="L318" s="8"/>
      <c r="M318" s="8"/>
      <c r="N318" s="8"/>
      <c r="O318" s="8"/>
      <c r="P318" s="8"/>
    </row>
    <row r="319" spans="1:16" ht="15" customHeight="1">
      <c r="A319" s="195" t="s">
        <v>2336</v>
      </c>
      <c r="B319" s="150" t="s">
        <v>535</v>
      </c>
      <c r="C319" s="151" t="s">
        <v>2852</v>
      </c>
      <c r="D319" s="171" t="s">
        <v>535</v>
      </c>
      <c r="E319" s="170" t="s">
        <v>505</v>
      </c>
      <c r="F319" s="171" t="s">
        <v>3168</v>
      </c>
      <c r="K319" s="8"/>
      <c r="L319" s="8"/>
      <c r="M319" s="8"/>
      <c r="N319" s="8"/>
      <c r="O319" s="8"/>
      <c r="P319" s="8"/>
    </row>
    <row r="320" spans="1:16" s="207" customFormat="1" ht="15" customHeight="1">
      <c r="A320" s="193" t="s">
        <v>2335</v>
      </c>
      <c r="B320" s="181" t="s">
        <v>555</v>
      </c>
      <c r="C320" s="180" t="s">
        <v>753</v>
      </c>
      <c r="D320" s="181" t="s">
        <v>555</v>
      </c>
      <c r="E320" s="180" t="s">
        <v>505</v>
      </c>
      <c r="F320" s="181" t="s">
        <v>3638</v>
      </c>
      <c r="G320" s="206"/>
      <c r="H320" s="206"/>
      <c r="I320" s="206"/>
      <c r="J320" s="206"/>
      <c r="K320" s="206"/>
      <c r="L320" s="206"/>
      <c r="M320" s="206"/>
      <c r="N320" s="206"/>
      <c r="O320" s="206"/>
      <c r="P320" s="206"/>
    </row>
    <row r="321" spans="1:16" ht="15" customHeight="1">
      <c r="A321" s="274" t="s">
        <v>2334</v>
      </c>
      <c r="B321" s="278" t="s">
        <v>4666</v>
      </c>
      <c r="C321" s="184">
        <v>0</v>
      </c>
      <c r="D321" s="185" t="s">
        <v>4665</v>
      </c>
      <c r="E321" s="184" t="s">
        <v>2874</v>
      </c>
      <c r="F321" s="185" t="s">
        <v>3640</v>
      </c>
      <c r="K321" s="8"/>
      <c r="L321" s="8"/>
      <c r="M321" s="8"/>
      <c r="N321" s="8"/>
      <c r="O321" s="8"/>
      <c r="P321" s="8"/>
    </row>
    <row r="322" spans="1:16" ht="15" customHeight="1">
      <c r="A322" s="275"/>
      <c r="B322" s="279"/>
      <c r="C322" s="184">
        <v>1</v>
      </c>
      <c r="D322" s="185" t="s">
        <v>4667</v>
      </c>
      <c r="E322" s="184" t="s">
        <v>669</v>
      </c>
      <c r="F322" s="185" t="s">
        <v>3639</v>
      </c>
      <c r="K322" s="8"/>
      <c r="L322" s="8"/>
      <c r="M322" s="8"/>
      <c r="N322" s="8"/>
      <c r="O322" s="8"/>
      <c r="P322" s="8"/>
    </row>
    <row r="323" spans="1:16" ht="15" customHeight="1">
      <c r="A323" s="300" t="s">
        <v>2332</v>
      </c>
      <c r="B323" s="288" t="s">
        <v>4669</v>
      </c>
      <c r="C323" s="182">
        <v>0</v>
      </c>
      <c r="D323" s="183" t="s">
        <v>4670</v>
      </c>
      <c r="E323" s="182" t="s">
        <v>2874</v>
      </c>
      <c r="F323" s="183" t="s">
        <v>3641</v>
      </c>
      <c r="K323" s="8"/>
      <c r="L323" s="8"/>
      <c r="M323" s="8"/>
      <c r="N323" s="8"/>
      <c r="O323" s="8"/>
      <c r="P323" s="8"/>
    </row>
    <row r="324" spans="1:16" ht="15" customHeight="1">
      <c r="A324" s="302"/>
      <c r="B324" s="289"/>
      <c r="C324" s="182">
        <v>1</v>
      </c>
      <c r="D324" s="183" t="s">
        <v>4668</v>
      </c>
      <c r="E324" s="182" t="s">
        <v>669</v>
      </c>
      <c r="F324" s="183" t="s">
        <v>3639</v>
      </c>
      <c r="K324" s="8"/>
      <c r="L324" s="8"/>
      <c r="M324" s="8"/>
      <c r="N324" s="8"/>
      <c r="O324" s="8"/>
      <c r="P324" s="8"/>
    </row>
    <row r="325" spans="1:16" ht="15" customHeight="1">
      <c r="A325" s="194" t="s">
        <v>2329</v>
      </c>
      <c r="B325" s="185" t="s">
        <v>554</v>
      </c>
      <c r="C325" s="184" t="s">
        <v>753</v>
      </c>
      <c r="D325" s="185" t="s">
        <v>554</v>
      </c>
      <c r="E325" s="184" t="s">
        <v>505</v>
      </c>
      <c r="F325" s="185" t="s">
        <v>4671</v>
      </c>
      <c r="K325" s="8"/>
      <c r="L325" s="8"/>
      <c r="M325" s="8"/>
      <c r="N325" s="8"/>
      <c r="O325" s="8"/>
      <c r="P325" s="8"/>
    </row>
    <row r="326" spans="1:16" ht="15" customHeight="1">
      <c r="A326" s="155" t="s">
        <v>2327</v>
      </c>
      <c r="B326" s="154"/>
      <c r="C326" s="155"/>
      <c r="D326" s="154"/>
      <c r="E326" s="155"/>
      <c r="F326" s="154"/>
      <c r="K326" s="8"/>
      <c r="L326" s="8"/>
      <c r="M326" s="8"/>
      <c r="N326" s="8"/>
      <c r="O326" s="8"/>
      <c r="P326" s="8"/>
    </row>
    <row r="327" spans="1:16" ht="15" customHeight="1">
      <c r="A327" s="272" t="s">
        <v>2326</v>
      </c>
      <c r="B327" s="282" t="s">
        <v>3644</v>
      </c>
      <c r="C327" s="153">
        <v>0</v>
      </c>
      <c r="D327" s="152" t="s">
        <v>3167</v>
      </c>
      <c r="E327" s="153" t="s">
        <v>669</v>
      </c>
      <c r="F327" s="152" t="s">
        <v>2923</v>
      </c>
      <c r="K327" s="8"/>
      <c r="L327" s="8"/>
      <c r="M327" s="8"/>
      <c r="N327" s="8"/>
      <c r="O327" s="8"/>
      <c r="P327" s="8"/>
    </row>
    <row r="328" spans="1:16" ht="15" customHeight="1">
      <c r="A328" s="292"/>
      <c r="B328" s="282"/>
      <c r="C328" s="153">
        <v>1</v>
      </c>
      <c r="D328" s="152" t="s">
        <v>2323</v>
      </c>
      <c r="E328" s="153" t="s">
        <v>669</v>
      </c>
      <c r="F328" s="152" t="s">
        <v>3166</v>
      </c>
      <c r="K328" s="8"/>
      <c r="L328" s="8"/>
      <c r="M328" s="8"/>
      <c r="N328" s="8"/>
      <c r="O328" s="8"/>
      <c r="P328" s="8"/>
    </row>
    <row r="329" spans="1:16" ht="15" customHeight="1">
      <c r="A329" s="292"/>
      <c r="B329" s="282"/>
      <c r="C329" s="153">
        <v>2</v>
      </c>
      <c r="D329" s="152" t="s">
        <v>2322</v>
      </c>
      <c r="E329" s="153" t="s">
        <v>669</v>
      </c>
      <c r="F329" s="152" t="s">
        <v>3647</v>
      </c>
      <c r="K329" s="8"/>
      <c r="L329" s="8"/>
      <c r="M329" s="8"/>
      <c r="N329" s="8"/>
      <c r="O329" s="8"/>
      <c r="P329" s="8"/>
    </row>
    <row r="330" spans="1:16" ht="32.25" customHeight="1">
      <c r="A330" s="292"/>
      <c r="B330" s="282"/>
      <c r="C330" s="153">
        <v>5</v>
      </c>
      <c r="D330" s="152" t="s">
        <v>3643</v>
      </c>
      <c r="E330" s="153" t="s">
        <v>669</v>
      </c>
      <c r="F330" s="152" t="s">
        <v>4735</v>
      </c>
      <c r="K330" s="8"/>
      <c r="L330" s="8"/>
      <c r="M330" s="8"/>
      <c r="N330" s="8"/>
      <c r="O330" s="8"/>
      <c r="P330" s="8"/>
    </row>
    <row r="331" spans="1:16" ht="15" customHeight="1">
      <c r="A331" s="292"/>
      <c r="B331" s="282"/>
      <c r="C331" s="153">
        <v>9</v>
      </c>
      <c r="D331" s="183" t="s">
        <v>2320</v>
      </c>
      <c r="E331" s="153" t="s">
        <v>2874</v>
      </c>
      <c r="F331" s="152" t="s">
        <v>3646</v>
      </c>
      <c r="K331" s="8"/>
      <c r="L331" s="8"/>
      <c r="M331" s="8"/>
      <c r="N331" s="8"/>
      <c r="O331" s="8"/>
      <c r="P331" s="8"/>
    </row>
    <row r="332" spans="1:16" ht="15" customHeight="1">
      <c r="A332" s="273"/>
      <c r="B332" s="282"/>
      <c r="C332" s="153">
        <v>11</v>
      </c>
      <c r="D332" s="183" t="s">
        <v>2319</v>
      </c>
      <c r="E332" s="153" t="s">
        <v>669</v>
      </c>
      <c r="F332" s="152" t="s">
        <v>3645</v>
      </c>
      <c r="K332" s="8"/>
      <c r="L332" s="8"/>
      <c r="M332" s="8"/>
      <c r="N332" s="8"/>
      <c r="O332" s="8"/>
      <c r="P332" s="8"/>
    </row>
    <row r="333" spans="1:16" ht="15" customHeight="1">
      <c r="A333" s="274" t="s">
        <v>2318</v>
      </c>
      <c r="B333" s="278" t="s">
        <v>3649</v>
      </c>
      <c r="C333" s="151">
        <v>0</v>
      </c>
      <c r="D333" s="171" t="s">
        <v>3165</v>
      </c>
      <c r="E333" s="170" t="s">
        <v>669</v>
      </c>
      <c r="F333" s="171" t="s">
        <v>2923</v>
      </c>
      <c r="K333" s="8"/>
      <c r="L333" s="8"/>
      <c r="M333" s="8"/>
      <c r="N333" s="8"/>
      <c r="O333" s="8"/>
      <c r="P333" s="8"/>
    </row>
    <row r="334" spans="1:16" ht="15" customHeight="1">
      <c r="A334" s="299"/>
      <c r="B334" s="304"/>
      <c r="C334" s="151">
        <v>1</v>
      </c>
      <c r="D334" s="171" t="s">
        <v>2315</v>
      </c>
      <c r="E334" s="170" t="s">
        <v>669</v>
      </c>
      <c r="F334" s="171" t="s">
        <v>3164</v>
      </c>
      <c r="K334" s="8"/>
      <c r="L334" s="8"/>
      <c r="M334" s="8"/>
      <c r="N334" s="8"/>
      <c r="O334" s="8"/>
      <c r="P334" s="8"/>
    </row>
    <row r="335" spans="1:16" ht="15" customHeight="1">
      <c r="A335" s="299"/>
      <c r="B335" s="304"/>
      <c r="C335" s="151">
        <v>2</v>
      </c>
      <c r="D335" s="171" t="s">
        <v>2314</v>
      </c>
      <c r="E335" s="170" t="s">
        <v>669</v>
      </c>
      <c r="F335" s="171" t="s">
        <v>3686</v>
      </c>
      <c r="K335" s="8"/>
      <c r="L335" s="8"/>
      <c r="M335" s="8"/>
      <c r="N335" s="8"/>
      <c r="O335" s="8"/>
      <c r="P335" s="8"/>
    </row>
    <row r="336" spans="1:16" ht="32.25" customHeight="1">
      <c r="A336" s="299"/>
      <c r="B336" s="304"/>
      <c r="C336" s="151">
        <v>5</v>
      </c>
      <c r="D336" s="171" t="s">
        <v>3650</v>
      </c>
      <c r="E336" s="170" t="s">
        <v>669</v>
      </c>
      <c r="F336" s="171" t="s">
        <v>3681</v>
      </c>
      <c r="K336" s="8"/>
      <c r="L336" s="8"/>
      <c r="M336" s="8"/>
      <c r="N336" s="8"/>
      <c r="O336" s="8"/>
      <c r="P336" s="8"/>
    </row>
    <row r="337" spans="1:16" ht="15" customHeight="1">
      <c r="A337" s="299"/>
      <c r="B337" s="304"/>
      <c r="C337" s="151">
        <v>9</v>
      </c>
      <c r="D337" s="171" t="s">
        <v>2312</v>
      </c>
      <c r="E337" s="170" t="s">
        <v>1123</v>
      </c>
      <c r="F337" s="171" t="s">
        <v>3666</v>
      </c>
      <c r="K337" s="8"/>
      <c r="L337" s="8"/>
      <c r="M337" s="8"/>
      <c r="N337" s="8"/>
      <c r="O337" s="8"/>
      <c r="P337" s="8"/>
    </row>
    <row r="338" spans="1:16" ht="15" customHeight="1">
      <c r="A338" s="275"/>
      <c r="B338" s="279"/>
      <c r="C338" s="151">
        <v>11</v>
      </c>
      <c r="D338" s="171" t="s">
        <v>2311</v>
      </c>
      <c r="E338" s="170" t="s">
        <v>669</v>
      </c>
      <c r="F338" s="171" t="s">
        <v>3648</v>
      </c>
      <c r="K338" s="8"/>
      <c r="L338" s="8"/>
      <c r="M338" s="8"/>
      <c r="N338" s="8"/>
      <c r="O338" s="8"/>
      <c r="P338" s="8"/>
    </row>
    <row r="339" spans="1:16" ht="15" customHeight="1">
      <c r="A339" s="272" t="s">
        <v>2310</v>
      </c>
      <c r="B339" s="276" t="s">
        <v>3651</v>
      </c>
      <c r="C339" s="153">
        <v>0</v>
      </c>
      <c r="D339" s="152" t="s">
        <v>3163</v>
      </c>
      <c r="E339" s="153" t="s">
        <v>669</v>
      </c>
      <c r="F339" s="152" t="s">
        <v>2923</v>
      </c>
      <c r="K339" s="8"/>
      <c r="L339" s="8"/>
      <c r="M339" s="8"/>
      <c r="N339" s="8"/>
      <c r="O339" s="8"/>
      <c r="P339" s="8"/>
    </row>
    <row r="340" spans="1:16" ht="15" customHeight="1">
      <c r="A340" s="292"/>
      <c r="B340" s="305"/>
      <c r="C340" s="153">
        <v>1</v>
      </c>
      <c r="D340" s="152" t="s">
        <v>2307</v>
      </c>
      <c r="E340" s="153" t="s">
        <v>669</v>
      </c>
      <c r="F340" s="152" t="s">
        <v>3162</v>
      </c>
      <c r="K340" s="8"/>
      <c r="L340" s="8"/>
      <c r="M340" s="8"/>
      <c r="N340" s="8"/>
      <c r="O340" s="8"/>
      <c r="P340" s="8"/>
    </row>
    <row r="341" spans="1:16" ht="15" customHeight="1">
      <c r="A341" s="292"/>
      <c r="B341" s="305"/>
      <c r="C341" s="153">
        <v>2</v>
      </c>
      <c r="D341" s="152" t="s">
        <v>2306</v>
      </c>
      <c r="E341" s="153" t="s">
        <v>669</v>
      </c>
      <c r="F341" s="152" t="s">
        <v>3687</v>
      </c>
      <c r="K341" s="8"/>
      <c r="L341" s="8"/>
      <c r="M341" s="8"/>
      <c r="N341" s="8"/>
      <c r="O341" s="8"/>
      <c r="P341" s="8"/>
    </row>
    <row r="342" spans="1:16" ht="15" customHeight="1">
      <c r="A342" s="292"/>
      <c r="B342" s="305"/>
      <c r="C342" s="153">
        <v>4</v>
      </c>
      <c r="D342" s="183" t="s">
        <v>2305</v>
      </c>
      <c r="E342" s="153" t="s">
        <v>1123</v>
      </c>
      <c r="F342" s="152" t="s">
        <v>3682</v>
      </c>
      <c r="K342" s="8"/>
      <c r="L342" s="8"/>
      <c r="M342" s="8"/>
      <c r="N342" s="8"/>
      <c r="O342" s="8"/>
      <c r="P342" s="8"/>
    </row>
    <row r="343" spans="1:16" ht="15" customHeight="1">
      <c r="A343" s="292"/>
      <c r="B343" s="305"/>
      <c r="C343" s="153">
        <v>5</v>
      </c>
      <c r="D343" s="183" t="s">
        <v>2304</v>
      </c>
      <c r="E343" s="153" t="s">
        <v>2874</v>
      </c>
      <c r="F343" s="152" t="s">
        <v>3683</v>
      </c>
      <c r="K343" s="8"/>
      <c r="L343" s="8"/>
      <c r="M343" s="8"/>
      <c r="N343" s="8"/>
      <c r="O343" s="8"/>
      <c r="P343" s="8"/>
    </row>
    <row r="344" spans="1:16" ht="15" customHeight="1">
      <c r="A344" s="273"/>
      <c r="B344" s="277"/>
      <c r="C344" s="153">
        <v>9</v>
      </c>
      <c r="D344" s="152" t="s">
        <v>2303</v>
      </c>
      <c r="E344" s="153" t="s">
        <v>2874</v>
      </c>
      <c r="F344" s="152" t="s">
        <v>3652</v>
      </c>
      <c r="K344" s="8"/>
      <c r="L344" s="8"/>
      <c r="M344" s="8"/>
      <c r="N344" s="8"/>
      <c r="O344" s="8"/>
      <c r="P344" s="8"/>
    </row>
    <row r="345" spans="1:16" ht="15" customHeight="1">
      <c r="A345" s="286" t="s">
        <v>2302</v>
      </c>
      <c r="B345" s="281" t="s">
        <v>3653</v>
      </c>
      <c r="C345" s="151">
        <v>0</v>
      </c>
      <c r="D345" s="171" t="s">
        <v>3161</v>
      </c>
      <c r="E345" s="170" t="s">
        <v>669</v>
      </c>
      <c r="F345" s="171" t="s">
        <v>2923</v>
      </c>
      <c r="K345" s="8"/>
      <c r="L345" s="8"/>
      <c r="M345" s="8"/>
      <c r="N345" s="8"/>
      <c r="O345" s="8"/>
      <c r="P345" s="8"/>
    </row>
    <row r="346" spans="1:16" ht="15" customHeight="1">
      <c r="A346" s="286"/>
      <c r="B346" s="281"/>
      <c r="C346" s="151">
        <v>1</v>
      </c>
      <c r="D346" s="171" t="s">
        <v>2299</v>
      </c>
      <c r="E346" s="170" t="s">
        <v>669</v>
      </c>
      <c r="F346" s="171" t="s">
        <v>3160</v>
      </c>
      <c r="K346" s="8"/>
      <c r="L346" s="8"/>
      <c r="M346" s="8"/>
      <c r="N346" s="8"/>
      <c r="O346" s="8"/>
      <c r="P346" s="8"/>
    </row>
    <row r="347" spans="1:16" ht="15" customHeight="1">
      <c r="A347" s="286"/>
      <c r="B347" s="281"/>
      <c r="C347" s="151">
        <v>2</v>
      </c>
      <c r="D347" s="171" t="s">
        <v>2298</v>
      </c>
      <c r="E347" s="170" t="s">
        <v>669</v>
      </c>
      <c r="F347" s="171" t="s">
        <v>3655</v>
      </c>
      <c r="K347" s="8"/>
      <c r="L347" s="8"/>
      <c r="M347" s="8"/>
      <c r="N347" s="8"/>
      <c r="O347" s="8"/>
      <c r="P347" s="8"/>
    </row>
    <row r="348" spans="1:16" ht="15" customHeight="1">
      <c r="A348" s="286"/>
      <c r="B348" s="281"/>
      <c r="C348" s="151">
        <v>4</v>
      </c>
      <c r="D348" s="175" t="s">
        <v>2297</v>
      </c>
      <c r="E348" s="170" t="s">
        <v>1123</v>
      </c>
      <c r="F348" s="171" t="s">
        <v>3680</v>
      </c>
      <c r="K348" s="8"/>
      <c r="L348" s="8"/>
      <c r="M348" s="8"/>
      <c r="N348" s="8"/>
      <c r="O348" s="8"/>
      <c r="P348" s="8"/>
    </row>
    <row r="349" spans="1:16" ht="15" customHeight="1">
      <c r="A349" s="286"/>
      <c r="B349" s="281"/>
      <c r="C349" s="151">
        <v>5</v>
      </c>
      <c r="D349" s="175" t="s">
        <v>3654</v>
      </c>
      <c r="E349" s="170" t="s">
        <v>2874</v>
      </c>
      <c r="F349" s="171" t="s">
        <v>3684</v>
      </c>
      <c r="K349" s="8"/>
      <c r="L349" s="8"/>
      <c r="M349" s="8"/>
      <c r="N349" s="8"/>
      <c r="O349" s="8"/>
      <c r="P349" s="8"/>
    </row>
    <row r="350" spans="1:16" ht="15" customHeight="1">
      <c r="A350" s="286"/>
      <c r="B350" s="281"/>
      <c r="C350" s="151">
        <v>9</v>
      </c>
      <c r="D350" s="171" t="s">
        <v>2295</v>
      </c>
      <c r="E350" s="170" t="s">
        <v>1123</v>
      </c>
      <c r="F350" s="171" t="s">
        <v>3656</v>
      </c>
      <c r="K350" s="8"/>
      <c r="L350" s="8"/>
      <c r="M350" s="8"/>
      <c r="N350" s="8"/>
      <c r="O350" s="8"/>
      <c r="P350" s="8"/>
    </row>
    <row r="351" spans="1:16" ht="15" customHeight="1">
      <c r="A351" s="272" t="s">
        <v>2294</v>
      </c>
      <c r="B351" s="276" t="s">
        <v>3642</v>
      </c>
      <c r="C351" s="153">
        <v>0</v>
      </c>
      <c r="D351" s="152" t="s">
        <v>3159</v>
      </c>
      <c r="E351" s="153" t="s">
        <v>669</v>
      </c>
      <c r="F351" s="152" t="s">
        <v>2923</v>
      </c>
      <c r="K351" s="8"/>
      <c r="L351" s="8"/>
      <c r="M351" s="8"/>
      <c r="N351" s="8"/>
      <c r="O351" s="8"/>
      <c r="P351" s="8"/>
    </row>
    <row r="352" spans="1:16" ht="15" customHeight="1">
      <c r="A352" s="292"/>
      <c r="B352" s="305"/>
      <c r="C352" s="153">
        <v>1</v>
      </c>
      <c r="D352" s="152" t="s">
        <v>2291</v>
      </c>
      <c r="E352" s="153" t="s">
        <v>669</v>
      </c>
      <c r="F352" s="152" t="s">
        <v>3158</v>
      </c>
      <c r="K352" s="8"/>
      <c r="L352" s="8"/>
      <c r="M352" s="8"/>
      <c r="N352" s="8"/>
      <c r="O352" s="8"/>
      <c r="P352" s="8"/>
    </row>
    <row r="353" spans="1:16" ht="15" customHeight="1">
      <c r="A353" s="292"/>
      <c r="B353" s="305"/>
      <c r="C353" s="153">
        <v>2</v>
      </c>
      <c r="D353" s="152" t="s">
        <v>2290</v>
      </c>
      <c r="E353" s="153" t="s">
        <v>669</v>
      </c>
      <c r="F353" s="152" t="s">
        <v>3688</v>
      </c>
      <c r="K353" s="8"/>
      <c r="L353" s="8"/>
      <c r="M353" s="8"/>
      <c r="N353" s="8"/>
      <c r="O353" s="8"/>
      <c r="P353" s="8"/>
    </row>
    <row r="354" spans="1:16" ht="15" customHeight="1">
      <c r="A354" s="292"/>
      <c r="B354" s="305"/>
      <c r="C354" s="153">
        <v>4</v>
      </c>
      <c r="D354" s="152" t="s">
        <v>3657</v>
      </c>
      <c r="E354" s="153" t="s">
        <v>669</v>
      </c>
      <c r="F354" s="152" t="s">
        <v>3662</v>
      </c>
      <c r="K354" s="8"/>
      <c r="L354" s="8"/>
      <c r="M354" s="8"/>
      <c r="N354" s="8"/>
      <c r="O354" s="8"/>
      <c r="P354" s="8"/>
    </row>
    <row r="355" spans="1:16" ht="15" customHeight="1">
      <c r="A355" s="292"/>
      <c r="B355" s="305"/>
      <c r="C355" s="153">
        <v>5</v>
      </c>
      <c r="D355" s="152" t="s">
        <v>3658</v>
      </c>
      <c r="E355" s="153" t="s">
        <v>669</v>
      </c>
      <c r="F355" s="152" t="s">
        <v>3685</v>
      </c>
      <c r="K355" s="8"/>
      <c r="L355" s="8"/>
      <c r="M355" s="8"/>
      <c r="N355" s="8"/>
      <c r="O355" s="8"/>
      <c r="P355" s="8"/>
    </row>
    <row r="356" spans="1:16" ht="15" customHeight="1">
      <c r="A356" s="292"/>
      <c r="B356" s="305"/>
      <c r="C356" s="182">
        <v>9</v>
      </c>
      <c r="D356" s="183" t="s">
        <v>3659</v>
      </c>
      <c r="E356" s="182" t="s">
        <v>2874</v>
      </c>
      <c r="F356" s="183" t="s">
        <v>3661</v>
      </c>
      <c r="K356" s="8"/>
      <c r="L356" s="8"/>
      <c r="M356" s="8"/>
      <c r="N356" s="8"/>
      <c r="O356" s="8"/>
      <c r="P356" s="8"/>
    </row>
    <row r="357" spans="1:16" ht="15" customHeight="1">
      <c r="A357" s="273"/>
      <c r="B357" s="277"/>
      <c r="C357" s="153">
        <v>10</v>
      </c>
      <c r="D357" s="152" t="s">
        <v>2286</v>
      </c>
      <c r="E357" s="153" t="s">
        <v>2874</v>
      </c>
      <c r="F357" s="152" t="s">
        <v>3660</v>
      </c>
      <c r="K357" s="8"/>
      <c r="L357" s="8"/>
      <c r="M357" s="8"/>
      <c r="N357" s="8"/>
      <c r="O357" s="8"/>
      <c r="P357" s="8"/>
    </row>
    <row r="358" spans="1:16" ht="15" customHeight="1">
      <c r="A358" s="274" t="s">
        <v>2285</v>
      </c>
      <c r="B358" s="278" t="s">
        <v>4397</v>
      </c>
      <c r="C358" s="151">
        <v>0</v>
      </c>
      <c r="D358" s="171" t="s">
        <v>3157</v>
      </c>
      <c r="E358" s="170" t="s">
        <v>669</v>
      </c>
      <c r="F358" s="171" t="s">
        <v>2923</v>
      </c>
      <c r="K358" s="8"/>
      <c r="L358" s="8"/>
      <c r="M358" s="8"/>
      <c r="N358" s="8"/>
      <c r="O358" s="8"/>
      <c r="P358" s="8"/>
    </row>
    <row r="359" spans="1:16" ht="15" customHeight="1">
      <c r="A359" s="299"/>
      <c r="B359" s="304"/>
      <c r="C359" s="151">
        <v>1</v>
      </c>
      <c r="D359" s="171" t="s">
        <v>2282</v>
      </c>
      <c r="E359" s="170" t="s">
        <v>669</v>
      </c>
      <c r="F359" s="171" t="s">
        <v>3156</v>
      </c>
      <c r="K359" s="8"/>
      <c r="L359" s="8"/>
      <c r="M359" s="8"/>
      <c r="N359" s="8"/>
      <c r="O359" s="8"/>
      <c r="P359" s="8"/>
    </row>
    <row r="360" spans="1:16" ht="15" customHeight="1">
      <c r="A360" s="299"/>
      <c r="B360" s="304"/>
      <c r="C360" s="151">
        <v>2</v>
      </c>
      <c r="D360" s="171" t="s">
        <v>2281</v>
      </c>
      <c r="E360" s="170" t="s">
        <v>669</v>
      </c>
      <c r="F360" s="171" t="s">
        <v>3663</v>
      </c>
      <c r="K360" s="8"/>
      <c r="L360" s="8"/>
      <c r="M360" s="8"/>
      <c r="N360" s="8"/>
      <c r="O360" s="8"/>
      <c r="P360" s="8"/>
    </row>
    <row r="361" spans="1:16" ht="15" customHeight="1">
      <c r="A361" s="299"/>
      <c r="B361" s="304"/>
      <c r="C361" s="151">
        <v>4</v>
      </c>
      <c r="D361" s="171" t="s">
        <v>2280</v>
      </c>
      <c r="E361" s="170" t="s">
        <v>669</v>
      </c>
      <c r="F361" s="171" t="s">
        <v>3679</v>
      </c>
      <c r="K361" s="8"/>
      <c r="L361" s="8"/>
      <c r="M361" s="8"/>
      <c r="N361" s="8"/>
      <c r="O361" s="8"/>
      <c r="P361" s="8"/>
    </row>
    <row r="362" spans="1:16" ht="15" customHeight="1">
      <c r="A362" s="299"/>
      <c r="B362" s="304"/>
      <c r="C362" s="151">
        <v>9</v>
      </c>
      <c r="D362" s="171" t="s">
        <v>4398</v>
      </c>
      <c r="E362" s="170" t="s">
        <v>1123</v>
      </c>
      <c r="F362" s="171" t="s">
        <v>3667</v>
      </c>
      <c r="K362" s="8"/>
      <c r="L362" s="8"/>
      <c r="M362" s="8"/>
      <c r="N362" s="8"/>
      <c r="O362" s="8"/>
      <c r="P362" s="8"/>
    </row>
    <row r="363" spans="1:16" ht="15" customHeight="1">
      <c r="A363" s="299"/>
      <c r="B363" s="304"/>
      <c r="C363" s="151">
        <v>10</v>
      </c>
      <c r="D363" s="171" t="s">
        <v>2278</v>
      </c>
      <c r="E363" s="170" t="s">
        <v>669</v>
      </c>
      <c r="F363" s="171" t="s">
        <v>3664</v>
      </c>
      <c r="K363" s="8"/>
      <c r="L363" s="8"/>
      <c r="M363" s="8"/>
      <c r="N363" s="8"/>
      <c r="O363" s="8"/>
      <c r="P363" s="8"/>
    </row>
    <row r="364" spans="1:16" ht="15" customHeight="1">
      <c r="A364" s="275"/>
      <c r="B364" s="279"/>
      <c r="C364" s="151">
        <v>11</v>
      </c>
      <c r="D364" s="171" t="s">
        <v>2277</v>
      </c>
      <c r="E364" s="170" t="s">
        <v>669</v>
      </c>
      <c r="F364" s="171" t="s">
        <v>3665</v>
      </c>
      <c r="K364" s="8"/>
      <c r="L364" s="8"/>
      <c r="M364" s="8"/>
      <c r="N364" s="8"/>
      <c r="O364" s="8"/>
      <c r="P364" s="8"/>
    </row>
    <row r="365" spans="1:16" ht="15" customHeight="1">
      <c r="A365" s="272" t="s">
        <v>3668</v>
      </c>
      <c r="B365" s="276" t="s">
        <v>3670</v>
      </c>
      <c r="C365" s="153">
        <v>0</v>
      </c>
      <c r="D365" s="152" t="s">
        <v>3155</v>
      </c>
      <c r="E365" s="153" t="s">
        <v>669</v>
      </c>
      <c r="F365" s="152" t="s">
        <v>2923</v>
      </c>
      <c r="K365" s="8"/>
      <c r="L365" s="8"/>
      <c r="M365" s="8"/>
      <c r="N365" s="8"/>
      <c r="O365" s="8"/>
      <c r="P365" s="8"/>
    </row>
    <row r="366" spans="1:16" ht="15" customHeight="1">
      <c r="A366" s="292"/>
      <c r="B366" s="305"/>
      <c r="C366" s="153">
        <v>1</v>
      </c>
      <c r="D366" s="152" t="s">
        <v>2273</v>
      </c>
      <c r="E366" s="153" t="s">
        <v>669</v>
      </c>
      <c r="F366" s="152" t="s">
        <v>3154</v>
      </c>
      <c r="K366" s="8"/>
      <c r="L366" s="8"/>
      <c r="M366" s="8"/>
      <c r="N366" s="8"/>
      <c r="O366" s="8"/>
      <c r="P366" s="8"/>
    </row>
    <row r="367" spans="1:16" ht="15" customHeight="1">
      <c r="A367" s="292"/>
      <c r="B367" s="305"/>
      <c r="C367" s="153">
        <v>2</v>
      </c>
      <c r="D367" s="152" t="s">
        <v>2272</v>
      </c>
      <c r="E367" s="153" t="s">
        <v>669</v>
      </c>
      <c r="F367" s="152" t="s">
        <v>3669</v>
      </c>
      <c r="K367" s="8"/>
      <c r="L367" s="8"/>
      <c r="M367" s="8"/>
      <c r="N367" s="8"/>
      <c r="O367" s="8"/>
      <c r="P367" s="8"/>
    </row>
    <row r="368" spans="1:16" ht="15" customHeight="1">
      <c r="A368" s="292"/>
      <c r="B368" s="305"/>
      <c r="C368" s="153">
        <v>4</v>
      </c>
      <c r="D368" s="152" t="s">
        <v>2271</v>
      </c>
      <c r="E368" s="153" t="s">
        <v>669</v>
      </c>
      <c r="F368" s="152" t="s">
        <v>3673</v>
      </c>
      <c r="K368" s="8"/>
      <c r="L368" s="8"/>
      <c r="M368" s="8"/>
      <c r="N368" s="8"/>
      <c r="O368" s="8"/>
      <c r="P368" s="8"/>
    </row>
    <row r="369" spans="1:16" ht="15" customHeight="1">
      <c r="A369" s="292"/>
      <c r="B369" s="305"/>
      <c r="C369" s="153">
        <v>10</v>
      </c>
      <c r="D369" s="152" t="s">
        <v>2270</v>
      </c>
      <c r="E369" s="153" t="s">
        <v>669</v>
      </c>
      <c r="F369" s="152" t="s">
        <v>3671</v>
      </c>
      <c r="K369" s="8"/>
      <c r="L369" s="8"/>
      <c r="M369" s="8"/>
      <c r="N369" s="8"/>
      <c r="O369" s="8"/>
      <c r="P369" s="8"/>
    </row>
    <row r="370" spans="1:16" ht="15" customHeight="1">
      <c r="A370" s="273"/>
      <c r="B370" s="277"/>
      <c r="C370" s="153">
        <v>11</v>
      </c>
      <c r="D370" s="152" t="s">
        <v>2269</v>
      </c>
      <c r="E370" s="153" t="s">
        <v>669</v>
      </c>
      <c r="F370" s="152" t="s">
        <v>3672</v>
      </c>
      <c r="K370" s="8"/>
      <c r="L370" s="8"/>
      <c r="M370" s="8"/>
      <c r="N370" s="8"/>
      <c r="O370" s="8"/>
      <c r="P370" s="8"/>
    </row>
    <row r="371" spans="1:16" ht="15" customHeight="1">
      <c r="A371" s="274" t="s">
        <v>3675</v>
      </c>
      <c r="B371" s="278" t="s">
        <v>3677</v>
      </c>
      <c r="C371" s="151">
        <v>0</v>
      </c>
      <c r="D371" s="171" t="s">
        <v>3153</v>
      </c>
      <c r="E371" s="170" t="s">
        <v>669</v>
      </c>
      <c r="F371" s="171" t="s">
        <v>2923</v>
      </c>
      <c r="K371" s="8"/>
      <c r="L371" s="8"/>
      <c r="M371" s="8"/>
      <c r="N371" s="8"/>
      <c r="O371" s="8"/>
      <c r="P371" s="8"/>
    </row>
    <row r="372" spans="1:16" ht="15" customHeight="1">
      <c r="A372" s="299"/>
      <c r="B372" s="304"/>
      <c r="C372" s="151">
        <v>1</v>
      </c>
      <c r="D372" s="171" t="s">
        <v>2265</v>
      </c>
      <c r="E372" s="170" t="s">
        <v>669</v>
      </c>
      <c r="F372" s="171" t="s">
        <v>3152</v>
      </c>
      <c r="K372" s="8"/>
      <c r="L372" s="8"/>
      <c r="M372" s="8"/>
      <c r="N372" s="8"/>
      <c r="O372" s="8"/>
      <c r="P372" s="8"/>
    </row>
    <row r="373" spans="1:16" ht="15" customHeight="1">
      <c r="A373" s="299"/>
      <c r="B373" s="304"/>
      <c r="C373" s="151">
        <v>2</v>
      </c>
      <c r="D373" s="171" t="s">
        <v>2264</v>
      </c>
      <c r="E373" s="170" t="s">
        <v>669</v>
      </c>
      <c r="F373" s="171" t="s">
        <v>3689</v>
      </c>
      <c r="K373" s="8"/>
      <c r="L373" s="8"/>
      <c r="M373" s="8"/>
      <c r="N373" s="8"/>
      <c r="O373" s="8"/>
      <c r="P373" s="8"/>
    </row>
    <row r="374" spans="1:16" ht="15" customHeight="1">
      <c r="A374" s="299"/>
      <c r="B374" s="304"/>
      <c r="C374" s="151">
        <v>4</v>
      </c>
      <c r="D374" s="171" t="s">
        <v>3678</v>
      </c>
      <c r="E374" s="170" t="s">
        <v>1123</v>
      </c>
      <c r="F374" s="171" t="s">
        <v>4708</v>
      </c>
      <c r="K374" s="8"/>
      <c r="L374" s="8"/>
      <c r="M374" s="8"/>
      <c r="N374" s="8"/>
      <c r="O374" s="8"/>
      <c r="P374" s="8"/>
    </row>
    <row r="375" spans="1:16" ht="15" customHeight="1">
      <c r="A375" s="299"/>
      <c r="B375" s="304"/>
      <c r="C375" s="151">
        <v>5</v>
      </c>
      <c r="D375" s="175" t="s">
        <v>3674</v>
      </c>
      <c r="E375" s="170" t="s">
        <v>2874</v>
      </c>
      <c r="F375" s="175" t="s">
        <v>3704</v>
      </c>
      <c r="K375" s="8"/>
      <c r="L375" s="8"/>
      <c r="M375" s="8"/>
      <c r="N375" s="8"/>
      <c r="O375" s="8"/>
      <c r="P375" s="8"/>
    </row>
    <row r="376" spans="1:16" ht="15" customHeight="1">
      <c r="A376" s="275"/>
      <c r="B376" s="279"/>
      <c r="C376" s="151">
        <v>10</v>
      </c>
      <c r="D376" s="171" t="s">
        <v>2261</v>
      </c>
      <c r="E376" s="170" t="s">
        <v>669</v>
      </c>
      <c r="F376" s="171" t="s">
        <v>3676</v>
      </c>
      <c r="K376" s="8"/>
      <c r="L376" s="8"/>
      <c r="M376" s="8"/>
      <c r="N376" s="8"/>
      <c r="O376" s="8"/>
      <c r="P376" s="8"/>
    </row>
    <row r="377" spans="1:16" ht="15" customHeight="1">
      <c r="A377" s="272" t="s">
        <v>3692</v>
      </c>
      <c r="B377" s="276" t="s">
        <v>3690</v>
      </c>
      <c r="C377" s="153">
        <v>0</v>
      </c>
      <c r="D377" s="152" t="s">
        <v>3151</v>
      </c>
      <c r="E377" s="153" t="s">
        <v>669</v>
      </c>
      <c r="F377" s="152" t="s">
        <v>2923</v>
      </c>
      <c r="K377" s="8"/>
      <c r="L377" s="8"/>
      <c r="M377" s="8"/>
      <c r="N377" s="8"/>
      <c r="O377" s="8"/>
      <c r="P377" s="8"/>
    </row>
    <row r="378" spans="1:16" ht="15" customHeight="1">
      <c r="A378" s="292"/>
      <c r="B378" s="305"/>
      <c r="C378" s="153">
        <v>1</v>
      </c>
      <c r="D378" s="152" t="s">
        <v>2257</v>
      </c>
      <c r="E378" s="153" t="s">
        <v>669</v>
      </c>
      <c r="F378" s="152" t="s">
        <v>3150</v>
      </c>
      <c r="K378" s="8"/>
      <c r="L378" s="8"/>
      <c r="M378" s="8"/>
      <c r="N378" s="8"/>
      <c r="O378" s="8"/>
      <c r="P378" s="8"/>
    </row>
    <row r="379" spans="1:16" ht="15" customHeight="1">
      <c r="A379" s="292"/>
      <c r="B379" s="305"/>
      <c r="C379" s="153">
        <v>2</v>
      </c>
      <c r="D379" s="183" t="s">
        <v>2256</v>
      </c>
      <c r="E379" s="153" t="s">
        <v>2874</v>
      </c>
      <c r="F379" s="152" t="s">
        <v>3691</v>
      </c>
      <c r="K379" s="8"/>
      <c r="L379" s="8"/>
      <c r="M379" s="8"/>
      <c r="N379" s="8"/>
      <c r="O379" s="8"/>
      <c r="P379" s="8"/>
    </row>
    <row r="380" spans="1:16" ht="15" customHeight="1">
      <c r="A380" s="292"/>
      <c r="B380" s="305"/>
      <c r="C380" s="153">
        <v>3</v>
      </c>
      <c r="D380" s="183" t="s">
        <v>2255</v>
      </c>
      <c r="E380" s="153" t="s">
        <v>2874</v>
      </c>
      <c r="F380" s="152" t="s">
        <v>4944</v>
      </c>
      <c r="K380" s="8"/>
      <c r="L380" s="8"/>
      <c r="M380" s="8"/>
      <c r="N380" s="8"/>
      <c r="O380" s="8"/>
      <c r="P380" s="8"/>
    </row>
    <row r="381" spans="1:16" ht="15" customHeight="1">
      <c r="A381" s="292"/>
      <c r="B381" s="305"/>
      <c r="C381" s="153">
        <v>9</v>
      </c>
      <c r="D381" s="152" t="s">
        <v>2254</v>
      </c>
      <c r="E381" s="153" t="s">
        <v>2874</v>
      </c>
      <c r="F381" s="152" t="s">
        <v>3697</v>
      </c>
      <c r="K381" s="8"/>
      <c r="L381" s="8"/>
      <c r="M381" s="8"/>
      <c r="N381" s="8"/>
      <c r="O381" s="8"/>
      <c r="P381" s="8"/>
    </row>
    <row r="382" spans="1:16" ht="15" customHeight="1">
      <c r="A382" s="273"/>
      <c r="B382" s="277"/>
      <c r="C382" s="153">
        <v>11</v>
      </c>
      <c r="D382" s="152" t="s">
        <v>2253</v>
      </c>
      <c r="E382" s="153" t="s">
        <v>669</v>
      </c>
      <c r="F382" s="152" t="s">
        <v>3693</v>
      </c>
      <c r="K382" s="8"/>
      <c r="L382" s="8"/>
      <c r="M382" s="8"/>
      <c r="N382" s="8"/>
      <c r="O382" s="8"/>
      <c r="P382" s="8"/>
    </row>
    <row r="383" spans="1:16" ht="15" customHeight="1">
      <c r="A383" s="274" t="s">
        <v>3695</v>
      </c>
      <c r="B383" s="278" t="s">
        <v>3694</v>
      </c>
      <c r="C383" s="151">
        <v>0</v>
      </c>
      <c r="D383" s="171" t="s">
        <v>3149</v>
      </c>
      <c r="E383" s="170" t="s">
        <v>669</v>
      </c>
      <c r="F383" s="171" t="s">
        <v>2923</v>
      </c>
      <c r="K383" s="8"/>
      <c r="L383" s="8"/>
      <c r="M383" s="8"/>
      <c r="N383" s="8"/>
      <c r="O383" s="8"/>
      <c r="P383" s="8"/>
    </row>
    <row r="384" spans="1:16" ht="15" customHeight="1">
      <c r="A384" s="299"/>
      <c r="B384" s="304"/>
      <c r="C384" s="151">
        <v>1</v>
      </c>
      <c r="D384" s="171" t="s">
        <v>2249</v>
      </c>
      <c r="E384" s="170" t="s">
        <v>2874</v>
      </c>
      <c r="F384" s="171" t="s">
        <v>3148</v>
      </c>
      <c r="K384" s="8"/>
      <c r="L384" s="8"/>
      <c r="M384" s="8"/>
      <c r="N384" s="8"/>
      <c r="O384" s="8"/>
      <c r="P384" s="8"/>
    </row>
    <row r="385" spans="1:16" ht="15" customHeight="1">
      <c r="A385" s="299"/>
      <c r="B385" s="304"/>
      <c r="C385" s="151">
        <v>2</v>
      </c>
      <c r="D385" s="171" t="s">
        <v>2248</v>
      </c>
      <c r="E385" s="170" t="s">
        <v>2157</v>
      </c>
      <c r="F385" s="171" t="s">
        <v>3698</v>
      </c>
      <c r="K385" s="8"/>
      <c r="L385" s="8"/>
      <c r="M385" s="8"/>
      <c r="N385" s="8"/>
      <c r="O385" s="8"/>
      <c r="P385" s="8"/>
    </row>
    <row r="386" spans="1:16" ht="15" customHeight="1">
      <c r="A386" s="299"/>
      <c r="B386" s="304"/>
      <c r="C386" s="151">
        <v>4</v>
      </c>
      <c r="D386" s="175" t="s">
        <v>2247</v>
      </c>
      <c r="E386" s="170" t="s">
        <v>1123</v>
      </c>
      <c r="F386" s="171" t="s">
        <v>4718</v>
      </c>
      <c r="K386" s="8"/>
      <c r="L386" s="8"/>
      <c r="M386" s="8"/>
      <c r="N386" s="8"/>
      <c r="O386" s="8"/>
      <c r="P386" s="8"/>
    </row>
    <row r="387" spans="1:16" ht="15" customHeight="1">
      <c r="A387" s="299"/>
      <c r="B387" s="304"/>
      <c r="C387" s="151">
        <v>5</v>
      </c>
      <c r="D387" s="175" t="s">
        <v>2246</v>
      </c>
      <c r="E387" s="170" t="s">
        <v>2874</v>
      </c>
      <c r="F387" s="171" t="s">
        <v>4724</v>
      </c>
      <c r="K387" s="8"/>
      <c r="L387" s="8"/>
      <c r="M387" s="8"/>
      <c r="N387" s="8"/>
      <c r="O387" s="8"/>
      <c r="P387" s="8"/>
    </row>
    <row r="388" spans="1:16" ht="15" customHeight="1">
      <c r="A388" s="275"/>
      <c r="B388" s="279"/>
      <c r="C388" s="151">
        <v>12</v>
      </c>
      <c r="D388" s="171" t="s">
        <v>2245</v>
      </c>
      <c r="E388" s="170" t="s">
        <v>669</v>
      </c>
      <c r="F388" s="171" t="s">
        <v>3696</v>
      </c>
      <c r="K388" s="8"/>
      <c r="L388" s="8"/>
      <c r="M388" s="8"/>
      <c r="N388" s="8"/>
      <c r="O388" s="8"/>
      <c r="P388" s="8"/>
    </row>
    <row r="389" spans="1:16" ht="15" customHeight="1">
      <c r="A389" s="272" t="s">
        <v>3702</v>
      </c>
      <c r="B389" s="276" t="s">
        <v>3700</v>
      </c>
      <c r="C389" s="153">
        <v>0</v>
      </c>
      <c r="D389" s="152" t="s">
        <v>3147</v>
      </c>
      <c r="E389" s="153" t="s">
        <v>669</v>
      </c>
      <c r="F389" s="152" t="s">
        <v>2923</v>
      </c>
      <c r="K389" s="8"/>
      <c r="L389" s="8"/>
      <c r="M389" s="8"/>
      <c r="N389" s="8"/>
      <c r="O389" s="8"/>
      <c r="P389" s="8"/>
    </row>
    <row r="390" spans="1:16" ht="15" customHeight="1">
      <c r="A390" s="292"/>
      <c r="B390" s="305"/>
      <c r="C390" s="153">
        <v>1</v>
      </c>
      <c r="D390" s="152" t="s">
        <v>2241</v>
      </c>
      <c r="E390" s="153" t="s">
        <v>1123</v>
      </c>
      <c r="F390" s="152" t="s">
        <v>3146</v>
      </c>
      <c r="K390" s="8"/>
      <c r="L390" s="8"/>
      <c r="M390" s="8"/>
      <c r="N390" s="8"/>
      <c r="O390" s="8"/>
      <c r="P390" s="8"/>
    </row>
    <row r="391" spans="1:16" ht="15" customHeight="1">
      <c r="A391" s="292"/>
      <c r="B391" s="305"/>
      <c r="C391" s="153">
        <v>2</v>
      </c>
      <c r="D391" s="152" t="s">
        <v>2240</v>
      </c>
      <c r="E391" s="182" t="s">
        <v>2874</v>
      </c>
      <c r="F391" s="152" t="s">
        <v>4819</v>
      </c>
      <c r="K391" s="8"/>
      <c r="L391" s="8"/>
      <c r="M391" s="8"/>
      <c r="N391" s="8"/>
      <c r="O391" s="8"/>
      <c r="P391" s="8"/>
    </row>
    <row r="392" spans="1:16" ht="15" customHeight="1">
      <c r="A392" s="292"/>
      <c r="B392" s="305"/>
      <c r="C392" s="153">
        <v>4</v>
      </c>
      <c r="D392" s="152" t="s">
        <v>3699</v>
      </c>
      <c r="E392" s="153" t="s">
        <v>2874</v>
      </c>
      <c r="F392" s="152" t="s">
        <v>4719</v>
      </c>
      <c r="K392" s="8"/>
      <c r="L392" s="8"/>
      <c r="M392" s="8"/>
      <c r="N392" s="8"/>
      <c r="O392" s="8"/>
      <c r="P392" s="8"/>
    </row>
    <row r="393" spans="1:16" ht="15" customHeight="1">
      <c r="A393" s="292"/>
      <c r="B393" s="305"/>
      <c r="C393" s="153">
        <v>5</v>
      </c>
      <c r="D393" s="152" t="s">
        <v>3701</v>
      </c>
      <c r="E393" s="153" t="s">
        <v>1123</v>
      </c>
      <c r="F393" s="152" t="s">
        <v>4740</v>
      </c>
      <c r="K393" s="8"/>
      <c r="L393" s="8"/>
      <c r="M393" s="8"/>
      <c r="N393" s="8"/>
      <c r="O393" s="8"/>
      <c r="P393" s="8"/>
    </row>
    <row r="394" spans="1:16" ht="15" customHeight="1">
      <c r="A394" s="273"/>
      <c r="B394" s="277"/>
      <c r="C394" s="153">
        <v>10</v>
      </c>
      <c r="D394" s="152" t="s">
        <v>2237</v>
      </c>
      <c r="E394" s="153" t="s">
        <v>2874</v>
      </c>
      <c r="F394" s="152" t="s">
        <v>3703</v>
      </c>
      <c r="K394" s="8"/>
      <c r="L394" s="8"/>
      <c r="M394" s="8"/>
      <c r="N394" s="8"/>
      <c r="O394" s="8"/>
      <c r="P394" s="8"/>
    </row>
    <row r="395" spans="1:16" ht="15" customHeight="1">
      <c r="A395" s="274" t="s">
        <v>3706</v>
      </c>
      <c r="B395" s="278" t="s">
        <v>3705</v>
      </c>
      <c r="C395" s="151">
        <v>0</v>
      </c>
      <c r="D395" s="171" t="s">
        <v>3145</v>
      </c>
      <c r="E395" s="170" t="s">
        <v>669</v>
      </c>
      <c r="F395" s="171" t="s">
        <v>2923</v>
      </c>
      <c r="K395" s="8"/>
      <c r="L395" s="8"/>
      <c r="M395" s="8"/>
      <c r="N395" s="8"/>
      <c r="O395" s="8"/>
      <c r="P395" s="8"/>
    </row>
    <row r="396" spans="1:16" ht="15" customHeight="1">
      <c r="A396" s="299"/>
      <c r="B396" s="304"/>
      <c r="C396" s="151">
        <v>1</v>
      </c>
      <c r="D396" s="171" t="s">
        <v>2233</v>
      </c>
      <c r="E396" s="170" t="s">
        <v>2874</v>
      </c>
      <c r="F396" s="171" t="s">
        <v>3144</v>
      </c>
      <c r="K396" s="8"/>
      <c r="L396" s="8"/>
      <c r="M396" s="8"/>
      <c r="N396" s="8"/>
      <c r="O396" s="8"/>
      <c r="P396" s="8"/>
    </row>
    <row r="397" spans="1:16" ht="15" customHeight="1">
      <c r="A397" s="299"/>
      <c r="B397" s="304"/>
      <c r="C397" s="151">
        <v>2</v>
      </c>
      <c r="D397" s="171" t="s">
        <v>2232</v>
      </c>
      <c r="E397" s="170" t="s">
        <v>2874</v>
      </c>
      <c r="F397" s="171" t="s">
        <v>4943</v>
      </c>
      <c r="K397" s="8"/>
      <c r="L397" s="8"/>
      <c r="M397" s="8"/>
      <c r="N397" s="8"/>
      <c r="O397" s="8"/>
      <c r="P397" s="8"/>
    </row>
    <row r="398" spans="1:16" ht="15" customHeight="1">
      <c r="A398" s="299"/>
      <c r="B398" s="304"/>
      <c r="C398" s="151">
        <v>9</v>
      </c>
      <c r="D398" s="171" t="s">
        <v>2230</v>
      </c>
      <c r="E398" s="170" t="s">
        <v>1123</v>
      </c>
      <c r="F398" s="171" t="s">
        <v>3707</v>
      </c>
      <c r="K398" s="8"/>
      <c r="L398" s="8"/>
      <c r="M398" s="8"/>
      <c r="N398" s="8"/>
      <c r="O398" s="8"/>
      <c r="P398" s="8"/>
    </row>
    <row r="399" spans="1:16" ht="15" customHeight="1">
      <c r="A399" s="299"/>
      <c r="B399" s="304"/>
      <c r="C399" s="151">
        <v>11</v>
      </c>
      <c r="D399" s="171" t="s">
        <v>2228</v>
      </c>
      <c r="E399" s="170" t="s">
        <v>669</v>
      </c>
      <c r="F399" s="171" t="s">
        <v>3708</v>
      </c>
      <c r="K399" s="8"/>
      <c r="L399" s="8"/>
      <c r="M399" s="8"/>
      <c r="N399" s="8"/>
      <c r="O399" s="8"/>
      <c r="P399" s="8"/>
    </row>
    <row r="400" spans="1:16" ht="15" customHeight="1">
      <c r="A400" s="299"/>
      <c r="B400" s="304"/>
      <c r="C400" s="151">
        <v>12</v>
      </c>
      <c r="D400" s="171" t="s">
        <v>2229</v>
      </c>
      <c r="E400" s="170" t="s">
        <v>669</v>
      </c>
      <c r="F400" s="171" t="s">
        <v>3709</v>
      </c>
      <c r="K400" s="8"/>
      <c r="L400" s="8"/>
      <c r="M400" s="8"/>
      <c r="N400" s="8"/>
      <c r="O400" s="8"/>
      <c r="P400" s="8"/>
    </row>
    <row r="401" spans="1:16" ht="15" customHeight="1">
      <c r="A401" s="275"/>
      <c r="B401" s="279"/>
      <c r="C401" s="151">
        <v>13</v>
      </c>
      <c r="D401" s="171" t="s">
        <v>2231</v>
      </c>
      <c r="E401" s="170" t="s">
        <v>1123</v>
      </c>
      <c r="F401" s="171" t="s">
        <v>3710</v>
      </c>
      <c r="K401" s="8"/>
      <c r="L401" s="8"/>
      <c r="M401" s="8"/>
      <c r="N401" s="8"/>
      <c r="O401" s="8"/>
      <c r="P401" s="8"/>
    </row>
    <row r="402" spans="1:16" ht="15" customHeight="1">
      <c r="A402" s="186" t="s">
        <v>2227</v>
      </c>
      <c r="B402" s="173" t="s">
        <v>273</v>
      </c>
      <c r="C402" s="153" t="s">
        <v>2852</v>
      </c>
      <c r="D402" s="152" t="s">
        <v>273</v>
      </c>
      <c r="E402" s="153" t="s">
        <v>505</v>
      </c>
      <c r="F402" s="152" t="s">
        <v>3143</v>
      </c>
      <c r="K402" s="8"/>
      <c r="L402" s="8"/>
      <c r="M402" s="8"/>
      <c r="N402" s="8"/>
      <c r="O402" s="8"/>
      <c r="P402" s="8"/>
    </row>
    <row r="403" spans="1:16" ht="15" customHeight="1">
      <c r="A403" s="155" t="s">
        <v>2226</v>
      </c>
      <c r="B403" s="154"/>
      <c r="C403" s="159"/>
      <c r="D403" s="154"/>
      <c r="E403" s="155"/>
      <c r="F403" s="158"/>
      <c r="K403" s="8"/>
      <c r="L403" s="8"/>
      <c r="M403" s="8"/>
      <c r="N403" s="8"/>
      <c r="O403" s="8"/>
      <c r="P403" s="8"/>
    </row>
    <row r="404" spans="1:16" ht="15" customHeight="1">
      <c r="A404" s="300" t="s">
        <v>3711</v>
      </c>
      <c r="B404" s="300" t="s">
        <v>4684</v>
      </c>
      <c r="C404" s="153">
        <v>0</v>
      </c>
      <c r="D404" s="152" t="s">
        <v>3142</v>
      </c>
      <c r="E404" s="153" t="s">
        <v>669</v>
      </c>
      <c r="F404" s="152" t="s">
        <v>2923</v>
      </c>
      <c r="K404" s="8"/>
      <c r="L404" s="8"/>
      <c r="M404" s="8"/>
      <c r="N404" s="8"/>
      <c r="O404" s="8"/>
      <c r="P404" s="8"/>
    </row>
    <row r="405" spans="1:16" ht="15" customHeight="1">
      <c r="A405" s="301"/>
      <c r="B405" s="301"/>
      <c r="C405" s="153">
        <v>1</v>
      </c>
      <c r="D405" s="152" t="s">
        <v>2222</v>
      </c>
      <c r="E405" s="153" t="s">
        <v>669</v>
      </c>
      <c r="F405" s="152" t="s">
        <v>4683</v>
      </c>
      <c r="K405" s="8"/>
      <c r="L405" s="8"/>
      <c r="M405" s="8"/>
      <c r="N405" s="8"/>
      <c r="O405" s="8"/>
      <c r="P405" s="8"/>
    </row>
    <row r="406" spans="1:16" ht="15" customHeight="1">
      <c r="A406" s="301"/>
      <c r="B406" s="301"/>
      <c r="C406" s="153">
        <v>2</v>
      </c>
      <c r="D406" s="183" t="s">
        <v>4686</v>
      </c>
      <c r="E406" s="153" t="s">
        <v>669</v>
      </c>
      <c r="F406" s="152" t="s">
        <v>4878</v>
      </c>
      <c r="K406" s="8"/>
      <c r="L406" s="8"/>
      <c r="M406" s="8"/>
      <c r="N406" s="8"/>
      <c r="O406" s="8"/>
      <c r="P406" s="8"/>
    </row>
    <row r="407" spans="1:16" ht="15" customHeight="1">
      <c r="A407" s="301"/>
      <c r="B407" s="301"/>
      <c r="C407" s="153">
        <v>3</v>
      </c>
      <c r="D407" s="152" t="s">
        <v>2220</v>
      </c>
      <c r="E407" s="153" t="s">
        <v>2874</v>
      </c>
      <c r="F407" s="152" t="s">
        <v>4945</v>
      </c>
      <c r="K407" s="8"/>
      <c r="L407" s="8"/>
      <c r="M407" s="8"/>
      <c r="N407" s="8"/>
      <c r="O407" s="8"/>
      <c r="P407" s="8"/>
    </row>
    <row r="408" spans="1:16" ht="15" customHeight="1">
      <c r="A408" s="301"/>
      <c r="B408" s="301"/>
      <c r="C408" s="153">
        <v>9</v>
      </c>
      <c r="D408" s="183" t="s">
        <v>2218</v>
      </c>
      <c r="E408" s="153" t="s">
        <v>1123</v>
      </c>
      <c r="F408" s="152" t="s">
        <v>4858</v>
      </c>
      <c r="K408" s="8"/>
      <c r="L408" s="8"/>
      <c r="M408" s="8"/>
      <c r="N408" s="8"/>
      <c r="O408" s="8"/>
      <c r="P408" s="8"/>
    </row>
    <row r="409" spans="1:16" ht="15" customHeight="1">
      <c r="A409" s="301"/>
      <c r="B409" s="301"/>
      <c r="C409" s="153">
        <v>10</v>
      </c>
      <c r="D409" s="183" t="s">
        <v>2217</v>
      </c>
      <c r="E409" s="153" t="s">
        <v>669</v>
      </c>
      <c r="F409" s="152" t="s">
        <v>4836</v>
      </c>
      <c r="K409" s="8"/>
      <c r="L409" s="8"/>
      <c r="M409" s="8"/>
      <c r="N409" s="8"/>
      <c r="O409" s="8"/>
      <c r="P409" s="8"/>
    </row>
    <row r="410" spans="1:16" ht="15" customHeight="1">
      <c r="A410" s="301"/>
      <c r="B410" s="301"/>
      <c r="C410" s="153">
        <v>11</v>
      </c>
      <c r="D410" s="183" t="s">
        <v>2216</v>
      </c>
      <c r="E410" s="153" t="s">
        <v>669</v>
      </c>
      <c r="F410" s="152" t="s">
        <v>4478</v>
      </c>
      <c r="K410" s="8"/>
      <c r="L410" s="8"/>
      <c r="M410" s="8"/>
      <c r="N410" s="8"/>
      <c r="O410" s="8"/>
      <c r="P410" s="8"/>
    </row>
    <row r="411" spans="1:16" ht="15" customHeight="1">
      <c r="A411" s="301"/>
      <c r="B411" s="301"/>
      <c r="C411" s="153">
        <v>12</v>
      </c>
      <c r="D411" s="183" t="s">
        <v>2215</v>
      </c>
      <c r="E411" s="153" t="s">
        <v>669</v>
      </c>
      <c r="F411" s="152" t="s">
        <v>4783</v>
      </c>
      <c r="K411" s="8"/>
      <c r="L411" s="8"/>
      <c r="M411" s="8"/>
      <c r="N411" s="8"/>
      <c r="O411" s="8"/>
      <c r="P411" s="8"/>
    </row>
    <row r="412" spans="1:16" ht="15" customHeight="1">
      <c r="A412" s="301"/>
      <c r="B412" s="301"/>
      <c r="C412" s="153">
        <v>13</v>
      </c>
      <c r="D412" s="183" t="s">
        <v>2214</v>
      </c>
      <c r="E412" s="153" t="s">
        <v>1123</v>
      </c>
      <c r="F412" s="152" t="s">
        <v>3713</v>
      </c>
      <c r="K412" s="8"/>
      <c r="L412" s="8"/>
      <c r="M412" s="8"/>
      <c r="N412" s="8"/>
      <c r="O412" s="8"/>
      <c r="P412" s="8"/>
    </row>
    <row r="413" spans="1:16" ht="15" customHeight="1">
      <c r="A413" s="302"/>
      <c r="B413" s="302"/>
      <c r="C413" s="153">
        <v>14</v>
      </c>
      <c r="D413" s="183" t="s">
        <v>2219</v>
      </c>
      <c r="E413" s="153" t="s">
        <v>1123</v>
      </c>
      <c r="F413" s="152" t="s">
        <v>3712</v>
      </c>
      <c r="K413" s="8"/>
      <c r="L413" s="8"/>
      <c r="M413" s="8"/>
      <c r="N413" s="8"/>
      <c r="O413" s="8"/>
      <c r="P413" s="8"/>
    </row>
    <row r="414" spans="1:16" ht="15" customHeight="1">
      <c r="A414" s="274" t="s">
        <v>3714</v>
      </c>
      <c r="B414" s="274" t="s">
        <v>4685</v>
      </c>
      <c r="C414" s="151">
        <v>0</v>
      </c>
      <c r="D414" s="171" t="s">
        <v>3141</v>
      </c>
      <c r="E414" s="170" t="s">
        <v>669</v>
      </c>
      <c r="F414" s="171" t="s">
        <v>2923</v>
      </c>
      <c r="K414" s="8"/>
      <c r="L414" s="8"/>
      <c r="M414" s="8"/>
      <c r="N414" s="8"/>
      <c r="O414" s="8"/>
      <c r="P414" s="8"/>
    </row>
    <row r="415" spans="1:16" ht="15" customHeight="1">
      <c r="A415" s="299"/>
      <c r="B415" s="299"/>
      <c r="C415" s="151">
        <v>1</v>
      </c>
      <c r="D415" s="171" t="s">
        <v>2210</v>
      </c>
      <c r="E415" s="170" t="s">
        <v>669</v>
      </c>
      <c r="F415" s="171" t="s">
        <v>3715</v>
      </c>
      <c r="K415" s="8"/>
      <c r="L415" s="8"/>
      <c r="M415" s="8"/>
      <c r="N415" s="8"/>
      <c r="O415" s="8"/>
      <c r="P415" s="8"/>
    </row>
    <row r="416" spans="1:16" ht="15" customHeight="1">
      <c r="A416" s="299"/>
      <c r="B416" s="299"/>
      <c r="C416" s="151">
        <v>2</v>
      </c>
      <c r="D416" s="171" t="s">
        <v>4687</v>
      </c>
      <c r="E416" s="170" t="s">
        <v>669</v>
      </c>
      <c r="F416" s="171" t="s">
        <v>4879</v>
      </c>
      <c r="K416" s="8"/>
      <c r="L416" s="8"/>
      <c r="M416" s="8"/>
      <c r="N416" s="8"/>
      <c r="O416" s="8"/>
      <c r="P416" s="8"/>
    </row>
    <row r="417" spans="1:16" ht="15" customHeight="1">
      <c r="A417" s="299"/>
      <c r="B417" s="299"/>
      <c r="C417" s="151">
        <v>3</v>
      </c>
      <c r="D417" s="171" t="s">
        <v>2208</v>
      </c>
      <c r="E417" s="170" t="s">
        <v>2874</v>
      </c>
      <c r="F417" s="171" t="s">
        <v>3716</v>
      </c>
      <c r="K417" s="8"/>
      <c r="L417" s="8"/>
      <c r="M417" s="8"/>
      <c r="N417" s="8"/>
      <c r="O417" s="8"/>
      <c r="P417" s="8"/>
    </row>
    <row r="418" spans="1:16" ht="15" customHeight="1">
      <c r="A418" s="299"/>
      <c r="B418" s="299"/>
      <c r="C418" s="151">
        <v>4</v>
      </c>
      <c r="D418" s="175" t="s">
        <v>2207</v>
      </c>
      <c r="E418" s="170" t="s">
        <v>669</v>
      </c>
      <c r="F418" s="171" t="s">
        <v>3717</v>
      </c>
      <c r="K418" s="8"/>
      <c r="L418" s="8"/>
      <c r="M418" s="8"/>
      <c r="N418" s="8"/>
      <c r="O418" s="8"/>
      <c r="P418" s="8"/>
    </row>
    <row r="419" spans="1:16" ht="15" customHeight="1">
      <c r="A419" s="299"/>
      <c r="B419" s="299"/>
      <c r="C419" s="151">
        <v>9</v>
      </c>
      <c r="D419" s="175" t="s">
        <v>2205</v>
      </c>
      <c r="E419" s="170" t="s">
        <v>2874</v>
      </c>
      <c r="F419" s="171" t="s">
        <v>3718</v>
      </c>
      <c r="K419" s="8"/>
      <c r="L419" s="8"/>
      <c r="M419" s="8"/>
      <c r="N419" s="8"/>
      <c r="O419" s="8"/>
      <c r="P419" s="8"/>
    </row>
    <row r="420" spans="1:16" ht="15" customHeight="1">
      <c r="A420" s="299"/>
      <c r="B420" s="299"/>
      <c r="C420" s="151">
        <v>10</v>
      </c>
      <c r="D420" s="175" t="s">
        <v>2204</v>
      </c>
      <c r="E420" s="170" t="s">
        <v>669</v>
      </c>
      <c r="F420" s="171" t="s">
        <v>3719</v>
      </c>
      <c r="K420" s="8"/>
      <c r="L420" s="8"/>
      <c r="M420" s="8"/>
      <c r="N420" s="8"/>
      <c r="O420" s="8"/>
      <c r="P420" s="8"/>
    </row>
    <row r="421" spans="1:16" ht="15" customHeight="1">
      <c r="A421" s="299"/>
      <c r="B421" s="299"/>
      <c r="C421" s="151">
        <v>11</v>
      </c>
      <c r="D421" s="175" t="s">
        <v>2203</v>
      </c>
      <c r="E421" s="170" t="s">
        <v>669</v>
      </c>
      <c r="F421" s="171" t="s">
        <v>3720</v>
      </c>
      <c r="K421" s="8"/>
      <c r="L421" s="8"/>
      <c r="M421" s="8"/>
      <c r="N421" s="8"/>
      <c r="O421" s="8"/>
      <c r="P421" s="8"/>
    </row>
    <row r="422" spans="1:16" ht="15" customHeight="1">
      <c r="A422" s="299"/>
      <c r="B422" s="299"/>
      <c r="C422" s="151">
        <v>12</v>
      </c>
      <c r="D422" s="175" t="s">
        <v>2202</v>
      </c>
      <c r="E422" s="170" t="s">
        <v>669</v>
      </c>
      <c r="F422" s="171" t="s">
        <v>3721</v>
      </c>
      <c r="K422" s="8"/>
      <c r="L422" s="8"/>
      <c r="M422" s="8"/>
      <c r="N422" s="8"/>
      <c r="O422" s="8"/>
      <c r="P422" s="8"/>
    </row>
    <row r="423" spans="1:16" ht="15" customHeight="1">
      <c r="A423" s="299"/>
      <c r="B423" s="299"/>
      <c r="C423" s="151">
        <v>13</v>
      </c>
      <c r="D423" s="175" t="s">
        <v>2201</v>
      </c>
      <c r="E423" s="170" t="s">
        <v>2874</v>
      </c>
      <c r="F423" s="171" t="s">
        <v>3723</v>
      </c>
      <c r="K423" s="8"/>
      <c r="L423" s="8"/>
      <c r="M423" s="8"/>
      <c r="N423" s="8"/>
      <c r="O423" s="8"/>
      <c r="P423" s="8"/>
    </row>
    <row r="424" spans="1:16" ht="15" customHeight="1">
      <c r="A424" s="275"/>
      <c r="B424" s="275"/>
      <c r="C424" s="151">
        <v>14</v>
      </c>
      <c r="D424" s="175" t="s">
        <v>2206</v>
      </c>
      <c r="E424" s="170" t="s">
        <v>2874</v>
      </c>
      <c r="F424" s="171" t="s">
        <v>3722</v>
      </c>
      <c r="K424" s="8"/>
      <c r="L424" s="8"/>
      <c r="M424" s="8"/>
      <c r="N424" s="8"/>
      <c r="O424" s="8"/>
      <c r="P424" s="8"/>
    </row>
    <row r="425" spans="1:16" ht="15" customHeight="1">
      <c r="A425" s="300" t="s">
        <v>3725</v>
      </c>
      <c r="B425" s="300" t="s">
        <v>4688</v>
      </c>
      <c r="C425" s="153">
        <v>0</v>
      </c>
      <c r="D425" s="152" t="s">
        <v>3140</v>
      </c>
      <c r="E425" s="153" t="s">
        <v>669</v>
      </c>
      <c r="F425" s="152" t="s">
        <v>2923</v>
      </c>
      <c r="K425" s="8"/>
      <c r="L425" s="8"/>
      <c r="M425" s="8"/>
      <c r="N425" s="8"/>
      <c r="O425" s="8"/>
      <c r="P425" s="8"/>
    </row>
    <row r="426" spans="1:16" ht="15" customHeight="1">
      <c r="A426" s="301"/>
      <c r="B426" s="301"/>
      <c r="C426" s="153">
        <v>1</v>
      </c>
      <c r="D426" s="152" t="s">
        <v>2197</v>
      </c>
      <c r="E426" s="153" t="s">
        <v>669</v>
      </c>
      <c r="F426" s="152" t="s">
        <v>3726</v>
      </c>
      <c r="K426" s="8"/>
      <c r="L426" s="8"/>
      <c r="M426" s="8"/>
      <c r="N426" s="8"/>
      <c r="O426" s="8"/>
      <c r="P426" s="8"/>
    </row>
    <row r="427" spans="1:16" ht="15" customHeight="1">
      <c r="A427" s="301"/>
      <c r="B427" s="301"/>
      <c r="C427" s="153">
        <v>2</v>
      </c>
      <c r="D427" s="152" t="s">
        <v>4689</v>
      </c>
      <c r="E427" s="153" t="s">
        <v>669</v>
      </c>
      <c r="F427" s="152" t="s">
        <v>4880</v>
      </c>
      <c r="K427" s="8"/>
      <c r="L427" s="8"/>
      <c r="M427" s="8"/>
      <c r="N427" s="8"/>
      <c r="O427" s="8"/>
      <c r="P427" s="8"/>
    </row>
    <row r="428" spans="1:16" ht="15" customHeight="1">
      <c r="A428" s="301"/>
      <c r="B428" s="301"/>
      <c r="C428" s="153">
        <v>3</v>
      </c>
      <c r="D428" s="152" t="s">
        <v>2195</v>
      </c>
      <c r="E428" s="153" t="s">
        <v>2874</v>
      </c>
      <c r="F428" s="152" t="s">
        <v>3727</v>
      </c>
      <c r="K428" s="8"/>
      <c r="L428" s="8"/>
      <c r="M428" s="8"/>
      <c r="N428" s="8"/>
      <c r="O428" s="8"/>
      <c r="P428" s="8"/>
    </row>
    <row r="429" spans="1:16" ht="15" customHeight="1">
      <c r="A429" s="301"/>
      <c r="B429" s="301"/>
      <c r="C429" s="153">
        <v>4</v>
      </c>
      <c r="D429" s="152" t="s">
        <v>3139</v>
      </c>
      <c r="E429" s="153" t="s">
        <v>669</v>
      </c>
      <c r="F429" s="152" t="s">
        <v>4739</v>
      </c>
      <c r="K429" s="8"/>
      <c r="L429" s="8"/>
      <c r="M429" s="8"/>
      <c r="N429" s="8"/>
      <c r="O429" s="8"/>
      <c r="P429" s="8"/>
    </row>
    <row r="430" spans="1:16" ht="15" customHeight="1">
      <c r="A430" s="301"/>
      <c r="B430" s="301"/>
      <c r="C430" s="153">
        <v>9</v>
      </c>
      <c r="D430" s="152" t="s">
        <v>2193</v>
      </c>
      <c r="E430" s="153" t="s">
        <v>2874</v>
      </c>
      <c r="F430" s="152" t="s">
        <v>3728</v>
      </c>
      <c r="K430" s="8"/>
      <c r="L430" s="8"/>
      <c r="M430" s="8"/>
      <c r="N430" s="8"/>
      <c r="O430" s="8"/>
      <c r="P430" s="8"/>
    </row>
    <row r="431" spans="1:16" ht="15" customHeight="1">
      <c r="A431" s="301"/>
      <c r="B431" s="301"/>
      <c r="C431" s="153">
        <v>10</v>
      </c>
      <c r="D431" s="152" t="s">
        <v>2192</v>
      </c>
      <c r="E431" s="153" t="s">
        <v>2874</v>
      </c>
      <c r="F431" s="152" t="s">
        <v>3729</v>
      </c>
      <c r="K431" s="8"/>
      <c r="L431" s="8"/>
      <c r="M431" s="8"/>
      <c r="N431" s="8"/>
      <c r="O431" s="8"/>
      <c r="P431" s="8"/>
    </row>
    <row r="432" spans="1:16" ht="15" customHeight="1">
      <c r="A432" s="301"/>
      <c r="B432" s="301"/>
      <c r="C432" s="153">
        <v>11</v>
      </c>
      <c r="D432" s="152" t="s">
        <v>2191</v>
      </c>
      <c r="E432" s="153" t="s">
        <v>1123</v>
      </c>
      <c r="F432" s="152" t="s">
        <v>3730</v>
      </c>
      <c r="K432" s="8"/>
      <c r="L432" s="8"/>
      <c r="M432" s="8"/>
      <c r="N432" s="8"/>
      <c r="O432" s="8"/>
      <c r="P432" s="8"/>
    </row>
    <row r="433" spans="1:16" ht="15" customHeight="1">
      <c r="A433" s="302"/>
      <c r="B433" s="302"/>
      <c r="C433" s="153">
        <v>13</v>
      </c>
      <c r="D433" s="152" t="s">
        <v>3724</v>
      </c>
      <c r="E433" s="153" t="s">
        <v>1123</v>
      </c>
      <c r="F433" s="152" t="s">
        <v>3742</v>
      </c>
      <c r="K433" s="8"/>
      <c r="L433" s="8"/>
      <c r="M433" s="8"/>
      <c r="N433" s="8"/>
      <c r="O433" s="8"/>
      <c r="P433" s="8"/>
    </row>
    <row r="434" spans="1:16" ht="15" customHeight="1">
      <c r="A434" s="274" t="s">
        <v>3731</v>
      </c>
      <c r="B434" s="274" t="s">
        <v>4690</v>
      </c>
      <c r="C434" s="151">
        <v>0</v>
      </c>
      <c r="D434" s="171" t="s">
        <v>3138</v>
      </c>
      <c r="E434" s="170" t="s">
        <v>669</v>
      </c>
      <c r="F434" s="171" t="s">
        <v>2923</v>
      </c>
      <c r="K434" s="8"/>
      <c r="L434" s="8"/>
      <c r="M434" s="8"/>
      <c r="N434" s="8"/>
      <c r="O434" s="8"/>
      <c r="P434" s="8"/>
    </row>
    <row r="435" spans="1:16" ht="15" customHeight="1">
      <c r="A435" s="299"/>
      <c r="B435" s="299"/>
      <c r="C435" s="151">
        <v>1</v>
      </c>
      <c r="D435" s="171" t="s">
        <v>2186</v>
      </c>
      <c r="E435" s="170" t="s">
        <v>669</v>
      </c>
      <c r="F435" s="171" t="s">
        <v>3732</v>
      </c>
      <c r="K435" s="8"/>
      <c r="L435" s="8"/>
      <c r="M435" s="8"/>
      <c r="N435" s="8"/>
      <c r="O435" s="8"/>
      <c r="P435" s="8"/>
    </row>
    <row r="436" spans="1:16" ht="15" customHeight="1">
      <c r="A436" s="299"/>
      <c r="B436" s="299"/>
      <c r="C436" s="151">
        <v>2</v>
      </c>
      <c r="D436" s="175" t="s">
        <v>2185</v>
      </c>
      <c r="E436" s="170" t="s">
        <v>669</v>
      </c>
      <c r="F436" s="171" t="s">
        <v>4881</v>
      </c>
      <c r="K436" s="8"/>
      <c r="L436" s="8"/>
      <c r="M436" s="8"/>
      <c r="N436" s="8"/>
      <c r="O436" s="8"/>
      <c r="P436" s="8"/>
    </row>
    <row r="437" spans="1:16" ht="15" customHeight="1">
      <c r="A437" s="299"/>
      <c r="B437" s="299"/>
      <c r="C437" s="151">
        <v>3</v>
      </c>
      <c r="D437" s="171" t="s">
        <v>2184</v>
      </c>
      <c r="E437" s="170" t="s">
        <v>2874</v>
      </c>
      <c r="F437" s="171" t="s">
        <v>3733</v>
      </c>
      <c r="K437" s="8"/>
      <c r="L437" s="8"/>
      <c r="M437" s="8"/>
      <c r="N437" s="8"/>
      <c r="O437" s="8"/>
      <c r="P437" s="8"/>
    </row>
    <row r="438" spans="1:16" ht="15" customHeight="1">
      <c r="A438" s="299"/>
      <c r="B438" s="299"/>
      <c r="C438" s="151">
        <v>4</v>
      </c>
      <c r="D438" s="171" t="s">
        <v>3137</v>
      </c>
      <c r="E438" s="170" t="s">
        <v>1123</v>
      </c>
      <c r="F438" s="171" t="s">
        <v>3734</v>
      </c>
      <c r="K438" s="8"/>
      <c r="L438" s="8"/>
      <c r="M438" s="8"/>
      <c r="N438" s="8"/>
      <c r="O438" s="8"/>
      <c r="P438" s="8"/>
    </row>
    <row r="439" spans="1:16" ht="15" customHeight="1">
      <c r="A439" s="299"/>
      <c r="B439" s="299"/>
      <c r="C439" s="151">
        <v>9</v>
      </c>
      <c r="D439" s="175" t="s">
        <v>2182</v>
      </c>
      <c r="E439" s="170" t="s">
        <v>1123</v>
      </c>
      <c r="F439" s="171" t="s">
        <v>3735</v>
      </c>
      <c r="K439" s="8"/>
      <c r="L439" s="8"/>
      <c r="M439" s="8"/>
      <c r="N439" s="8"/>
      <c r="O439" s="8"/>
      <c r="P439" s="8"/>
    </row>
    <row r="440" spans="1:16" ht="15" customHeight="1">
      <c r="A440" s="299"/>
      <c r="B440" s="299"/>
      <c r="C440" s="151">
        <v>11</v>
      </c>
      <c r="D440" s="171" t="s">
        <v>2181</v>
      </c>
      <c r="E440" s="170" t="s">
        <v>669</v>
      </c>
      <c r="F440" s="171" t="s">
        <v>3736</v>
      </c>
      <c r="K440" s="8"/>
      <c r="L440" s="8"/>
      <c r="M440" s="8"/>
      <c r="N440" s="8"/>
      <c r="O440" s="8"/>
      <c r="P440" s="8"/>
    </row>
    <row r="441" spans="1:16" ht="15" customHeight="1">
      <c r="A441" s="275"/>
      <c r="B441" s="275"/>
      <c r="C441" s="151">
        <v>13</v>
      </c>
      <c r="D441" s="175" t="s">
        <v>2180</v>
      </c>
      <c r="E441" s="170" t="s">
        <v>2874</v>
      </c>
      <c r="F441" s="171" t="s">
        <v>3737</v>
      </c>
      <c r="K441" s="8"/>
      <c r="L441" s="8"/>
      <c r="M441" s="8"/>
      <c r="N441" s="8"/>
      <c r="O441" s="8"/>
      <c r="P441" s="8"/>
    </row>
    <row r="442" spans="1:16" ht="15" customHeight="1">
      <c r="A442" s="300" t="s">
        <v>3743</v>
      </c>
      <c r="B442" s="300" t="s">
        <v>3741</v>
      </c>
      <c r="C442" s="153">
        <v>0</v>
      </c>
      <c r="D442" s="152" t="s">
        <v>3738</v>
      </c>
      <c r="E442" s="153" t="s">
        <v>669</v>
      </c>
      <c r="F442" s="152" t="s">
        <v>2920</v>
      </c>
      <c r="K442" s="8"/>
      <c r="L442" s="8"/>
      <c r="M442" s="8"/>
      <c r="N442" s="8"/>
      <c r="O442" s="8"/>
      <c r="P442" s="8"/>
    </row>
    <row r="443" spans="1:16" ht="15" customHeight="1">
      <c r="A443" s="301"/>
      <c r="B443" s="301"/>
      <c r="C443" s="153">
        <v>1</v>
      </c>
      <c r="D443" s="152" t="s">
        <v>2177</v>
      </c>
      <c r="E443" s="153" t="s">
        <v>2874</v>
      </c>
      <c r="F443" s="152" t="s">
        <v>4929</v>
      </c>
      <c r="K443" s="8"/>
      <c r="L443" s="8"/>
      <c r="M443" s="8"/>
      <c r="N443" s="8"/>
      <c r="O443" s="8"/>
      <c r="P443" s="8"/>
    </row>
    <row r="444" spans="1:16" ht="15" customHeight="1">
      <c r="A444" s="301"/>
      <c r="B444" s="301"/>
      <c r="C444" s="153">
        <v>2</v>
      </c>
      <c r="D444" s="183" t="s">
        <v>4693</v>
      </c>
      <c r="E444" s="153" t="s">
        <v>669</v>
      </c>
      <c r="F444" s="152" t="s">
        <v>4886</v>
      </c>
      <c r="K444" s="8"/>
      <c r="L444" s="8"/>
      <c r="M444" s="8"/>
      <c r="N444" s="8"/>
      <c r="O444" s="8"/>
      <c r="P444" s="8"/>
    </row>
    <row r="445" spans="1:16" ht="15" customHeight="1">
      <c r="A445" s="301"/>
      <c r="B445" s="301"/>
      <c r="C445" s="153">
        <v>4</v>
      </c>
      <c r="D445" s="152" t="s">
        <v>3740</v>
      </c>
      <c r="E445" s="153" t="s">
        <v>2874</v>
      </c>
      <c r="F445" s="152" t="s">
        <v>3744</v>
      </c>
      <c r="K445" s="8"/>
      <c r="L445" s="8"/>
      <c r="M445" s="8"/>
      <c r="N445" s="8"/>
      <c r="O445" s="8"/>
      <c r="P445" s="8"/>
    </row>
    <row r="446" spans="1:16" ht="15" customHeight="1">
      <c r="A446" s="301"/>
      <c r="B446" s="301"/>
      <c r="C446" s="153">
        <v>9</v>
      </c>
      <c r="D446" s="152" t="s">
        <v>2176</v>
      </c>
      <c r="E446" s="153" t="s">
        <v>1123</v>
      </c>
      <c r="F446" s="152" t="s">
        <v>3745</v>
      </c>
      <c r="K446" s="8"/>
      <c r="L446" s="8"/>
      <c r="M446" s="8"/>
      <c r="N446" s="8"/>
      <c r="O446" s="8"/>
      <c r="P446" s="8"/>
    </row>
    <row r="447" spans="1:16" ht="15" customHeight="1">
      <c r="A447" s="301"/>
      <c r="B447" s="301"/>
      <c r="C447" s="153">
        <v>10</v>
      </c>
      <c r="D447" s="152" t="s">
        <v>2175</v>
      </c>
      <c r="E447" s="153" t="s">
        <v>2874</v>
      </c>
      <c r="F447" s="152" t="s">
        <v>3746</v>
      </c>
      <c r="K447" s="8"/>
      <c r="L447" s="8"/>
      <c r="M447" s="8"/>
      <c r="N447" s="8"/>
      <c r="O447" s="8"/>
      <c r="P447" s="8"/>
    </row>
    <row r="448" spans="1:16" ht="15" customHeight="1">
      <c r="A448" s="301"/>
      <c r="B448" s="301"/>
      <c r="C448" s="153">
        <v>11</v>
      </c>
      <c r="D448" s="152" t="s">
        <v>2174</v>
      </c>
      <c r="E448" s="153" t="s">
        <v>669</v>
      </c>
      <c r="F448" s="152" t="s">
        <v>3747</v>
      </c>
      <c r="K448" s="8"/>
      <c r="L448" s="8"/>
      <c r="M448" s="8"/>
      <c r="N448" s="8"/>
      <c r="O448" s="8"/>
      <c r="P448" s="8"/>
    </row>
    <row r="449" spans="1:16" ht="15" customHeight="1">
      <c r="A449" s="301"/>
      <c r="B449" s="301"/>
      <c r="C449" s="153">
        <v>12</v>
      </c>
      <c r="D449" s="152" t="s">
        <v>2173</v>
      </c>
      <c r="E449" s="153" t="s">
        <v>669</v>
      </c>
      <c r="F449" s="152" t="s">
        <v>3748</v>
      </c>
      <c r="K449" s="8"/>
      <c r="L449" s="8"/>
      <c r="M449" s="8"/>
      <c r="N449" s="8"/>
      <c r="O449" s="8"/>
      <c r="P449" s="8"/>
    </row>
    <row r="450" spans="1:16" ht="15" customHeight="1">
      <c r="A450" s="302"/>
      <c r="B450" s="302"/>
      <c r="C450" s="182">
        <v>13</v>
      </c>
      <c r="D450" s="181" t="s">
        <v>3739</v>
      </c>
      <c r="E450" s="182" t="s">
        <v>1123</v>
      </c>
      <c r="F450" s="183" t="s">
        <v>3749</v>
      </c>
      <c r="K450" s="8"/>
      <c r="L450" s="8"/>
      <c r="M450" s="8"/>
      <c r="N450" s="8"/>
      <c r="O450" s="8"/>
      <c r="P450" s="8"/>
    </row>
    <row r="451" spans="1:16" ht="15" customHeight="1">
      <c r="A451" s="274" t="s">
        <v>3753</v>
      </c>
      <c r="B451" s="274" t="s">
        <v>4691</v>
      </c>
      <c r="C451" s="151">
        <v>0</v>
      </c>
      <c r="D451" s="171" t="s">
        <v>3136</v>
      </c>
      <c r="E451" s="170" t="s">
        <v>669</v>
      </c>
      <c r="F451" s="171" t="s">
        <v>2920</v>
      </c>
      <c r="K451" s="8"/>
      <c r="L451" s="8"/>
      <c r="M451" s="8"/>
      <c r="N451" s="8"/>
      <c r="O451" s="8"/>
      <c r="P451" s="8"/>
    </row>
    <row r="452" spans="1:16" ht="15" customHeight="1">
      <c r="A452" s="299"/>
      <c r="B452" s="299"/>
      <c r="C452" s="151">
        <v>1</v>
      </c>
      <c r="D452" s="171" t="s">
        <v>2169</v>
      </c>
      <c r="E452" s="174" t="s">
        <v>2874</v>
      </c>
      <c r="F452" s="171" t="s">
        <v>3754</v>
      </c>
      <c r="K452" s="8"/>
      <c r="L452" s="8"/>
      <c r="M452" s="8"/>
      <c r="N452" s="8"/>
      <c r="O452" s="8"/>
      <c r="P452" s="8"/>
    </row>
    <row r="453" spans="1:16" ht="15" customHeight="1">
      <c r="A453" s="299"/>
      <c r="B453" s="299"/>
      <c r="C453" s="151">
        <v>2</v>
      </c>
      <c r="D453" s="171" t="s">
        <v>4692</v>
      </c>
      <c r="E453" s="170" t="s">
        <v>2874</v>
      </c>
      <c r="F453" s="171" t="s">
        <v>4706</v>
      </c>
      <c r="K453" s="8"/>
      <c r="L453" s="8"/>
      <c r="M453" s="8"/>
      <c r="N453" s="8"/>
      <c r="O453" s="8"/>
      <c r="P453" s="8"/>
    </row>
    <row r="454" spans="1:16" ht="15" customHeight="1">
      <c r="A454" s="299"/>
      <c r="B454" s="299"/>
      <c r="C454" s="151">
        <v>4</v>
      </c>
      <c r="D454" s="171" t="s">
        <v>3134</v>
      </c>
      <c r="E454" s="170" t="s">
        <v>669</v>
      </c>
      <c r="F454" s="171" t="s">
        <v>3758</v>
      </c>
      <c r="K454" s="8"/>
      <c r="L454" s="8"/>
      <c r="M454" s="8"/>
      <c r="N454" s="8"/>
      <c r="O454" s="8"/>
      <c r="P454" s="8"/>
    </row>
    <row r="455" spans="1:16" ht="15" customHeight="1">
      <c r="A455" s="299"/>
      <c r="B455" s="299"/>
      <c r="C455" s="174">
        <v>5</v>
      </c>
      <c r="D455" s="175" t="s">
        <v>3751</v>
      </c>
      <c r="E455" s="174" t="s">
        <v>2874</v>
      </c>
      <c r="F455" s="175" t="s">
        <v>3752</v>
      </c>
      <c r="K455" s="8"/>
      <c r="L455" s="8"/>
      <c r="M455" s="8"/>
      <c r="N455" s="8"/>
      <c r="O455" s="8"/>
      <c r="P455" s="8"/>
    </row>
    <row r="456" spans="1:16" ht="15" customHeight="1">
      <c r="A456" s="299"/>
      <c r="B456" s="299"/>
      <c r="C456" s="151">
        <v>9</v>
      </c>
      <c r="D456" s="171" t="s">
        <v>2165</v>
      </c>
      <c r="E456" s="170" t="s">
        <v>2874</v>
      </c>
      <c r="F456" s="171" t="s">
        <v>3755</v>
      </c>
      <c r="K456" s="8"/>
      <c r="L456" s="8"/>
      <c r="M456" s="8"/>
      <c r="N456" s="8"/>
      <c r="O456" s="8"/>
      <c r="P456" s="8"/>
    </row>
    <row r="457" spans="1:16" ht="15" customHeight="1">
      <c r="A457" s="299"/>
      <c r="B457" s="299"/>
      <c r="C457" s="151">
        <v>10</v>
      </c>
      <c r="D457" s="171" t="s">
        <v>2164</v>
      </c>
      <c r="E457" s="170" t="s">
        <v>669</v>
      </c>
      <c r="F457" s="171" t="s">
        <v>3756</v>
      </c>
      <c r="K457" s="8"/>
      <c r="L457" s="8"/>
      <c r="M457" s="8"/>
      <c r="N457" s="8"/>
      <c r="O457" s="8"/>
      <c r="P457" s="8"/>
    </row>
    <row r="458" spans="1:16" ht="15" customHeight="1">
      <c r="A458" s="299"/>
      <c r="B458" s="299"/>
      <c r="C458" s="151">
        <v>11</v>
      </c>
      <c r="D458" s="171" t="s">
        <v>2163</v>
      </c>
      <c r="E458" s="170" t="s">
        <v>669</v>
      </c>
      <c r="F458" s="171" t="s">
        <v>3757</v>
      </c>
      <c r="K458" s="8"/>
      <c r="L458" s="8"/>
      <c r="M458" s="8"/>
      <c r="N458" s="8"/>
      <c r="O458" s="8"/>
      <c r="P458" s="8"/>
    </row>
    <row r="459" spans="1:16" ht="15" customHeight="1">
      <c r="A459" s="275"/>
      <c r="B459" s="275"/>
      <c r="C459" s="151">
        <v>13</v>
      </c>
      <c r="D459" s="175" t="s">
        <v>3750</v>
      </c>
      <c r="E459" s="170" t="s">
        <v>2874</v>
      </c>
      <c r="F459" s="175" t="s">
        <v>3861</v>
      </c>
      <c r="K459" s="8"/>
      <c r="L459" s="8"/>
      <c r="M459" s="8"/>
      <c r="N459" s="8"/>
      <c r="O459" s="8"/>
      <c r="P459" s="8"/>
    </row>
    <row r="460" spans="1:16" ht="15" customHeight="1">
      <c r="A460" s="182" t="s">
        <v>2161</v>
      </c>
      <c r="B460" s="201" t="s">
        <v>541</v>
      </c>
      <c r="C460" s="153" t="s">
        <v>2852</v>
      </c>
      <c r="D460" s="152" t="s">
        <v>541</v>
      </c>
      <c r="E460" s="153" t="s">
        <v>505</v>
      </c>
      <c r="F460" s="152" t="s">
        <v>3133</v>
      </c>
      <c r="K460" s="8"/>
      <c r="L460" s="8"/>
      <c r="M460" s="8"/>
      <c r="N460" s="8"/>
      <c r="O460" s="8"/>
      <c r="P460" s="8"/>
    </row>
    <row r="461" spans="1:16" ht="15" customHeight="1">
      <c r="A461" s="155" t="s">
        <v>2160</v>
      </c>
      <c r="B461" s="154"/>
      <c r="C461" s="159"/>
      <c r="D461" s="154"/>
      <c r="E461" s="155"/>
      <c r="F461" s="154"/>
      <c r="K461" s="8"/>
      <c r="L461" s="8"/>
      <c r="M461" s="8"/>
      <c r="N461" s="8"/>
      <c r="O461" s="8"/>
      <c r="P461" s="8"/>
    </row>
    <row r="462" spans="1:16" ht="15" customHeight="1">
      <c r="A462" s="193" t="s">
        <v>2159</v>
      </c>
      <c r="B462" s="181" t="s">
        <v>525</v>
      </c>
      <c r="C462" s="220" t="s">
        <v>2850</v>
      </c>
      <c r="D462" s="152" t="s">
        <v>525</v>
      </c>
      <c r="E462" s="153" t="s">
        <v>2874</v>
      </c>
      <c r="F462" s="152" t="s">
        <v>3132</v>
      </c>
      <c r="K462" s="8"/>
      <c r="L462" s="8"/>
      <c r="M462" s="8"/>
      <c r="N462" s="8"/>
      <c r="O462" s="8"/>
      <c r="P462" s="8"/>
    </row>
    <row r="463" spans="1:16" ht="15" customHeight="1">
      <c r="A463" s="194" t="s">
        <v>2156</v>
      </c>
      <c r="B463" s="185" t="s">
        <v>526</v>
      </c>
      <c r="C463" s="151" t="s">
        <v>753</v>
      </c>
      <c r="D463" s="171" t="s">
        <v>526</v>
      </c>
      <c r="E463" s="170" t="s">
        <v>1123</v>
      </c>
      <c r="F463" s="171" t="s">
        <v>3131</v>
      </c>
      <c r="K463" s="8"/>
      <c r="L463" s="8"/>
      <c r="M463" s="8"/>
      <c r="N463" s="8"/>
      <c r="O463" s="8"/>
      <c r="P463" s="8"/>
    </row>
    <row r="464" spans="1:16" ht="15" customHeight="1">
      <c r="A464" s="193" t="s">
        <v>2154</v>
      </c>
      <c r="B464" s="181" t="s">
        <v>441</v>
      </c>
      <c r="C464" s="153" t="s">
        <v>2852</v>
      </c>
      <c r="D464" s="152" t="s">
        <v>441</v>
      </c>
      <c r="E464" s="153" t="s">
        <v>505</v>
      </c>
      <c r="F464" s="152" t="s">
        <v>3130</v>
      </c>
      <c r="K464" s="8"/>
      <c r="L464" s="8"/>
      <c r="M464" s="8"/>
      <c r="N464" s="8"/>
      <c r="O464" s="8"/>
      <c r="P464" s="8"/>
    </row>
    <row r="465" spans="1:16" ht="15" customHeight="1">
      <c r="A465" s="194" t="s">
        <v>2153</v>
      </c>
      <c r="B465" s="185" t="s">
        <v>532</v>
      </c>
      <c r="C465" s="151" t="s">
        <v>2852</v>
      </c>
      <c r="D465" s="171" t="s">
        <v>532</v>
      </c>
      <c r="E465" s="170" t="s">
        <v>505</v>
      </c>
      <c r="F465" s="171" t="s">
        <v>3129</v>
      </c>
      <c r="K465" s="8"/>
      <c r="L465" s="8"/>
      <c r="M465" s="8"/>
      <c r="N465" s="8"/>
      <c r="O465" s="8"/>
      <c r="P465" s="8"/>
    </row>
    <row r="466" spans="1:16" ht="15" customHeight="1">
      <c r="A466" s="193" t="s">
        <v>2152</v>
      </c>
      <c r="B466" s="181" t="s">
        <v>531</v>
      </c>
      <c r="C466" s="153" t="s">
        <v>2852</v>
      </c>
      <c r="D466" s="152" t="s">
        <v>531</v>
      </c>
      <c r="E466" s="153" t="s">
        <v>505</v>
      </c>
      <c r="F466" s="152" t="s">
        <v>3128</v>
      </c>
      <c r="K466" s="8"/>
      <c r="L466" s="8"/>
      <c r="M466" s="8"/>
      <c r="N466" s="8"/>
      <c r="O466" s="8"/>
      <c r="P466" s="8"/>
    </row>
    <row r="467" spans="1:16" ht="15" customHeight="1">
      <c r="A467" s="194" t="s">
        <v>2150</v>
      </c>
      <c r="B467" s="185" t="s">
        <v>552</v>
      </c>
      <c r="C467" s="151" t="s">
        <v>2852</v>
      </c>
      <c r="D467" s="171" t="s">
        <v>552</v>
      </c>
      <c r="E467" s="170" t="s">
        <v>622</v>
      </c>
      <c r="F467" s="171" t="s">
        <v>3127</v>
      </c>
      <c r="K467" s="8"/>
      <c r="L467" s="8"/>
      <c r="M467" s="8"/>
      <c r="N467" s="8"/>
      <c r="O467" s="8"/>
      <c r="P467" s="8"/>
    </row>
    <row r="468" spans="1:16" ht="15" customHeight="1">
      <c r="A468" s="193" t="s">
        <v>2148</v>
      </c>
      <c r="B468" s="181" t="s">
        <v>507</v>
      </c>
      <c r="C468" s="220" t="s">
        <v>2850</v>
      </c>
      <c r="D468" s="152" t="s">
        <v>2146</v>
      </c>
      <c r="E468" s="153" t="s">
        <v>1123</v>
      </c>
      <c r="F468" s="152" t="s">
        <v>3126</v>
      </c>
      <c r="K468" s="8"/>
      <c r="L468" s="8"/>
      <c r="M468" s="8"/>
      <c r="N468" s="8"/>
      <c r="O468" s="8"/>
      <c r="P468" s="8"/>
    </row>
    <row r="469" spans="1:16" ht="15" customHeight="1">
      <c r="A469" s="194" t="s">
        <v>2145</v>
      </c>
      <c r="B469" s="185" t="s">
        <v>443</v>
      </c>
      <c r="C469" s="151" t="s">
        <v>753</v>
      </c>
      <c r="D469" s="171" t="s">
        <v>3125</v>
      </c>
      <c r="E469" s="170" t="s">
        <v>622</v>
      </c>
      <c r="F469" s="171" t="s">
        <v>3124</v>
      </c>
      <c r="K469" s="8"/>
      <c r="L469" s="8"/>
      <c r="M469" s="8"/>
      <c r="N469" s="8"/>
      <c r="O469" s="8"/>
      <c r="P469" s="8"/>
    </row>
    <row r="470" spans="1:16" ht="15" customHeight="1">
      <c r="A470" s="284" t="s">
        <v>2143</v>
      </c>
      <c r="B470" s="282" t="s">
        <v>2142</v>
      </c>
      <c r="C470" s="153">
        <v>0</v>
      </c>
      <c r="D470" s="152" t="s">
        <v>3123</v>
      </c>
      <c r="E470" s="153" t="s">
        <v>669</v>
      </c>
      <c r="F470" s="152" t="s">
        <v>2923</v>
      </c>
      <c r="K470" s="8"/>
      <c r="L470" s="8"/>
      <c r="M470" s="8"/>
      <c r="N470" s="8"/>
      <c r="O470" s="8"/>
      <c r="P470" s="8"/>
    </row>
    <row r="471" spans="1:16" ht="15" customHeight="1">
      <c r="A471" s="284"/>
      <c r="B471" s="282"/>
      <c r="C471" s="153">
        <v>1</v>
      </c>
      <c r="D471" s="152" t="s">
        <v>2141</v>
      </c>
      <c r="E471" s="153" t="s">
        <v>2874</v>
      </c>
      <c r="F471" s="152" t="s">
        <v>3122</v>
      </c>
      <c r="K471" s="8"/>
      <c r="L471" s="8"/>
      <c r="M471" s="8"/>
      <c r="N471" s="8"/>
      <c r="O471" s="8"/>
      <c r="P471" s="8"/>
    </row>
    <row r="472" spans="1:16" ht="15" customHeight="1">
      <c r="A472" s="286" t="s">
        <v>2140</v>
      </c>
      <c r="B472" s="281" t="s">
        <v>3759</v>
      </c>
      <c r="C472" s="151">
        <v>0</v>
      </c>
      <c r="D472" s="171" t="s">
        <v>3121</v>
      </c>
      <c r="E472" s="170" t="s">
        <v>669</v>
      </c>
      <c r="F472" s="171" t="s">
        <v>2923</v>
      </c>
      <c r="K472" s="8"/>
      <c r="L472" s="8"/>
      <c r="M472" s="8"/>
      <c r="N472" s="8"/>
      <c r="O472" s="8"/>
      <c r="P472" s="8"/>
    </row>
    <row r="473" spans="1:16" ht="15" customHeight="1">
      <c r="A473" s="286"/>
      <c r="B473" s="281"/>
      <c r="C473" s="151">
        <v>9</v>
      </c>
      <c r="D473" s="171" t="s">
        <v>3760</v>
      </c>
      <c r="E473" s="170" t="s">
        <v>2874</v>
      </c>
      <c r="F473" s="171" t="s">
        <v>3762</v>
      </c>
      <c r="K473" s="8"/>
      <c r="L473" s="8"/>
      <c r="M473" s="8"/>
      <c r="N473" s="8"/>
      <c r="O473" s="8"/>
      <c r="P473" s="8"/>
    </row>
    <row r="474" spans="1:16" ht="15" customHeight="1">
      <c r="A474" s="272" t="s">
        <v>2136</v>
      </c>
      <c r="B474" s="276" t="s">
        <v>2135</v>
      </c>
      <c r="C474" s="153">
        <v>0</v>
      </c>
      <c r="D474" s="152" t="s">
        <v>3120</v>
      </c>
      <c r="E474" s="153" t="s">
        <v>669</v>
      </c>
      <c r="F474" s="152" t="s">
        <v>2923</v>
      </c>
      <c r="K474" s="8"/>
      <c r="L474" s="8"/>
      <c r="M474" s="8"/>
      <c r="N474" s="8"/>
      <c r="O474" s="8"/>
      <c r="P474" s="8"/>
    </row>
    <row r="475" spans="1:16" ht="15" customHeight="1">
      <c r="A475" s="292"/>
      <c r="B475" s="305"/>
      <c r="C475" s="153">
        <v>9</v>
      </c>
      <c r="D475" s="152" t="s">
        <v>2133</v>
      </c>
      <c r="E475" s="153" t="s">
        <v>1123</v>
      </c>
      <c r="F475" s="152" t="s">
        <v>4891</v>
      </c>
      <c r="K475" s="8"/>
      <c r="L475" s="8"/>
      <c r="M475" s="8"/>
      <c r="N475" s="8"/>
      <c r="O475" s="8"/>
      <c r="P475" s="8"/>
    </row>
    <row r="476" spans="1:16" ht="15" customHeight="1">
      <c r="A476" s="292"/>
      <c r="B476" s="305"/>
      <c r="C476" s="153">
        <v>10</v>
      </c>
      <c r="D476" s="152" t="s">
        <v>2132</v>
      </c>
      <c r="E476" s="153" t="s">
        <v>2874</v>
      </c>
      <c r="F476" s="152" t="s">
        <v>4892</v>
      </c>
      <c r="K476" s="8"/>
      <c r="L476" s="8"/>
      <c r="M476" s="8"/>
      <c r="N476" s="8"/>
      <c r="O476" s="8"/>
      <c r="P476" s="8"/>
    </row>
    <row r="477" spans="1:16" ht="15" customHeight="1">
      <c r="A477" s="273"/>
      <c r="B477" s="277"/>
      <c r="C477" s="153">
        <v>11</v>
      </c>
      <c r="D477" s="152" t="s">
        <v>2131</v>
      </c>
      <c r="E477" s="153" t="s">
        <v>669</v>
      </c>
      <c r="F477" s="152" t="s">
        <v>4479</v>
      </c>
      <c r="K477" s="8"/>
      <c r="L477" s="8"/>
      <c r="M477" s="8"/>
      <c r="N477" s="8"/>
      <c r="O477" s="8"/>
      <c r="P477" s="8"/>
    </row>
    <row r="478" spans="1:16" ht="15" customHeight="1">
      <c r="A478" s="274" t="s">
        <v>2130</v>
      </c>
      <c r="B478" s="278" t="s">
        <v>3761</v>
      </c>
      <c r="C478" s="151">
        <v>0</v>
      </c>
      <c r="D478" s="171" t="s">
        <v>3119</v>
      </c>
      <c r="E478" s="170" t="s">
        <v>669</v>
      </c>
      <c r="F478" s="171" t="s">
        <v>2923</v>
      </c>
      <c r="K478" s="8"/>
      <c r="L478" s="8"/>
      <c r="M478" s="8"/>
      <c r="N478" s="8"/>
      <c r="O478" s="8"/>
      <c r="P478" s="8"/>
    </row>
    <row r="479" spans="1:16" ht="15" customHeight="1">
      <c r="A479" s="299"/>
      <c r="B479" s="304"/>
      <c r="C479" s="151">
        <v>9</v>
      </c>
      <c r="D479" s="171" t="s">
        <v>2127</v>
      </c>
      <c r="E479" s="170" t="s">
        <v>2874</v>
      </c>
      <c r="F479" s="171" t="s">
        <v>3118</v>
      </c>
      <c r="K479" s="8"/>
      <c r="L479" s="8"/>
      <c r="M479" s="8"/>
      <c r="N479" s="8"/>
      <c r="O479" s="8"/>
      <c r="P479" s="8"/>
    </row>
    <row r="480" spans="1:16" ht="15" customHeight="1">
      <c r="A480" s="275"/>
      <c r="B480" s="279"/>
      <c r="C480" s="151">
        <v>10</v>
      </c>
      <c r="D480" s="175" t="s">
        <v>2126</v>
      </c>
      <c r="E480" s="170" t="s">
        <v>2874</v>
      </c>
      <c r="F480" s="171" t="s">
        <v>3763</v>
      </c>
      <c r="K480" s="8"/>
      <c r="L480" s="8"/>
      <c r="M480" s="8"/>
      <c r="N480" s="8"/>
      <c r="O480" s="8"/>
      <c r="P480" s="8"/>
    </row>
    <row r="481" spans="1:16" ht="15" customHeight="1">
      <c r="A481" s="272" t="s">
        <v>2125</v>
      </c>
      <c r="B481" s="276" t="s">
        <v>439</v>
      </c>
      <c r="C481" s="153">
        <v>0</v>
      </c>
      <c r="D481" s="152" t="s">
        <v>3117</v>
      </c>
      <c r="E481" s="153" t="s">
        <v>669</v>
      </c>
      <c r="F481" s="152" t="s">
        <v>2923</v>
      </c>
      <c r="K481" s="8"/>
      <c r="L481" s="8"/>
      <c r="M481" s="8"/>
      <c r="N481" s="8"/>
      <c r="O481" s="8"/>
      <c r="P481" s="8"/>
    </row>
    <row r="482" spans="1:16" ht="15" customHeight="1">
      <c r="A482" s="273"/>
      <c r="B482" s="277"/>
      <c r="C482" s="153">
        <v>9</v>
      </c>
      <c r="D482" s="152" t="s">
        <v>2123</v>
      </c>
      <c r="E482" s="153" t="s">
        <v>2874</v>
      </c>
      <c r="F482" s="152" t="s">
        <v>3116</v>
      </c>
      <c r="K482" s="8"/>
      <c r="L482" s="8"/>
      <c r="M482" s="8"/>
      <c r="N482" s="8"/>
      <c r="O482" s="8"/>
      <c r="P482" s="8"/>
    </row>
    <row r="483" spans="1:16" ht="15" customHeight="1">
      <c r="A483" s="274" t="s">
        <v>2122</v>
      </c>
      <c r="B483" s="278" t="s">
        <v>2121</v>
      </c>
      <c r="C483" s="151">
        <v>0</v>
      </c>
      <c r="D483" s="171" t="s">
        <v>3115</v>
      </c>
      <c r="E483" s="170" t="s">
        <v>669</v>
      </c>
      <c r="F483" s="171" t="s">
        <v>2923</v>
      </c>
      <c r="K483" s="8"/>
      <c r="L483" s="8"/>
      <c r="M483" s="8"/>
      <c r="N483" s="8"/>
      <c r="O483" s="8"/>
      <c r="P483" s="8"/>
    </row>
    <row r="484" spans="1:16" ht="15" customHeight="1">
      <c r="A484" s="299"/>
      <c r="B484" s="304"/>
      <c r="C484" s="151">
        <v>9</v>
      </c>
      <c r="D484" s="171" t="s">
        <v>2119</v>
      </c>
      <c r="E484" s="170" t="s">
        <v>2874</v>
      </c>
      <c r="F484" s="171" t="s">
        <v>3114</v>
      </c>
      <c r="K484" s="8"/>
      <c r="L484" s="8"/>
      <c r="M484" s="8"/>
      <c r="N484" s="8"/>
      <c r="O484" s="8"/>
      <c r="P484" s="8"/>
    </row>
    <row r="485" spans="1:16" ht="15" customHeight="1">
      <c r="A485" s="275"/>
      <c r="B485" s="279"/>
      <c r="C485" s="151">
        <v>11</v>
      </c>
      <c r="D485" s="171" t="s">
        <v>2118</v>
      </c>
      <c r="E485" s="170" t="s">
        <v>669</v>
      </c>
      <c r="F485" s="171" t="s">
        <v>4461</v>
      </c>
      <c r="K485" s="8"/>
      <c r="L485" s="8"/>
      <c r="M485" s="8"/>
      <c r="N485" s="8"/>
      <c r="O485" s="8"/>
      <c r="P485" s="8"/>
    </row>
    <row r="486" spans="1:16" ht="15" customHeight="1">
      <c r="A486" s="272" t="s">
        <v>2117</v>
      </c>
      <c r="B486" s="276" t="s">
        <v>481</v>
      </c>
      <c r="C486" s="153">
        <v>0</v>
      </c>
      <c r="D486" s="152" t="s">
        <v>3113</v>
      </c>
      <c r="E486" s="153" t="s">
        <v>669</v>
      </c>
      <c r="F486" s="152" t="s">
        <v>2923</v>
      </c>
      <c r="K486" s="8"/>
      <c r="L486" s="8"/>
      <c r="M486" s="8"/>
      <c r="N486" s="8"/>
      <c r="O486" s="8"/>
      <c r="P486" s="8"/>
    </row>
    <row r="487" spans="1:16" ht="15" customHeight="1">
      <c r="A487" s="273"/>
      <c r="B487" s="277"/>
      <c r="C487" s="153">
        <v>9</v>
      </c>
      <c r="D487" s="152" t="s">
        <v>2115</v>
      </c>
      <c r="E487" s="153" t="s">
        <v>1123</v>
      </c>
      <c r="F487" s="152" t="s">
        <v>3112</v>
      </c>
      <c r="K487" s="8"/>
      <c r="L487" s="8"/>
      <c r="M487" s="8"/>
      <c r="N487" s="8"/>
      <c r="O487" s="8"/>
      <c r="P487" s="8"/>
    </row>
    <row r="488" spans="1:16" ht="15" customHeight="1">
      <c r="A488" s="274" t="s">
        <v>3766</v>
      </c>
      <c r="B488" s="278" t="s">
        <v>4694</v>
      </c>
      <c r="C488" s="151">
        <v>0</v>
      </c>
      <c r="D488" s="171" t="s">
        <v>3111</v>
      </c>
      <c r="E488" s="170" t="s">
        <v>669</v>
      </c>
      <c r="F488" s="171" t="s">
        <v>2923</v>
      </c>
      <c r="K488" s="8"/>
      <c r="L488" s="8"/>
      <c r="M488" s="8"/>
      <c r="N488" s="8"/>
      <c r="O488" s="8"/>
      <c r="P488" s="8"/>
    </row>
    <row r="489" spans="1:16" ht="15" customHeight="1">
      <c r="A489" s="299"/>
      <c r="B489" s="304"/>
      <c r="C489" s="151">
        <v>1</v>
      </c>
      <c r="D489" s="171" t="s">
        <v>3764</v>
      </c>
      <c r="E489" s="170" t="s">
        <v>1123</v>
      </c>
      <c r="F489" s="171" t="s">
        <v>4875</v>
      </c>
      <c r="K489" s="8"/>
      <c r="L489" s="8"/>
      <c r="M489" s="8"/>
      <c r="N489" s="8"/>
      <c r="O489" s="8"/>
      <c r="P489" s="8"/>
    </row>
    <row r="490" spans="1:16" ht="15" customHeight="1">
      <c r="A490" s="275"/>
      <c r="B490" s="279"/>
      <c r="C490" s="151">
        <v>10</v>
      </c>
      <c r="D490" s="171" t="s">
        <v>3765</v>
      </c>
      <c r="E490" s="170" t="s">
        <v>2874</v>
      </c>
      <c r="F490" s="171" t="s">
        <v>3767</v>
      </c>
      <c r="K490" s="8"/>
      <c r="L490" s="8"/>
      <c r="M490" s="8"/>
      <c r="N490" s="8"/>
      <c r="O490" s="8"/>
      <c r="P490" s="8"/>
    </row>
    <row r="491" spans="1:16" ht="15" customHeight="1">
      <c r="A491" s="272" t="s">
        <v>3768</v>
      </c>
      <c r="B491" s="276" t="s">
        <v>2108</v>
      </c>
      <c r="C491" s="153">
        <v>0</v>
      </c>
      <c r="D491" s="152" t="s">
        <v>3110</v>
      </c>
      <c r="E491" s="153" t="s">
        <v>669</v>
      </c>
      <c r="F491" s="152" t="s">
        <v>2923</v>
      </c>
      <c r="K491" s="8"/>
      <c r="L491" s="8"/>
      <c r="M491" s="8"/>
      <c r="N491" s="8"/>
      <c r="O491" s="8"/>
      <c r="P491" s="8"/>
    </row>
    <row r="492" spans="1:16" ht="15" customHeight="1">
      <c r="A492" s="292"/>
      <c r="B492" s="305"/>
      <c r="C492" s="153">
        <v>10</v>
      </c>
      <c r="D492" s="152" t="s">
        <v>2106</v>
      </c>
      <c r="E492" s="153" t="s">
        <v>2874</v>
      </c>
      <c r="F492" s="152" t="s">
        <v>3769</v>
      </c>
      <c r="K492" s="8"/>
      <c r="L492" s="8"/>
      <c r="M492" s="8"/>
      <c r="N492" s="8"/>
      <c r="O492" s="8"/>
      <c r="P492" s="8"/>
    </row>
    <row r="493" spans="1:16" ht="15" customHeight="1">
      <c r="A493" s="273"/>
      <c r="B493" s="277"/>
      <c r="C493" s="153">
        <v>11</v>
      </c>
      <c r="D493" s="152" t="s">
        <v>2105</v>
      </c>
      <c r="E493" s="153" t="s">
        <v>669</v>
      </c>
      <c r="F493" s="152" t="s">
        <v>3770</v>
      </c>
      <c r="K493" s="8"/>
      <c r="L493" s="8"/>
      <c r="M493" s="8"/>
      <c r="N493" s="8"/>
      <c r="O493" s="8"/>
      <c r="P493" s="8"/>
    </row>
    <row r="494" spans="1:16" ht="15" customHeight="1">
      <c r="A494" s="274" t="s">
        <v>3771</v>
      </c>
      <c r="B494" s="278" t="s">
        <v>2103</v>
      </c>
      <c r="C494" s="151">
        <v>0</v>
      </c>
      <c r="D494" s="171" t="s">
        <v>3109</v>
      </c>
      <c r="E494" s="170" t="s">
        <v>669</v>
      </c>
      <c r="F494" s="171" t="s">
        <v>2923</v>
      </c>
      <c r="K494" s="8"/>
      <c r="L494" s="8"/>
      <c r="M494" s="8"/>
      <c r="N494" s="8"/>
      <c r="O494" s="8"/>
      <c r="P494" s="8"/>
    </row>
    <row r="495" spans="1:16" ht="15" customHeight="1">
      <c r="A495" s="299"/>
      <c r="B495" s="304"/>
      <c r="C495" s="151">
        <v>10</v>
      </c>
      <c r="D495" s="171" t="s">
        <v>2101</v>
      </c>
      <c r="E495" s="170" t="s">
        <v>669</v>
      </c>
      <c r="F495" s="171" t="s">
        <v>3772</v>
      </c>
      <c r="K495" s="8"/>
      <c r="L495" s="8"/>
      <c r="M495" s="8"/>
      <c r="N495" s="8"/>
      <c r="O495" s="8"/>
      <c r="P495" s="8"/>
    </row>
    <row r="496" spans="1:16" ht="15" customHeight="1">
      <c r="A496" s="275"/>
      <c r="B496" s="279"/>
      <c r="C496" s="151">
        <v>11</v>
      </c>
      <c r="D496" s="171" t="s">
        <v>2100</v>
      </c>
      <c r="E496" s="170" t="s">
        <v>669</v>
      </c>
      <c r="F496" s="171" t="s">
        <v>3773</v>
      </c>
      <c r="K496" s="8"/>
      <c r="L496" s="8"/>
      <c r="M496" s="8"/>
      <c r="N496" s="8"/>
      <c r="O496" s="8"/>
      <c r="P496" s="8"/>
    </row>
    <row r="497" spans="1:16" ht="15" customHeight="1">
      <c r="A497" s="272" t="s">
        <v>2099</v>
      </c>
      <c r="B497" s="276" t="s">
        <v>2098</v>
      </c>
      <c r="C497" s="153">
        <v>0</v>
      </c>
      <c r="D497" s="152" t="s">
        <v>3108</v>
      </c>
      <c r="E497" s="153" t="s">
        <v>669</v>
      </c>
      <c r="F497" s="152" t="s">
        <v>2923</v>
      </c>
      <c r="K497" s="8"/>
      <c r="L497" s="8"/>
      <c r="M497" s="8"/>
      <c r="N497" s="8"/>
      <c r="O497" s="8"/>
      <c r="P497" s="8"/>
    </row>
    <row r="498" spans="1:16" ht="15" customHeight="1">
      <c r="A498" s="292"/>
      <c r="B498" s="305"/>
      <c r="C498" s="153">
        <v>10</v>
      </c>
      <c r="D498" s="152" t="s">
        <v>2096</v>
      </c>
      <c r="E498" s="153" t="s">
        <v>669</v>
      </c>
      <c r="F498" s="152" t="s">
        <v>4832</v>
      </c>
      <c r="K498" s="8"/>
      <c r="L498" s="8"/>
      <c r="M498" s="8"/>
      <c r="N498" s="8"/>
      <c r="O498" s="8"/>
      <c r="P498" s="8"/>
    </row>
    <row r="499" spans="1:16" ht="15" customHeight="1">
      <c r="A499" s="273"/>
      <c r="B499" s="277"/>
      <c r="C499" s="153">
        <v>11</v>
      </c>
      <c r="D499" s="152" t="s">
        <v>2095</v>
      </c>
      <c r="E499" s="153" t="s">
        <v>669</v>
      </c>
      <c r="F499" s="152" t="s">
        <v>4480</v>
      </c>
      <c r="K499" s="8"/>
      <c r="L499" s="8"/>
      <c r="M499" s="8"/>
      <c r="N499" s="8"/>
      <c r="O499" s="8"/>
      <c r="P499" s="8"/>
    </row>
    <row r="500" spans="1:16" ht="15" customHeight="1">
      <c r="A500" s="274" t="s">
        <v>3774</v>
      </c>
      <c r="B500" s="278" t="s">
        <v>2093</v>
      </c>
      <c r="C500" s="151">
        <v>0</v>
      </c>
      <c r="D500" s="171" t="s">
        <v>3107</v>
      </c>
      <c r="E500" s="170" t="s">
        <v>669</v>
      </c>
      <c r="F500" s="171" t="s">
        <v>2923</v>
      </c>
      <c r="K500" s="8"/>
      <c r="L500" s="8"/>
      <c r="M500" s="8"/>
      <c r="N500" s="8"/>
      <c r="O500" s="8"/>
      <c r="P500" s="8"/>
    </row>
    <row r="501" spans="1:16" ht="15" customHeight="1">
      <c r="A501" s="299"/>
      <c r="B501" s="304"/>
      <c r="C501" s="151">
        <v>10</v>
      </c>
      <c r="D501" s="171" t="s">
        <v>2088</v>
      </c>
      <c r="E501" s="170" t="s">
        <v>669</v>
      </c>
      <c r="F501" s="171" t="s">
        <v>3775</v>
      </c>
      <c r="K501" s="8"/>
      <c r="L501" s="8"/>
      <c r="M501" s="8"/>
      <c r="N501" s="8"/>
      <c r="O501" s="8"/>
      <c r="P501" s="8"/>
    </row>
    <row r="502" spans="1:16" ht="15" customHeight="1">
      <c r="A502" s="275"/>
      <c r="B502" s="279"/>
      <c r="C502" s="151">
        <v>11</v>
      </c>
      <c r="D502" s="171" t="s">
        <v>2087</v>
      </c>
      <c r="E502" s="170" t="s">
        <v>669</v>
      </c>
      <c r="F502" s="171" t="s">
        <v>3776</v>
      </c>
      <c r="K502" s="8"/>
      <c r="L502" s="8"/>
      <c r="M502" s="8"/>
      <c r="N502" s="8"/>
      <c r="O502" s="8"/>
      <c r="P502" s="8"/>
    </row>
    <row r="503" spans="1:16" ht="15" customHeight="1">
      <c r="A503" s="193" t="s">
        <v>2086</v>
      </c>
      <c r="B503" s="181" t="s">
        <v>419</v>
      </c>
      <c r="C503" s="153" t="s">
        <v>2852</v>
      </c>
      <c r="D503" s="152" t="s">
        <v>419</v>
      </c>
      <c r="E503" s="153" t="s">
        <v>505</v>
      </c>
      <c r="F503" s="152" t="s">
        <v>3106</v>
      </c>
      <c r="K503" s="8"/>
      <c r="L503" s="8"/>
      <c r="M503" s="8"/>
      <c r="N503" s="8"/>
      <c r="O503" s="8"/>
      <c r="P503" s="8"/>
    </row>
    <row r="504" spans="1:16" ht="15" customHeight="1">
      <c r="A504" s="286" t="s">
        <v>3778</v>
      </c>
      <c r="B504" s="281" t="s">
        <v>3777</v>
      </c>
      <c r="C504" s="151">
        <v>0</v>
      </c>
      <c r="D504" s="171" t="s">
        <v>3105</v>
      </c>
      <c r="E504" s="170" t="s">
        <v>669</v>
      </c>
      <c r="F504" s="171" t="s">
        <v>2920</v>
      </c>
      <c r="K504" s="8"/>
      <c r="L504" s="8"/>
      <c r="M504" s="8"/>
      <c r="N504" s="8"/>
      <c r="O504" s="8"/>
      <c r="P504" s="8"/>
    </row>
    <row r="505" spans="1:16" ht="15" customHeight="1">
      <c r="A505" s="286"/>
      <c r="B505" s="281"/>
      <c r="C505" s="151">
        <v>1</v>
      </c>
      <c r="D505" s="171" t="s">
        <v>2082</v>
      </c>
      <c r="E505" s="170" t="s">
        <v>2874</v>
      </c>
      <c r="F505" s="171" t="s">
        <v>3104</v>
      </c>
      <c r="K505" s="8"/>
      <c r="L505" s="8"/>
      <c r="M505" s="8"/>
      <c r="N505" s="8"/>
      <c r="O505" s="8"/>
      <c r="P505" s="8"/>
    </row>
    <row r="506" spans="1:16" ht="15" customHeight="1">
      <c r="A506" s="286"/>
      <c r="B506" s="281"/>
      <c r="C506" s="151">
        <v>9</v>
      </c>
      <c r="D506" s="175" t="s">
        <v>2081</v>
      </c>
      <c r="E506" s="170" t="s">
        <v>2874</v>
      </c>
      <c r="F506" s="171" t="s">
        <v>3779</v>
      </c>
      <c r="K506" s="8"/>
      <c r="L506" s="8"/>
      <c r="M506" s="8"/>
      <c r="N506" s="8"/>
      <c r="O506" s="8"/>
      <c r="P506" s="8"/>
    </row>
    <row r="507" spans="1:16" ht="15" customHeight="1">
      <c r="A507" s="286"/>
      <c r="B507" s="281"/>
      <c r="C507" s="151">
        <v>11</v>
      </c>
      <c r="D507" s="175" t="s">
        <v>2080</v>
      </c>
      <c r="E507" s="170" t="s">
        <v>669</v>
      </c>
      <c r="F507" s="171" t="s">
        <v>3781</v>
      </c>
      <c r="K507" s="8"/>
      <c r="L507" s="8"/>
      <c r="M507" s="8"/>
      <c r="N507" s="8"/>
      <c r="O507" s="8"/>
      <c r="P507" s="8"/>
    </row>
    <row r="508" spans="1:16" ht="15" customHeight="1">
      <c r="A508" s="286"/>
      <c r="B508" s="281"/>
      <c r="C508" s="151">
        <v>12</v>
      </c>
      <c r="D508" s="171" t="s">
        <v>2079</v>
      </c>
      <c r="E508" s="170" t="s">
        <v>669</v>
      </c>
      <c r="F508" s="171" t="s">
        <v>3780</v>
      </c>
      <c r="K508" s="8"/>
      <c r="L508" s="8"/>
      <c r="M508" s="8"/>
      <c r="N508" s="8"/>
      <c r="O508" s="8"/>
      <c r="P508" s="8"/>
    </row>
    <row r="509" spans="1:16" ht="15" customHeight="1">
      <c r="A509" s="284" t="s">
        <v>4462</v>
      </c>
      <c r="B509" s="282" t="s">
        <v>2077</v>
      </c>
      <c r="C509" s="229">
        <v>0</v>
      </c>
      <c r="D509" s="222" t="s">
        <v>3103</v>
      </c>
      <c r="E509" s="153" t="s">
        <v>669</v>
      </c>
      <c r="F509" s="152" t="s">
        <v>2923</v>
      </c>
      <c r="K509" s="8"/>
      <c r="L509" s="8"/>
      <c r="M509" s="8"/>
      <c r="N509" s="8"/>
      <c r="O509" s="8"/>
      <c r="P509" s="8"/>
    </row>
    <row r="510" spans="1:16" ht="15" customHeight="1">
      <c r="A510" s="284"/>
      <c r="B510" s="282"/>
      <c r="C510" s="229">
        <v>1</v>
      </c>
      <c r="D510" s="222" t="s">
        <v>2075</v>
      </c>
      <c r="E510" s="153" t="s">
        <v>2874</v>
      </c>
      <c r="F510" s="152" t="s">
        <v>3102</v>
      </c>
      <c r="K510" s="8"/>
      <c r="L510" s="8"/>
      <c r="M510" s="8"/>
      <c r="N510" s="8"/>
      <c r="O510" s="8"/>
      <c r="P510" s="8"/>
    </row>
    <row r="511" spans="1:16" ht="15" customHeight="1">
      <c r="A511" s="284"/>
      <c r="B511" s="282"/>
      <c r="C511" s="229">
        <v>9</v>
      </c>
      <c r="D511" s="222" t="s">
        <v>2074</v>
      </c>
      <c r="E511" s="153" t="s">
        <v>1123</v>
      </c>
      <c r="F511" s="152" t="s">
        <v>4859</v>
      </c>
      <c r="K511" s="8"/>
      <c r="L511" s="8"/>
      <c r="M511" s="8"/>
      <c r="N511" s="8"/>
      <c r="O511" s="8"/>
      <c r="P511" s="8"/>
    </row>
    <row r="512" spans="1:16" ht="15" customHeight="1">
      <c r="A512" s="284"/>
      <c r="B512" s="282"/>
      <c r="C512" s="229">
        <v>11</v>
      </c>
      <c r="D512" s="222" t="s">
        <v>2073</v>
      </c>
      <c r="E512" s="153" t="s">
        <v>669</v>
      </c>
      <c r="F512" s="152" t="s">
        <v>4463</v>
      </c>
      <c r="K512" s="8"/>
      <c r="L512" s="8"/>
      <c r="M512" s="8"/>
      <c r="N512" s="8"/>
      <c r="O512" s="8"/>
      <c r="P512" s="8"/>
    </row>
    <row r="513" spans="1:16" ht="15" customHeight="1">
      <c r="A513" s="284"/>
      <c r="B513" s="282"/>
      <c r="C513" s="229">
        <v>12</v>
      </c>
      <c r="D513" s="222" t="s">
        <v>2072</v>
      </c>
      <c r="E513" s="153" t="s">
        <v>669</v>
      </c>
      <c r="F513" s="152" t="s">
        <v>4784</v>
      </c>
      <c r="K513" s="8"/>
      <c r="L513" s="8"/>
      <c r="M513" s="8"/>
      <c r="N513" s="8"/>
      <c r="O513" s="8"/>
      <c r="P513" s="8"/>
    </row>
    <row r="514" spans="1:16" ht="15" customHeight="1">
      <c r="A514" s="274" t="s">
        <v>3782</v>
      </c>
      <c r="B514" s="278" t="s">
        <v>4932</v>
      </c>
      <c r="C514" s="227">
        <v>0</v>
      </c>
      <c r="D514" s="225" t="s">
        <v>3101</v>
      </c>
      <c r="E514" s="170" t="s">
        <v>669</v>
      </c>
      <c r="F514" s="171" t="s">
        <v>2923</v>
      </c>
      <c r="K514" s="8"/>
      <c r="L514" s="8"/>
      <c r="M514" s="8"/>
      <c r="N514" s="8"/>
      <c r="O514" s="8"/>
      <c r="P514" s="8"/>
    </row>
    <row r="515" spans="1:16" ht="15" customHeight="1">
      <c r="A515" s="299"/>
      <c r="B515" s="304"/>
      <c r="C515" s="227">
        <v>1</v>
      </c>
      <c r="D515" s="225" t="s">
        <v>4931</v>
      </c>
      <c r="E515" s="170" t="s">
        <v>2874</v>
      </c>
      <c r="F515" s="171" t="s">
        <v>4888</v>
      </c>
      <c r="K515" s="8"/>
      <c r="L515" s="8"/>
      <c r="M515" s="8"/>
      <c r="N515" s="8"/>
      <c r="O515" s="8"/>
      <c r="P515" s="8"/>
    </row>
    <row r="516" spans="1:16" ht="15" customHeight="1">
      <c r="A516" s="299"/>
      <c r="B516" s="304"/>
      <c r="C516" s="227">
        <v>2</v>
      </c>
      <c r="D516" s="225" t="s">
        <v>2067</v>
      </c>
      <c r="E516" s="170" t="s">
        <v>1123</v>
      </c>
      <c r="F516" s="171" t="s">
        <v>3783</v>
      </c>
      <c r="K516" s="8"/>
      <c r="L516" s="8"/>
      <c r="M516" s="8"/>
      <c r="N516" s="8"/>
      <c r="O516" s="8"/>
      <c r="P516" s="8"/>
    </row>
    <row r="517" spans="1:16" ht="15" customHeight="1">
      <c r="A517" s="299"/>
      <c r="B517" s="304"/>
      <c r="C517" s="227">
        <v>9</v>
      </c>
      <c r="D517" s="225" t="s">
        <v>2068</v>
      </c>
      <c r="E517" s="170" t="s">
        <v>1123</v>
      </c>
      <c r="F517" s="171" t="s">
        <v>3784</v>
      </c>
      <c r="K517" s="8"/>
      <c r="L517" s="8"/>
      <c r="M517" s="8"/>
      <c r="N517" s="8"/>
      <c r="O517" s="8"/>
      <c r="P517" s="8"/>
    </row>
    <row r="518" spans="1:16" ht="15" customHeight="1">
      <c r="A518" s="299"/>
      <c r="B518" s="304"/>
      <c r="C518" s="227">
        <v>10</v>
      </c>
      <c r="D518" s="225" t="s">
        <v>2069</v>
      </c>
      <c r="E518" s="170" t="s">
        <v>1123</v>
      </c>
      <c r="F518" s="171" t="s">
        <v>3785</v>
      </c>
      <c r="K518" s="8"/>
      <c r="L518" s="8"/>
      <c r="M518" s="8"/>
      <c r="N518" s="8"/>
      <c r="O518" s="8"/>
      <c r="P518" s="8"/>
    </row>
    <row r="519" spans="1:16" ht="15" customHeight="1">
      <c r="A519" s="275"/>
      <c r="B519" s="279"/>
      <c r="C519" s="227">
        <v>12</v>
      </c>
      <c r="D519" s="225" t="s">
        <v>2066</v>
      </c>
      <c r="E519" s="170" t="s">
        <v>669</v>
      </c>
      <c r="F519" s="171" t="s">
        <v>3786</v>
      </c>
      <c r="K519" s="8"/>
      <c r="L519" s="8"/>
      <c r="M519" s="8"/>
      <c r="N519" s="8"/>
      <c r="O519" s="8"/>
      <c r="P519" s="8"/>
    </row>
    <row r="520" spans="1:16" ht="15" customHeight="1">
      <c r="A520" s="272" t="s">
        <v>3787</v>
      </c>
      <c r="B520" s="276" t="s">
        <v>2064</v>
      </c>
      <c r="C520" s="229">
        <v>0</v>
      </c>
      <c r="D520" s="222" t="s">
        <v>3100</v>
      </c>
      <c r="E520" s="153" t="s">
        <v>669</v>
      </c>
      <c r="F520" s="152" t="s">
        <v>2923</v>
      </c>
      <c r="K520" s="8"/>
      <c r="L520" s="8"/>
      <c r="M520" s="8"/>
      <c r="N520" s="8"/>
      <c r="O520" s="8"/>
      <c r="P520" s="8"/>
    </row>
    <row r="521" spans="1:16" ht="15" customHeight="1">
      <c r="A521" s="292"/>
      <c r="B521" s="305"/>
      <c r="C521" s="229">
        <v>9</v>
      </c>
      <c r="D521" s="222" t="s">
        <v>2061</v>
      </c>
      <c r="E521" s="153" t="s">
        <v>2874</v>
      </c>
      <c r="F521" s="152" t="s">
        <v>3788</v>
      </c>
      <c r="K521" s="8"/>
      <c r="L521" s="8"/>
      <c r="M521" s="8"/>
      <c r="N521" s="8"/>
      <c r="O521" s="8"/>
      <c r="P521" s="8"/>
    </row>
    <row r="522" spans="1:16" ht="15" customHeight="1">
      <c r="A522" s="292"/>
      <c r="B522" s="305"/>
      <c r="C522" s="229">
        <v>11</v>
      </c>
      <c r="D522" s="222" t="s">
        <v>2060</v>
      </c>
      <c r="E522" s="153" t="s">
        <v>669</v>
      </c>
      <c r="F522" s="152" t="s">
        <v>3790</v>
      </c>
      <c r="K522" s="8"/>
      <c r="L522" s="8"/>
      <c r="M522" s="8"/>
      <c r="N522" s="8"/>
      <c r="O522" s="8"/>
      <c r="P522" s="8"/>
    </row>
    <row r="523" spans="1:16" ht="15" customHeight="1">
      <c r="A523" s="292"/>
      <c r="B523" s="305"/>
      <c r="C523" s="229">
        <v>12</v>
      </c>
      <c r="D523" s="222" t="s">
        <v>2059</v>
      </c>
      <c r="E523" s="153" t="s">
        <v>669</v>
      </c>
      <c r="F523" s="152" t="s">
        <v>3789</v>
      </c>
      <c r="K523" s="8"/>
      <c r="L523" s="8"/>
      <c r="M523" s="8"/>
      <c r="N523" s="8"/>
      <c r="O523" s="8"/>
      <c r="P523" s="8"/>
    </row>
    <row r="524" spans="1:16" ht="15" customHeight="1">
      <c r="A524" s="273"/>
      <c r="B524" s="277"/>
      <c r="C524" s="229">
        <v>13</v>
      </c>
      <c r="D524" s="222" t="s">
        <v>2062</v>
      </c>
      <c r="E524" s="153" t="s">
        <v>2874</v>
      </c>
      <c r="F524" s="152" t="s">
        <v>3099</v>
      </c>
      <c r="K524" s="8"/>
      <c r="L524" s="8"/>
      <c r="M524" s="8"/>
      <c r="N524" s="8"/>
      <c r="O524" s="8"/>
      <c r="P524" s="8"/>
    </row>
    <row r="525" spans="1:16" ht="15" customHeight="1">
      <c r="A525" s="274" t="s">
        <v>2058</v>
      </c>
      <c r="B525" s="278" t="s">
        <v>2057</v>
      </c>
      <c r="C525" s="151">
        <v>0</v>
      </c>
      <c r="D525" s="171" t="s">
        <v>3098</v>
      </c>
      <c r="E525" s="170" t="s">
        <v>669</v>
      </c>
      <c r="F525" s="171" t="s">
        <v>2923</v>
      </c>
      <c r="K525" s="8"/>
      <c r="L525" s="8"/>
      <c r="M525" s="8"/>
      <c r="N525" s="8"/>
      <c r="O525" s="8"/>
      <c r="P525" s="8"/>
    </row>
    <row r="526" spans="1:16" ht="15" customHeight="1">
      <c r="A526" s="299"/>
      <c r="B526" s="304"/>
      <c r="C526" s="151">
        <v>9</v>
      </c>
      <c r="D526" s="171" t="s">
        <v>2054</v>
      </c>
      <c r="E526" s="170" t="s">
        <v>1123</v>
      </c>
      <c r="F526" s="171" t="s">
        <v>4860</v>
      </c>
      <c r="K526" s="8"/>
      <c r="L526" s="8"/>
      <c r="M526" s="8"/>
      <c r="N526" s="8"/>
      <c r="O526" s="8"/>
      <c r="P526" s="8"/>
    </row>
    <row r="527" spans="1:16" ht="15" customHeight="1">
      <c r="A527" s="299"/>
      <c r="B527" s="304"/>
      <c r="C527" s="151">
        <v>11</v>
      </c>
      <c r="D527" s="171" t="s">
        <v>2053</v>
      </c>
      <c r="E527" s="170" t="s">
        <v>669</v>
      </c>
      <c r="F527" s="171" t="s">
        <v>4464</v>
      </c>
      <c r="K527" s="8"/>
      <c r="L527" s="8"/>
      <c r="M527" s="8"/>
      <c r="N527" s="8"/>
      <c r="O527" s="8"/>
      <c r="P527" s="8"/>
    </row>
    <row r="528" spans="1:16" ht="15" customHeight="1">
      <c r="A528" s="299"/>
      <c r="B528" s="304"/>
      <c r="C528" s="151">
        <v>12</v>
      </c>
      <c r="D528" s="171" t="s">
        <v>2052</v>
      </c>
      <c r="E528" s="170" t="s">
        <v>669</v>
      </c>
      <c r="F528" s="171" t="s">
        <v>4785</v>
      </c>
      <c r="K528" s="8"/>
      <c r="L528" s="8"/>
      <c r="M528" s="8"/>
      <c r="N528" s="8"/>
      <c r="O528" s="8"/>
      <c r="P528" s="8"/>
    </row>
    <row r="529" spans="1:16" ht="15" customHeight="1">
      <c r="A529" s="275"/>
      <c r="B529" s="279"/>
      <c r="C529" s="151">
        <v>13</v>
      </c>
      <c r="D529" s="171" t="s">
        <v>2055</v>
      </c>
      <c r="E529" s="170" t="s">
        <v>2874</v>
      </c>
      <c r="F529" s="171" t="s">
        <v>3097</v>
      </c>
      <c r="K529" s="8"/>
      <c r="L529" s="8"/>
      <c r="M529" s="8"/>
      <c r="N529" s="8"/>
      <c r="O529" s="8"/>
      <c r="P529" s="8"/>
    </row>
    <row r="530" spans="1:16" ht="15" customHeight="1">
      <c r="A530" s="272" t="s">
        <v>3791</v>
      </c>
      <c r="B530" s="276" t="s">
        <v>4976</v>
      </c>
      <c r="C530" s="153">
        <v>0</v>
      </c>
      <c r="D530" s="152" t="s">
        <v>3096</v>
      </c>
      <c r="E530" s="153" t="s">
        <v>669</v>
      </c>
      <c r="F530" s="152" t="s">
        <v>2923</v>
      </c>
      <c r="K530" s="8"/>
      <c r="L530" s="8"/>
      <c r="M530" s="8"/>
      <c r="N530" s="8"/>
      <c r="O530" s="8"/>
      <c r="P530" s="8"/>
    </row>
    <row r="531" spans="1:16" ht="15" customHeight="1">
      <c r="A531" s="292"/>
      <c r="B531" s="305"/>
      <c r="C531" s="153">
        <v>9</v>
      </c>
      <c r="D531" s="152" t="s">
        <v>3095</v>
      </c>
      <c r="E531" s="153" t="s">
        <v>2874</v>
      </c>
      <c r="F531" s="152" t="s">
        <v>3792</v>
      </c>
      <c r="K531" s="8"/>
      <c r="L531" s="8"/>
      <c r="M531" s="8"/>
      <c r="N531" s="8"/>
      <c r="O531" s="8"/>
      <c r="P531" s="8"/>
    </row>
    <row r="532" spans="1:16" ht="15" customHeight="1">
      <c r="A532" s="292"/>
      <c r="B532" s="305"/>
      <c r="C532" s="153">
        <v>11</v>
      </c>
      <c r="D532" s="152" t="s">
        <v>2048</v>
      </c>
      <c r="E532" s="153" t="s">
        <v>669</v>
      </c>
      <c r="F532" s="152" t="s">
        <v>3793</v>
      </c>
      <c r="K532" s="8"/>
      <c r="L532" s="8"/>
      <c r="M532" s="8"/>
      <c r="N532" s="8"/>
      <c r="O532" s="8"/>
      <c r="P532" s="8"/>
    </row>
    <row r="533" spans="1:16" ht="15" customHeight="1">
      <c r="A533" s="273"/>
      <c r="B533" s="277"/>
      <c r="C533" s="153">
        <v>12</v>
      </c>
      <c r="D533" s="152" t="s">
        <v>4964</v>
      </c>
      <c r="E533" s="153" t="s">
        <v>669</v>
      </c>
      <c r="F533" s="152" t="s">
        <v>4970</v>
      </c>
      <c r="K533" s="8"/>
      <c r="L533" s="8"/>
      <c r="M533" s="8"/>
      <c r="N533" s="8"/>
      <c r="O533" s="8"/>
      <c r="P533" s="8"/>
    </row>
    <row r="534" spans="1:16" ht="15" customHeight="1">
      <c r="A534" s="274" t="s">
        <v>4458</v>
      </c>
      <c r="B534" s="278" t="s">
        <v>4977</v>
      </c>
      <c r="C534" s="151">
        <v>0</v>
      </c>
      <c r="D534" s="171" t="s">
        <v>3094</v>
      </c>
      <c r="E534" s="170" t="s">
        <v>669</v>
      </c>
      <c r="F534" s="171" t="s">
        <v>2923</v>
      </c>
      <c r="K534" s="8"/>
      <c r="L534" s="8"/>
      <c r="M534" s="8"/>
      <c r="N534" s="8"/>
      <c r="O534" s="8"/>
      <c r="P534" s="8"/>
    </row>
    <row r="535" spans="1:16" ht="15" customHeight="1">
      <c r="A535" s="299"/>
      <c r="B535" s="304"/>
      <c r="C535" s="151">
        <v>9</v>
      </c>
      <c r="D535" s="171" t="s">
        <v>4384</v>
      </c>
      <c r="E535" s="170" t="s">
        <v>1123</v>
      </c>
      <c r="F535" s="171" t="s">
        <v>4861</v>
      </c>
      <c r="K535" s="8"/>
      <c r="L535" s="8"/>
      <c r="M535" s="8"/>
      <c r="N535" s="8"/>
      <c r="O535" s="8"/>
      <c r="P535" s="8"/>
    </row>
    <row r="536" spans="1:16" ht="15" customHeight="1">
      <c r="A536" s="299"/>
      <c r="B536" s="304"/>
      <c r="C536" s="151">
        <v>11</v>
      </c>
      <c r="D536" s="171" t="s">
        <v>2044</v>
      </c>
      <c r="E536" s="170" t="s">
        <v>669</v>
      </c>
      <c r="F536" s="171" t="s">
        <v>4459</v>
      </c>
      <c r="K536" s="8"/>
      <c r="L536" s="8"/>
      <c r="M536" s="8"/>
      <c r="N536" s="8"/>
      <c r="O536" s="8"/>
      <c r="P536" s="8"/>
    </row>
    <row r="537" spans="1:16" ht="15" customHeight="1">
      <c r="A537" s="275"/>
      <c r="B537" s="279"/>
      <c r="C537" s="151">
        <v>12</v>
      </c>
      <c r="D537" s="171" t="s">
        <v>4965</v>
      </c>
      <c r="E537" s="170" t="s">
        <v>669</v>
      </c>
      <c r="F537" s="171" t="s">
        <v>4971</v>
      </c>
      <c r="K537" s="8"/>
      <c r="L537" s="8"/>
      <c r="M537" s="8"/>
      <c r="N537" s="8"/>
      <c r="O537" s="8"/>
      <c r="P537" s="8"/>
    </row>
    <row r="538" spans="1:16" ht="15" customHeight="1">
      <c r="A538" s="272" t="s">
        <v>2043</v>
      </c>
      <c r="B538" s="276" t="s">
        <v>2042</v>
      </c>
      <c r="C538" s="153">
        <v>0</v>
      </c>
      <c r="D538" s="152" t="s">
        <v>3093</v>
      </c>
      <c r="E538" s="153" t="s">
        <v>669</v>
      </c>
      <c r="F538" s="152" t="s">
        <v>2923</v>
      </c>
      <c r="K538" s="8"/>
      <c r="L538" s="8"/>
      <c r="M538" s="8"/>
      <c r="N538" s="8"/>
      <c r="O538" s="8"/>
      <c r="P538" s="8"/>
    </row>
    <row r="539" spans="1:16" ht="15" customHeight="1">
      <c r="A539" s="292"/>
      <c r="B539" s="305"/>
      <c r="C539" s="153">
        <v>6</v>
      </c>
      <c r="D539" s="152" t="s">
        <v>3794</v>
      </c>
      <c r="E539" s="153" t="s">
        <v>2874</v>
      </c>
      <c r="F539" s="152" t="s">
        <v>4745</v>
      </c>
      <c r="K539" s="8"/>
      <c r="L539" s="8"/>
      <c r="M539" s="8"/>
      <c r="N539" s="8"/>
      <c r="O539" s="8"/>
      <c r="P539" s="8"/>
    </row>
    <row r="540" spans="1:16" ht="15" customHeight="1">
      <c r="A540" s="292"/>
      <c r="B540" s="305"/>
      <c r="C540" s="153">
        <v>9</v>
      </c>
      <c r="D540" s="152" t="s">
        <v>2039</v>
      </c>
      <c r="E540" s="153" t="s">
        <v>669</v>
      </c>
      <c r="F540" s="152" t="s">
        <v>4942</v>
      </c>
      <c r="K540" s="8"/>
      <c r="L540" s="8"/>
      <c r="M540" s="8"/>
      <c r="N540" s="8"/>
      <c r="O540" s="8"/>
      <c r="P540" s="8"/>
    </row>
    <row r="541" spans="1:16" ht="15" customHeight="1">
      <c r="A541" s="292"/>
      <c r="B541" s="305"/>
      <c r="C541" s="153">
        <v>10</v>
      </c>
      <c r="D541" s="152" t="s">
        <v>2040</v>
      </c>
      <c r="E541" s="153" t="s">
        <v>2874</v>
      </c>
      <c r="F541" s="152" t="s">
        <v>4822</v>
      </c>
      <c r="K541" s="8"/>
      <c r="L541" s="8"/>
      <c r="M541" s="8"/>
      <c r="N541" s="8"/>
      <c r="O541" s="8"/>
      <c r="P541" s="8"/>
    </row>
    <row r="542" spans="1:16" ht="15" customHeight="1">
      <c r="A542" s="273"/>
      <c r="B542" s="277"/>
      <c r="C542" s="153">
        <v>12</v>
      </c>
      <c r="D542" s="152" t="s">
        <v>2037</v>
      </c>
      <c r="E542" s="153" t="s">
        <v>669</v>
      </c>
      <c r="F542" s="152" t="s">
        <v>4786</v>
      </c>
      <c r="K542" s="8"/>
      <c r="L542" s="8"/>
      <c r="M542" s="8"/>
      <c r="N542" s="8"/>
      <c r="O542" s="8"/>
      <c r="P542" s="8"/>
    </row>
    <row r="543" spans="1:16" ht="15" customHeight="1">
      <c r="A543" s="274" t="s">
        <v>3796</v>
      </c>
      <c r="B543" s="278" t="s">
        <v>2035</v>
      </c>
      <c r="C543" s="151">
        <v>0</v>
      </c>
      <c r="D543" s="171" t="s">
        <v>3092</v>
      </c>
      <c r="E543" s="170" t="s">
        <v>669</v>
      </c>
      <c r="F543" s="171" t="s">
        <v>2923</v>
      </c>
      <c r="K543" s="8"/>
      <c r="L543" s="8"/>
      <c r="M543" s="8"/>
      <c r="N543" s="8"/>
      <c r="O543" s="8"/>
      <c r="P543" s="8"/>
    </row>
    <row r="544" spans="1:16" ht="15" customHeight="1">
      <c r="A544" s="299"/>
      <c r="B544" s="304"/>
      <c r="C544" s="151">
        <v>4</v>
      </c>
      <c r="D544" s="171" t="s">
        <v>2033</v>
      </c>
      <c r="E544" s="170" t="s">
        <v>669</v>
      </c>
      <c r="F544" s="171" t="s">
        <v>3797</v>
      </c>
      <c r="K544" s="8"/>
      <c r="L544" s="8"/>
      <c r="M544" s="8"/>
      <c r="N544" s="8"/>
      <c r="O544" s="8"/>
      <c r="P544" s="8"/>
    </row>
    <row r="545" spans="1:16" ht="15" customHeight="1">
      <c r="A545" s="299"/>
      <c r="B545" s="304"/>
      <c r="C545" s="151">
        <v>6</v>
      </c>
      <c r="D545" s="171" t="s">
        <v>3795</v>
      </c>
      <c r="E545" s="170" t="s">
        <v>2874</v>
      </c>
      <c r="F545" s="171" t="s">
        <v>3872</v>
      </c>
      <c r="K545" s="8"/>
      <c r="L545" s="8"/>
      <c r="M545" s="8"/>
      <c r="N545" s="8"/>
      <c r="O545" s="8"/>
      <c r="P545" s="8"/>
    </row>
    <row r="546" spans="1:16" ht="15" customHeight="1">
      <c r="A546" s="299"/>
      <c r="B546" s="304"/>
      <c r="C546" s="151">
        <v>9</v>
      </c>
      <c r="D546" s="171" t="s">
        <v>2031</v>
      </c>
      <c r="E546" s="170" t="s">
        <v>2874</v>
      </c>
      <c r="F546" s="171" t="s">
        <v>3849</v>
      </c>
      <c r="K546" s="8"/>
      <c r="L546" s="8"/>
      <c r="M546" s="8"/>
      <c r="N546" s="8"/>
      <c r="O546" s="8"/>
      <c r="P546" s="8"/>
    </row>
    <row r="547" spans="1:16" ht="15" customHeight="1">
      <c r="A547" s="275"/>
      <c r="B547" s="279"/>
      <c r="C547" s="151">
        <v>12</v>
      </c>
      <c r="D547" s="171" t="s">
        <v>2030</v>
      </c>
      <c r="E547" s="170" t="s">
        <v>669</v>
      </c>
      <c r="F547" s="171" t="s">
        <v>3798</v>
      </c>
      <c r="K547" s="8"/>
      <c r="L547" s="8"/>
      <c r="M547" s="8"/>
      <c r="N547" s="8"/>
      <c r="O547" s="8"/>
      <c r="P547" s="8"/>
    </row>
    <row r="548" spans="1:16" ht="15" customHeight="1">
      <c r="A548" s="272" t="s">
        <v>3799</v>
      </c>
      <c r="B548" s="276" t="s">
        <v>4978</v>
      </c>
      <c r="C548" s="153">
        <v>0</v>
      </c>
      <c r="D548" s="152" t="s">
        <v>3091</v>
      </c>
      <c r="E548" s="153" t="s">
        <v>669</v>
      </c>
      <c r="F548" s="152" t="s">
        <v>2923</v>
      </c>
      <c r="K548" s="8"/>
      <c r="L548" s="8"/>
      <c r="M548" s="8"/>
      <c r="N548" s="8"/>
      <c r="O548" s="8"/>
      <c r="P548" s="8"/>
    </row>
    <row r="549" spans="1:16" ht="15" customHeight="1">
      <c r="A549" s="292"/>
      <c r="B549" s="305"/>
      <c r="C549" s="153">
        <v>4</v>
      </c>
      <c r="D549" s="152" t="s">
        <v>2027</v>
      </c>
      <c r="E549" s="153" t="s">
        <v>2874</v>
      </c>
      <c r="F549" s="152" t="s">
        <v>3800</v>
      </c>
      <c r="K549" s="8"/>
      <c r="L549" s="8"/>
      <c r="M549" s="8"/>
      <c r="N549" s="8"/>
      <c r="O549" s="8"/>
      <c r="P549" s="8"/>
    </row>
    <row r="550" spans="1:16" ht="15" customHeight="1">
      <c r="A550" s="292"/>
      <c r="B550" s="305"/>
      <c r="C550" s="153">
        <v>9</v>
      </c>
      <c r="D550" s="152" t="s">
        <v>2026</v>
      </c>
      <c r="E550" s="153" t="s">
        <v>1123</v>
      </c>
      <c r="F550" s="152" t="s">
        <v>3801</v>
      </c>
      <c r="K550" s="8"/>
      <c r="L550" s="8"/>
      <c r="M550" s="8"/>
      <c r="N550" s="8"/>
      <c r="O550" s="8"/>
      <c r="P550" s="8"/>
    </row>
    <row r="551" spans="1:16" ht="15" customHeight="1">
      <c r="A551" s="273"/>
      <c r="B551" s="277"/>
      <c r="C551" s="153">
        <v>12</v>
      </c>
      <c r="D551" s="152" t="s">
        <v>4966</v>
      </c>
      <c r="E551" s="153" t="s">
        <v>2874</v>
      </c>
      <c r="F551" s="152" t="s">
        <v>4972</v>
      </c>
      <c r="K551" s="8"/>
      <c r="L551" s="8"/>
      <c r="M551" s="8"/>
      <c r="N551" s="8"/>
      <c r="O551" s="8"/>
      <c r="P551" s="8"/>
    </row>
    <row r="552" spans="1:16" ht="15" customHeight="1">
      <c r="A552" s="274" t="s">
        <v>2025</v>
      </c>
      <c r="B552" s="278" t="s">
        <v>3802</v>
      </c>
      <c r="C552" s="151">
        <v>0</v>
      </c>
      <c r="D552" s="171" t="s">
        <v>3090</v>
      </c>
      <c r="E552" s="170" t="s">
        <v>669</v>
      </c>
      <c r="F552" s="171" t="s">
        <v>2923</v>
      </c>
      <c r="K552" s="8"/>
      <c r="L552" s="8"/>
      <c r="M552" s="8"/>
      <c r="N552" s="8"/>
      <c r="O552" s="8"/>
      <c r="P552" s="8"/>
    </row>
    <row r="553" spans="1:16" ht="15" customHeight="1">
      <c r="A553" s="299"/>
      <c r="B553" s="304"/>
      <c r="C553" s="151">
        <v>4</v>
      </c>
      <c r="D553" s="171" t="s">
        <v>2021</v>
      </c>
      <c r="E553" s="170" t="s">
        <v>669</v>
      </c>
      <c r="F553" s="171" t="s">
        <v>4734</v>
      </c>
      <c r="K553" s="8"/>
      <c r="L553" s="8"/>
      <c r="M553" s="8"/>
      <c r="N553" s="8"/>
      <c r="O553" s="8"/>
      <c r="P553" s="8"/>
    </row>
    <row r="554" spans="1:16" ht="15" customHeight="1">
      <c r="A554" s="299"/>
      <c r="B554" s="304"/>
      <c r="C554" s="174">
        <v>9</v>
      </c>
      <c r="D554" s="175" t="s">
        <v>3803</v>
      </c>
      <c r="E554" s="174" t="s">
        <v>2874</v>
      </c>
      <c r="F554" s="223" t="s">
        <v>4389</v>
      </c>
      <c r="K554" s="8"/>
      <c r="L554" s="8"/>
      <c r="M554" s="8"/>
      <c r="N554" s="8"/>
      <c r="O554" s="8"/>
      <c r="P554" s="8"/>
    </row>
    <row r="555" spans="1:16" ht="15" customHeight="1">
      <c r="A555" s="299"/>
      <c r="B555" s="304"/>
      <c r="C555" s="151">
        <v>10</v>
      </c>
      <c r="D555" s="171" t="s">
        <v>2022</v>
      </c>
      <c r="E555" s="170" t="s">
        <v>2874</v>
      </c>
      <c r="F555" s="171" t="s">
        <v>4823</v>
      </c>
      <c r="K555" s="8"/>
      <c r="L555" s="8"/>
      <c r="M555" s="8"/>
      <c r="N555" s="8"/>
      <c r="O555" s="8"/>
      <c r="P555" s="8"/>
    </row>
    <row r="556" spans="1:16" ht="15" customHeight="1">
      <c r="A556" s="275"/>
      <c r="B556" s="279"/>
      <c r="C556" s="151">
        <v>11</v>
      </c>
      <c r="D556" s="171" t="s">
        <v>2019</v>
      </c>
      <c r="E556" s="170" t="s">
        <v>669</v>
      </c>
      <c r="F556" s="171" t="s">
        <v>4481</v>
      </c>
      <c r="K556" s="8"/>
      <c r="L556" s="8"/>
      <c r="M556" s="8"/>
      <c r="N556" s="8"/>
      <c r="O556" s="8"/>
      <c r="P556" s="8"/>
    </row>
    <row r="557" spans="1:16" ht="15" customHeight="1">
      <c r="A557" s="272" t="s">
        <v>3806</v>
      </c>
      <c r="B557" s="276" t="s">
        <v>3804</v>
      </c>
      <c r="C557" s="153">
        <v>0</v>
      </c>
      <c r="D557" s="152" t="s">
        <v>3089</v>
      </c>
      <c r="E557" s="153" t="s">
        <v>669</v>
      </c>
      <c r="F557" s="152" t="s">
        <v>2923</v>
      </c>
      <c r="K557" s="8"/>
      <c r="L557" s="8"/>
      <c r="M557" s="8"/>
      <c r="N557" s="8"/>
      <c r="O557" s="8"/>
      <c r="P557" s="8"/>
    </row>
    <row r="558" spans="1:16" ht="15" customHeight="1">
      <c r="A558" s="292"/>
      <c r="B558" s="305"/>
      <c r="C558" s="153">
        <v>4</v>
      </c>
      <c r="D558" s="152" t="s">
        <v>2014</v>
      </c>
      <c r="E558" s="153" t="s">
        <v>669</v>
      </c>
      <c r="F558" s="152" t="s">
        <v>3809</v>
      </c>
      <c r="K558" s="8"/>
      <c r="L558" s="8"/>
      <c r="M558" s="8"/>
      <c r="N558" s="8"/>
      <c r="O558" s="8"/>
      <c r="P558" s="8"/>
    </row>
    <row r="559" spans="1:16" ht="15" customHeight="1">
      <c r="A559" s="292"/>
      <c r="B559" s="305"/>
      <c r="C559" s="182">
        <v>9</v>
      </c>
      <c r="D559" s="183" t="s">
        <v>3805</v>
      </c>
      <c r="E559" s="182" t="s">
        <v>1123</v>
      </c>
      <c r="F559" s="224" t="s">
        <v>4396</v>
      </c>
      <c r="K559" s="8"/>
      <c r="L559" s="8"/>
      <c r="M559" s="8"/>
      <c r="N559" s="8"/>
      <c r="O559" s="8"/>
      <c r="P559" s="8"/>
    </row>
    <row r="560" spans="1:16" ht="15" customHeight="1">
      <c r="A560" s="292"/>
      <c r="B560" s="305"/>
      <c r="C560" s="153">
        <v>10</v>
      </c>
      <c r="D560" s="152" t="s">
        <v>2015</v>
      </c>
      <c r="E560" s="153" t="s">
        <v>669</v>
      </c>
      <c r="F560" s="152" t="s">
        <v>3807</v>
      </c>
      <c r="K560" s="8"/>
      <c r="L560" s="8"/>
      <c r="M560" s="8"/>
      <c r="N560" s="8"/>
      <c r="O560" s="8"/>
      <c r="P560" s="8"/>
    </row>
    <row r="561" spans="1:16" ht="15" customHeight="1">
      <c r="A561" s="273"/>
      <c r="B561" s="277"/>
      <c r="C561" s="153">
        <v>11</v>
      </c>
      <c r="D561" s="152" t="s">
        <v>2012</v>
      </c>
      <c r="E561" s="153" t="s">
        <v>669</v>
      </c>
      <c r="F561" s="152" t="s">
        <v>3808</v>
      </c>
      <c r="K561" s="8"/>
      <c r="L561" s="8"/>
      <c r="M561" s="8"/>
      <c r="N561" s="8"/>
      <c r="O561" s="8"/>
      <c r="P561" s="8"/>
    </row>
    <row r="562" spans="1:16" ht="15" customHeight="1">
      <c r="A562" s="274" t="s">
        <v>3813</v>
      </c>
      <c r="B562" s="278" t="s">
        <v>3811</v>
      </c>
      <c r="C562" s="151">
        <v>0</v>
      </c>
      <c r="D562" s="171" t="s">
        <v>3088</v>
      </c>
      <c r="E562" s="170" t="s">
        <v>669</v>
      </c>
      <c r="F562" s="171" t="s">
        <v>2920</v>
      </c>
      <c r="K562" s="8"/>
      <c r="L562" s="8"/>
      <c r="M562" s="8"/>
      <c r="N562" s="8"/>
      <c r="O562" s="8"/>
      <c r="P562" s="8"/>
    </row>
    <row r="563" spans="1:16" ht="15" customHeight="1">
      <c r="A563" s="299"/>
      <c r="B563" s="304"/>
      <c r="C563" s="151">
        <v>4</v>
      </c>
      <c r="D563" s="171" t="s">
        <v>2007</v>
      </c>
      <c r="E563" s="170" t="s">
        <v>1123</v>
      </c>
      <c r="F563" s="171" t="s">
        <v>3814</v>
      </c>
      <c r="K563" s="8"/>
      <c r="L563" s="8"/>
      <c r="M563" s="8"/>
      <c r="N563" s="8"/>
      <c r="O563" s="8"/>
      <c r="P563" s="8"/>
    </row>
    <row r="564" spans="1:16" ht="15" customHeight="1">
      <c r="A564" s="299"/>
      <c r="B564" s="304"/>
      <c r="C564" s="151">
        <v>6</v>
      </c>
      <c r="D564" s="171" t="s">
        <v>3810</v>
      </c>
      <c r="E564" s="170" t="s">
        <v>1123</v>
      </c>
      <c r="F564" s="171" t="s">
        <v>4755</v>
      </c>
      <c r="K564" s="8"/>
      <c r="L564" s="8"/>
      <c r="M564" s="8"/>
      <c r="N564" s="8"/>
      <c r="O564" s="8"/>
      <c r="P564" s="8"/>
    </row>
    <row r="565" spans="1:16" ht="15" customHeight="1">
      <c r="A565" s="299"/>
      <c r="B565" s="304"/>
      <c r="C565" s="174">
        <v>9</v>
      </c>
      <c r="D565" s="175" t="s">
        <v>3812</v>
      </c>
      <c r="E565" s="174" t="s">
        <v>2874</v>
      </c>
      <c r="F565" s="175" t="s">
        <v>3815</v>
      </c>
      <c r="K565" s="8"/>
      <c r="L565" s="8"/>
      <c r="M565" s="8"/>
      <c r="N565" s="8"/>
      <c r="O565" s="8"/>
      <c r="P565" s="8"/>
    </row>
    <row r="566" spans="1:16" ht="15" customHeight="1">
      <c r="A566" s="275"/>
      <c r="B566" s="279"/>
      <c r="C566" s="151">
        <v>10</v>
      </c>
      <c r="D566" s="171" t="s">
        <v>2008</v>
      </c>
      <c r="E566" s="170" t="s">
        <v>669</v>
      </c>
      <c r="F566" s="171" t="s">
        <v>3816</v>
      </c>
      <c r="K566" s="8"/>
      <c r="L566" s="8"/>
      <c r="M566" s="8"/>
      <c r="N566" s="8"/>
      <c r="O566" s="8"/>
      <c r="P566" s="8"/>
    </row>
    <row r="567" spans="1:16" ht="15" customHeight="1">
      <c r="A567" s="272" t="s">
        <v>3820</v>
      </c>
      <c r="B567" s="276" t="s">
        <v>3818</v>
      </c>
      <c r="C567" s="153">
        <v>0</v>
      </c>
      <c r="D567" s="152" t="s">
        <v>3087</v>
      </c>
      <c r="E567" s="153" t="s">
        <v>669</v>
      </c>
      <c r="F567" s="152" t="s">
        <v>2920</v>
      </c>
      <c r="K567" s="8"/>
      <c r="L567" s="8"/>
      <c r="M567" s="8"/>
      <c r="N567" s="8"/>
      <c r="O567" s="8"/>
      <c r="P567" s="8"/>
    </row>
    <row r="568" spans="1:16" ht="15" customHeight="1">
      <c r="A568" s="292"/>
      <c r="B568" s="305"/>
      <c r="C568" s="153">
        <v>4</v>
      </c>
      <c r="D568" s="152" t="s">
        <v>2000</v>
      </c>
      <c r="E568" s="153" t="s">
        <v>1123</v>
      </c>
      <c r="F568" s="152" t="s">
        <v>3821</v>
      </c>
      <c r="K568" s="8"/>
      <c r="L568" s="8"/>
      <c r="M568" s="8"/>
      <c r="N568" s="8"/>
      <c r="O568" s="8"/>
      <c r="P568" s="8"/>
    </row>
    <row r="569" spans="1:16" ht="15" customHeight="1">
      <c r="A569" s="292"/>
      <c r="B569" s="305"/>
      <c r="C569" s="153">
        <v>5</v>
      </c>
      <c r="D569" s="152" t="s">
        <v>1999</v>
      </c>
      <c r="E569" s="153" t="s">
        <v>2874</v>
      </c>
      <c r="F569" s="152" t="s">
        <v>3822</v>
      </c>
      <c r="K569" s="8"/>
      <c r="L569" s="8"/>
      <c r="M569" s="8"/>
      <c r="N569" s="8"/>
      <c r="O569" s="8"/>
      <c r="P569" s="8"/>
    </row>
    <row r="570" spans="1:16" ht="15" customHeight="1">
      <c r="A570" s="292"/>
      <c r="B570" s="305"/>
      <c r="C570" s="153">
        <v>6</v>
      </c>
      <c r="D570" s="152" t="s">
        <v>3817</v>
      </c>
      <c r="E570" s="153" t="s">
        <v>1123</v>
      </c>
      <c r="F570" s="152" t="s">
        <v>3823</v>
      </c>
      <c r="K570" s="8"/>
      <c r="L570" s="8"/>
      <c r="M570" s="8"/>
      <c r="N570" s="8"/>
      <c r="O570" s="8"/>
      <c r="P570" s="8"/>
    </row>
    <row r="571" spans="1:16" ht="15" customHeight="1">
      <c r="A571" s="292"/>
      <c r="B571" s="305"/>
      <c r="C571" s="182">
        <v>9</v>
      </c>
      <c r="D571" s="183" t="s">
        <v>3819</v>
      </c>
      <c r="E571" s="182" t="s">
        <v>1123</v>
      </c>
      <c r="F571" s="183" t="s">
        <v>3824</v>
      </c>
      <c r="K571" s="8"/>
      <c r="L571" s="8"/>
      <c r="M571" s="8"/>
      <c r="N571" s="8"/>
      <c r="O571" s="8"/>
      <c r="P571" s="8"/>
    </row>
    <row r="572" spans="1:16" ht="15" customHeight="1">
      <c r="A572" s="273"/>
      <c r="B572" s="277"/>
      <c r="C572" s="153">
        <v>10</v>
      </c>
      <c r="D572" s="152" t="s">
        <v>2001</v>
      </c>
      <c r="E572" s="153" t="s">
        <v>669</v>
      </c>
      <c r="F572" s="152" t="s">
        <v>3825</v>
      </c>
      <c r="K572" s="8"/>
      <c r="L572" s="8"/>
      <c r="M572" s="8"/>
      <c r="N572" s="8"/>
      <c r="O572" s="8"/>
      <c r="P572" s="8"/>
    </row>
    <row r="573" spans="1:16" ht="15" customHeight="1">
      <c r="A573" s="274" t="s">
        <v>3827</v>
      </c>
      <c r="B573" s="278" t="s">
        <v>1995</v>
      </c>
      <c r="C573" s="151">
        <v>0</v>
      </c>
      <c r="D573" s="171" t="s">
        <v>3086</v>
      </c>
      <c r="E573" s="170" t="s">
        <v>669</v>
      </c>
      <c r="F573" s="171" t="s">
        <v>2920</v>
      </c>
      <c r="K573" s="8"/>
      <c r="L573" s="8"/>
      <c r="M573" s="8"/>
      <c r="N573" s="8"/>
      <c r="O573" s="8"/>
      <c r="P573" s="8"/>
    </row>
    <row r="574" spans="1:16" ht="15" customHeight="1">
      <c r="A574" s="299"/>
      <c r="B574" s="304"/>
      <c r="C574" s="151">
        <v>4</v>
      </c>
      <c r="D574" s="171" t="s">
        <v>1992</v>
      </c>
      <c r="E574" s="170" t="s">
        <v>1123</v>
      </c>
      <c r="F574" s="171" t="s">
        <v>3828</v>
      </c>
      <c r="K574" s="8"/>
      <c r="L574" s="8"/>
      <c r="M574" s="8"/>
      <c r="N574" s="8"/>
      <c r="O574" s="8"/>
      <c r="P574" s="8"/>
    </row>
    <row r="575" spans="1:16" ht="15" customHeight="1">
      <c r="A575" s="299"/>
      <c r="B575" s="304"/>
      <c r="C575" s="151">
        <v>5</v>
      </c>
      <c r="D575" s="171" t="s">
        <v>1991</v>
      </c>
      <c r="E575" s="170" t="s">
        <v>2874</v>
      </c>
      <c r="F575" s="171" t="s">
        <v>3829</v>
      </c>
      <c r="K575" s="8"/>
      <c r="L575" s="8"/>
      <c r="M575" s="8"/>
      <c r="N575" s="8"/>
      <c r="O575" s="8"/>
      <c r="P575" s="8"/>
    </row>
    <row r="576" spans="1:16" ht="15" customHeight="1">
      <c r="A576" s="299"/>
      <c r="B576" s="304"/>
      <c r="C576" s="151">
        <v>6</v>
      </c>
      <c r="D576" s="171" t="s">
        <v>3826</v>
      </c>
      <c r="E576" s="170" t="s">
        <v>1123</v>
      </c>
      <c r="F576" s="171" t="s">
        <v>4756</v>
      </c>
      <c r="K576" s="8"/>
      <c r="L576" s="8"/>
      <c r="M576" s="8"/>
      <c r="N576" s="8"/>
      <c r="O576" s="8"/>
      <c r="P576" s="8"/>
    </row>
    <row r="577" spans="1:16" ht="15" customHeight="1">
      <c r="A577" s="299"/>
      <c r="B577" s="304"/>
      <c r="C577" s="151">
        <v>9</v>
      </c>
      <c r="D577" s="171" t="s">
        <v>1989</v>
      </c>
      <c r="E577" s="170" t="s">
        <v>1123</v>
      </c>
      <c r="F577" s="171" t="s">
        <v>3830</v>
      </c>
      <c r="K577" s="8"/>
      <c r="L577" s="8"/>
      <c r="M577" s="8"/>
      <c r="N577" s="8"/>
      <c r="O577" s="8"/>
      <c r="P577" s="8"/>
    </row>
    <row r="578" spans="1:16" ht="15" customHeight="1">
      <c r="A578" s="299"/>
      <c r="B578" s="304"/>
      <c r="C578" s="151">
        <v>11</v>
      </c>
      <c r="D578" s="171" t="s">
        <v>1988</v>
      </c>
      <c r="E578" s="170" t="s">
        <v>669</v>
      </c>
      <c r="F578" s="171" t="s">
        <v>3831</v>
      </c>
      <c r="K578" s="8"/>
      <c r="L578" s="8"/>
      <c r="M578" s="8"/>
      <c r="N578" s="8"/>
      <c r="O578" s="8"/>
      <c r="P578" s="8"/>
    </row>
    <row r="579" spans="1:16" ht="15" customHeight="1">
      <c r="A579" s="299"/>
      <c r="B579" s="304"/>
      <c r="C579" s="151">
        <v>12</v>
      </c>
      <c r="D579" s="171" t="s">
        <v>1987</v>
      </c>
      <c r="E579" s="170" t="s">
        <v>669</v>
      </c>
      <c r="F579" s="171" t="s">
        <v>3832</v>
      </c>
      <c r="K579" s="8"/>
      <c r="L579" s="8"/>
      <c r="M579" s="8"/>
      <c r="N579" s="8"/>
      <c r="O579" s="8"/>
      <c r="P579" s="8"/>
    </row>
    <row r="580" spans="1:16" ht="15" customHeight="1">
      <c r="A580" s="275"/>
      <c r="B580" s="279"/>
      <c r="C580" s="151">
        <v>13</v>
      </c>
      <c r="D580" s="171" t="s">
        <v>1993</v>
      </c>
      <c r="E580" s="170" t="s">
        <v>2874</v>
      </c>
      <c r="F580" s="171" t="s">
        <v>3085</v>
      </c>
      <c r="K580" s="8"/>
      <c r="L580" s="8"/>
      <c r="M580" s="8"/>
      <c r="N580" s="8"/>
      <c r="O580" s="8"/>
      <c r="P580" s="8"/>
    </row>
    <row r="581" spans="1:16" ht="15" customHeight="1">
      <c r="A581" s="272" t="s">
        <v>3851</v>
      </c>
      <c r="B581" s="276" t="s">
        <v>1985</v>
      </c>
      <c r="C581" s="153">
        <v>0</v>
      </c>
      <c r="D581" s="152" t="s">
        <v>3084</v>
      </c>
      <c r="E581" s="153" t="s">
        <v>669</v>
      </c>
      <c r="F581" s="152" t="s">
        <v>2920</v>
      </c>
      <c r="K581" s="8"/>
      <c r="L581" s="8"/>
      <c r="M581" s="8"/>
      <c r="N581" s="8"/>
      <c r="O581" s="8"/>
      <c r="P581" s="8"/>
    </row>
    <row r="582" spans="1:16" ht="15" customHeight="1">
      <c r="A582" s="292"/>
      <c r="B582" s="305"/>
      <c r="C582" s="153">
        <v>4</v>
      </c>
      <c r="D582" s="152" t="s">
        <v>1982</v>
      </c>
      <c r="E582" s="153" t="s">
        <v>1123</v>
      </c>
      <c r="F582" s="152" t="s">
        <v>3852</v>
      </c>
      <c r="K582" s="8"/>
      <c r="L582" s="8"/>
      <c r="M582" s="8"/>
      <c r="N582" s="8"/>
      <c r="O582" s="8"/>
      <c r="P582" s="8"/>
    </row>
    <row r="583" spans="1:16" ht="15" customHeight="1">
      <c r="A583" s="292"/>
      <c r="B583" s="305"/>
      <c r="C583" s="153">
        <v>5</v>
      </c>
      <c r="D583" s="152" t="s">
        <v>1981</v>
      </c>
      <c r="E583" s="153" t="s">
        <v>2874</v>
      </c>
      <c r="F583" s="152" t="s">
        <v>3834</v>
      </c>
      <c r="K583" s="8"/>
      <c r="L583" s="8"/>
      <c r="M583" s="8"/>
      <c r="N583" s="8"/>
      <c r="O583" s="8"/>
      <c r="P583" s="8"/>
    </row>
    <row r="584" spans="1:16" ht="15" customHeight="1">
      <c r="A584" s="292"/>
      <c r="B584" s="305"/>
      <c r="C584" s="153">
        <v>6</v>
      </c>
      <c r="D584" s="152" t="s">
        <v>3833</v>
      </c>
      <c r="E584" s="153" t="s">
        <v>1123</v>
      </c>
      <c r="F584" s="152" t="s">
        <v>3850</v>
      </c>
      <c r="K584" s="8"/>
      <c r="L584" s="8"/>
      <c r="M584" s="8"/>
      <c r="N584" s="8"/>
      <c r="O584" s="8"/>
      <c r="P584" s="8"/>
    </row>
    <row r="585" spans="1:16" ht="15" customHeight="1">
      <c r="A585" s="292"/>
      <c r="B585" s="305"/>
      <c r="C585" s="153">
        <v>9</v>
      </c>
      <c r="D585" s="152" t="s">
        <v>1979</v>
      </c>
      <c r="E585" s="153" t="s">
        <v>2874</v>
      </c>
      <c r="F585" s="152" t="s">
        <v>3835</v>
      </c>
      <c r="K585" s="8"/>
      <c r="L585" s="8"/>
      <c r="M585" s="8"/>
      <c r="N585" s="8"/>
      <c r="O585" s="8"/>
      <c r="P585" s="8"/>
    </row>
    <row r="586" spans="1:16" ht="15" customHeight="1">
      <c r="A586" s="292"/>
      <c r="B586" s="305"/>
      <c r="C586" s="153">
        <v>11</v>
      </c>
      <c r="D586" s="152" t="s">
        <v>1978</v>
      </c>
      <c r="E586" s="153" t="s">
        <v>669</v>
      </c>
      <c r="F586" s="152" t="s">
        <v>3836</v>
      </c>
      <c r="K586" s="8"/>
      <c r="L586" s="8"/>
      <c r="M586" s="8"/>
      <c r="N586" s="8"/>
      <c r="O586" s="8"/>
      <c r="P586" s="8"/>
    </row>
    <row r="587" spans="1:16" ht="15" customHeight="1">
      <c r="A587" s="292"/>
      <c r="B587" s="305"/>
      <c r="C587" s="153">
        <v>12</v>
      </c>
      <c r="D587" s="152" t="s">
        <v>1977</v>
      </c>
      <c r="E587" s="153" t="s">
        <v>669</v>
      </c>
      <c r="F587" s="152" t="s">
        <v>3837</v>
      </c>
      <c r="K587" s="8"/>
      <c r="L587" s="8"/>
      <c r="M587" s="8"/>
      <c r="N587" s="8"/>
      <c r="O587" s="8"/>
      <c r="P587" s="8"/>
    </row>
    <row r="588" spans="1:16" ht="15" customHeight="1">
      <c r="A588" s="273"/>
      <c r="B588" s="277"/>
      <c r="C588" s="153">
        <v>13</v>
      </c>
      <c r="D588" s="152" t="s">
        <v>1983</v>
      </c>
      <c r="E588" s="153" t="s">
        <v>2874</v>
      </c>
      <c r="F588" s="152" t="s">
        <v>3083</v>
      </c>
      <c r="K588" s="8"/>
      <c r="L588" s="8"/>
      <c r="M588" s="8"/>
      <c r="N588" s="8"/>
      <c r="O588" s="8"/>
      <c r="P588" s="8"/>
    </row>
    <row r="589" spans="1:16" ht="15" customHeight="1">
      <c r="A589" s="274" t="s">
        <v>3853</v>
      </c>
      <c r="B589" s="278" t="s">
        <v>1975</v>
      </c>
      <c r="C589" s="151">
        <v>0</v>
      </c>
      <c r="D589" s="171" t="s">
        <v>3082</v>
      </c>
      <c r="E589" s="170" t="s">
        <v>669</v>
      </c>
      <c r="F589" s="171" t="s">
        <v>2920</v>
      </c>
      <c r="K589" s="8"/>
      <c r="L589" s="8"/>
      <c r="M589" s="8"/>
      <c r="N589" s="8"/>
      <c r="O589" s="8"/>
      <c r="P589" s="8"/>
    </row>
    <row r="590" spans="1:16" ht="15" customHeight="1">
      <c r="A590" s="299"/>
      <c r="B590" s="304"/>
      <c r="C590" s="151">
        <v>9</v>
      </c>
      <c r="D590" s="171" t="s">
        <v>1973</v>
      </c>
      <c r="E590" s="170" t="s">
        <v>2874</v>
      </c>
      <c r="F590" s="171" t="s">
        <v>3854</v>
      </c>
      <c r="K590" s="8"/>
      <c r="L590" s="8"/>
      <c r="M590" s="8"/>
      <c r="N590" s="8"/>
      <c r="O590" s="8"/>
      <c r="P590" s="8"/>
    </row>
    <row r="591" spans="1:16" ht="15" customHeight="1">
      <c r="A591" s="275"/>
      <c r="B591" s="279"/>
      <c r="C591" s="151">
        <v>10</v>
      </c>
      <c r="D591" s="171" t="s">
        <v>1972</v>
      </c>
      <c r="E591" s="170" t="s">
        <v>1123</v>
      </c>
      <c r="F591" s="171" t="s">
        <v>3855</v>
      </c>
      <c r="K591" s="8"/>
      <c r="L591" s="8"/>
      <c r="M591" s="8"/>
      <c r="N591" s="8"/>
      <c r="O591" s="8"/>
      <c r="P591" s="8"/>
    </row>
    <row r="592" spans="1:16" ht="15" customHeight="1">
      <c r="A592" s="272" t="s">
        <v>1971</v>
      </c>
      <c r="B592" s="276" t="s">
        <v>1970</v>
      </c>
      <c r="C592" s="153">
        <v>0</v>
      </c>
      <c r="D592" s="152" t="s">
        <v>3081</v>
      </c>
      <c r="E592" s="153" t="s">
        <v>669</v>
      </c>
      <c r="F592" s="152" t="s">
        <v>2920</v>
      </c>
      <c r="K592" s="8"/>
      <c r="L592" s="8"/>
      <c r="M592" s="8"/>
      <c r="N592" s="8"/>
      <c r="O592" s="8"/>
      <c r="P592" s="8"/>
    </row>
    <row r="593" spans="1:16" ht="15" customHeight="1">
      <c r="A593" s="292"/>
      <c r="B593" s="305"/>
      <c r="C593" s="153">
        <v>9</v>
      </c>
      <c r="D593" s="152" t="s">
        <v>1968</v>
      </c>
      <c r="E593" s="153" t="s">
        <v>1123</v>
      </c>
      <c r="F593" s="152" t="s">
        <v>4862</v>
      </c>
      <c r="K593" s="8"/>
      <c r="L593" s="8"/>
      <c r="M593" s="8"/>
      <c r="N593" s="8"/>
      <c r="O593" s="8"/>
      <c r="P593" s="8"/>
    </row>
    <row r="594" spans="1:16" ht="15" customHeight="1">
      <c r="A594" s="273"/>
      <c r="B594" s="277"/>
      <c r="C594" s="153">
        <v>10</v>
      </c>
      <c r="D594" s="152" t="s">
        <v>1967</v>
      </c>
      <c r="E594" s="153" t="s">
        <v>669</v>
      </c>
      <c r="F594" s="152" t="s">
        <v>4849</v>
      </c>
      <c r="K594" s="8"/>
      <c r="L594" s="8"/>
      <c r="M594" s="8"/>
      <c r="N594" s="8"/>
      <c r="O594" s="8"/>
      <c r="P594" s="8"/>
    </row>
    <row r="595" spans="1:16" ht="15" customHeight="1">
      <c r="A595" s="194" t="s">
        <v>1966</v>
      </c>
      <c r="B595" s="209" t="s">
        <v>420</v>
      </c>
      <c r="C595" s="151" t="s">
        <v>2852</v>
      </c>
      <c r="D595" s="171" t="s">
        <v>420</v>
      </c>
      <c r="E595" s="170" t="s">
        <v>505</v>
      </c>
      <c r="F595" s="171" t="s">
        <v>3080</v>
      </c>
      <c r="K595" s="8"/>
      <c r="L595" s="8"/>
      <c r="M595" s="8"/>
      <c r="N595" s="8"/>
      <c r="O595" s="8"/>
      <c r="P595" s="8"/>
    </row>
    <row r="596" spans="1:16" ht="15" customHeight="1">
      <c r="A596" s="193" t="s">
        <v>1965</v>
      </c>
      <c r="B596" s="208" t="s">
        <v>375</v>
      </c>
      <c r="C596" s="153" t="s">
        <v>2852</v>
      </c>
      <c r="D596" s="152" t="s">
        <v>375</v>
      </c>
      <c r="E596" s="153" t="s">
        <v>505</v>
      </c>
      <c r="F596" s="152" t="s">
        <v>3079</v>
      </c>
      <c r="K596" s="8"/>
      <c r="L596" s="8"/>
      <c r="M596" s="8"/>
      <c r="N596" s="8"/>
      <c r="O596" s="8"/>
      <c r="P596" s="8"/>
    </row>
    <row r="597" spans="1:16" ht="15" customHeight="1">
      <c r="A597" s="194" t="s">
        <v>1964</v>
      </c>
      <c r="B597" s="221" t="s">
        <v>374</v>
      </c>
      <c r="C597" s="151" t="s">
        <v>2852</v>
      </c>
      <c r="D597" s="171" t="s">
        <v>374</v>
      </c>
      <c r="E597" s="170" t="s">
        <v>505</v>
      </c>
      <c r="F597" s="171" t="s">
        <v>3079</v>
      </c>
      <c r="K597" s="8"/>
      <c r="L597" s="8"/>
      <c r="M597" s="8"/>
      <c r="N597" s="8"/>
      <c r="O597" s="8"/>
      <c r="P597" s="8"/>
    </row>
    <row r="598" spans="1:16" ht="15" customHeight="1">
      <c r="A598" s="155" t="s">
        <v>1963</v>
      </c>
      <c r="B598" s="154"/>
      <c r="C598" s="159"/>
      <c r="D598" s="154"/>
      <c r="E598" s="155"/>
      <c r="F598" s="158"/>
      <c r="K598" s="8"/>
      <c r="L598" s="8"/>
      <c r="M598" s="8"/>
      <c r="N598" s="8"/>
      <c r="O598" s="8"/>
      <c r="P598" s="8"/>
    </row>
    <row r="599" spans="1:16" ht="15" customHeight="1">
      <c r="A599" s="274" t="s">
        <v>3842</v>
      </c>
      <c r="B599" s="278" t="s">
        <v>3839</v>
      </c>
      <c r="C599" s="151">
        <v>0</v>
      </c>
      <c r="D599" s="171" t="s">
        <v>3838</v>
      </c>
      <c r="E599" s="170" t="s">
        <v>669</v>
      </c>
      <c r="F599" s="171" t="s">
        <v>2923</v>
      </c>
      <c r="K599" s="8"/>
      <c r="L599" s="8"/>
      <c r="M599" s="8"/>
      <c r="N599" s="8"/>
      <c r="O599" s="8"/>
      <c r="P599" s="8"/>
    </row>
    <row r="600" spans="1:16" ht="15" customHeight="1">
      <c r="A600" s="299"/>
      <c r="B600" s="304"/>
      <c r="C600" s="151">
        <v>4</v>
      </c>
      <c r="D600" s="171" t="s">
        <v>1959</v>
      </c>
      <c r="E600" s="170" t="s">
        <v>669</v>
      </c>
      <c r="F600" s="171" t="s">
        <v>3843</v>
      </c>
      <c r="K600" s="8"/>
      <c r="L600" s="8"/>
      <c r="M600" s="8"/>
      <c r="N600" s="8"/>
      <c r="O600" s="8"/>
      <c r="P600" s="8"/>
    </row>
    <row r="601" spans="1:16" ht="15" customHeight="1">
      <c r="A601" s="299"/>
      <c r="B601" s="304"/>
      <c r="C601" s="151">
        <v>5</v>
      </c>
      <c r="D601" s="171" t="s">
        <v>3840</v>
      </c>
      <c r="E601" s="170" t="s">
        <v>669</v>
      </c>
      <c r="F601" s="171" t="s">
        <v>3845</v>
      </c>
      <c r="K601" s="8"/>
      <c r="L601" s="8"/>
      <c r="M601" s="8"/>
      <c r="N601" s="8"/>
      <c r="O601" s="8"/>
      <c r="P601" s="8"/>
    </row>
    <row r="602" spans="1:16" ht="15" customHeight="1">
      <c r="A602" s="299"/>
      <c r="B602" s="304"/>
      <c r="C602" s="174">
        <v>9</v>
      </c>
      <c r="D602" s="175" t="s">
        <v>3841</v>
      </c>
      <c r="E602" s="174" t="s">
        <v>1123</v>
      </c>
      <c r="F602" s="175" t="s">
        <v>3897</v>
      </c>
      <c r="K602" s="8"/>
      <c r="L602" s="8"/>
      <c r="M602" s="8"/>
      <c r="N602" s="8"/>
      <c r="O602" s="8"/>
      <c r="P602" s="8"/>
    </row>
    <row r="603" spans="1:16" ht="15" customHeight="1">
      <c r="A603" s="275"/>
      <c r="B603" s="279"/>
      <c r="C603" s="151">
        <v>12</v>
      </c>
      <c r="D603" s="171" t="s">
        <v>1956</v>
      </c>
      <c r="E603" s="170" t="s">
        <v>669</v>
      </c>
      <c r="F603" s="171" t="s">
        <v>3844</v>
      </c>
      <c r="K603" s="8"/>
      <c r="L603" s="8"/>
      <c r="M603" s="8"/>
      <c r="N603" s="8"/>
      <c r="O603" s="8"/>
      <c r="P603" s="8"/>
    </row>
    <row r="604" spans="1:16" ht="15" customHeight="1">
      <c r="A604" s="272" t="s">
        <v>3856</v>
      </c>
      <c r="B604" s="276" t="s">
        <v>3846</v>
      </c>
      <c r="C604" s="153">
        <v>0</v>
      </c>
      <c r="D604" s="152" t="s">
        <v>3848</v>
      </c>
      <c r="E604" s="153" t="s">
        <v>669</v>
      </c>
      <c r="F604" s="152" t="s">
        <v>2923</v>
      </c>
      <c r="K604" s="8"/>
      <c r="L604" s="8"/>
      <c r="M604" s="8"/>
      <c r="N604" s="8"/>
      <c r="O604" s="8"/>
      <c r="P604" s="8"/>
    </row>
    <row r="605" spans="1:16" ht="15" customHeight="1">
      <c r="A605" s="292"/>
      <c r="B605" s="305"/>
      <c r="C605" s="153">
        <v>4</v>
      </c>
      <c r="D605" s="152" t="s">
        <v>1952</v>
      </c>
      <c r="E605" s="153" t="s">
        <v>669</v>
      </c>
      <c r="F605" s="152" t="s">
        <v>3857</v>
      </c>
      <c r="K605" s="8"/>
      <c r="L605" s="8"/>
      <c r="M605" s="8"/>
      <c r="N605" s="8"/>
      <c r="O605" s="8"/>
      <c r="P605" s="8"/>
    </row>
    <row r="606" spans="1:16" ht="15" customHeight="1">
      <c r="A606" s="292"/>
      <c r="B606" s="305"/>
      <c r="C606" s="153">
        <v>5</v>
      </c>
      <c r="D606" s="152" t="s">
        <v>3847</v>
      </c>
      <c r="E606" s="153" t="s">
        <v>1123</v>
      </c>
      <c r="F606" s="152" t="s">
        <v>4709</v>
      </c>
      <c r="K606" s="8"/>
      <c r="L606" s="8"/>
      <c r="M606" s="8"/>
      <c r="N606" s="8"/>
      <c r="O606" s="8"/>
      <c r="P606" s="8"/>
    </row>
    <row r="607" spans="1:16" ht="15" customHeight="1">
      <c r="A607" s="292"/>
      <c r="B607" s="305"/>
      <c r="C607" s="153">
        <v>9</v>
      </c>
      <c r="D607" s="183" t="s">
        <v>1950</v>
      </c>
      <c r="E607" s="153" t="s">
        <v>2874</v>
      </c>
      <c r="F607" s="152" t="s">
        <v>3871</v>
      </c>
      <c r="K607" s="8"/>
      <c r="L607" s="8"/>
      <c r="M607" s="8"/>
      <c r="N607" s="8"/>
      <c r="O607" s="8"/>
      <c r="P607" s="8"/>
    </row>
    <row r="608" spans="1:16" ht="15" customHeight="1">
      <c r="A608" s="292"/>
      <c r="B608" s="305"/>
      <c r="C608" s="153">
        <v>10</v>
      </c>
      <c r="D608" s="152" t="s">
        <v>1949</v>
      </c>
      <c r="E608" s="153" t="s">
        <v>2874</v>
      </c>
      <c r="F608" s="152" t="s">
        <v>3858</v>
      </c>
      <c r="K608" s="8"/>
      <c r="L608" s="8"/>
      <c r="M608" s="8"/>
      <c r="N608" s="8"/>
      <c r="O608" s="8"/>
      <c r="P608" s="8"/>
    </row>
    <row r="609" spans="1:16" ht="15" customHeight="1">
      <c r="A609" s="292"/>
      <c r="B609" s="305"/>
      <c r="C609" s="153">
        <v>11</v>
      </c>
      <c r="D609" s="152" t="s">
        <v>1948</v>
      </c>
      <c r="E609" s="153" t="s">
        <v>669</v>
      </c>
      <c r="F609" s="152" t="s">
        <v>3860</v>
      </c>
      <c r="K609" s="8"/>
      <c r="L609" s="8"/>
      <c r="M609" s="8"/>
      <c r="N609" s="8"/>
      <c r="O609" s="8"/>
      <c r="P609" s="8"/>
    </row>
    <row r="610" spans="1:16" ht="15" customHeight="1">
      <c r="A610" s="292"/>
      <c r="B610" s="305"/>
      <c r="C610" s="153">
        <v>12</v>
      </c>
      <c r="D610" s="152" t="s">
        <v>1947</v>
      </c>
      <c r="E610" s="153" t="s">
        <v>669</v>
      </c>
      <c r="F610" s="152" t="s">
        <v>3859</v>
      </c>
      <c r="K610" s="8"/>
      <c r="L610" s="8"/>
      <c r="M610" s="8"/>
      <c r="N610" s="8"/>
      <c r="O610" s="8"/>
      <c r="P610" s="8"/>
    </row>
    <row r="611" spans="1:16" ht="15" customHeight="1">
      <c r="A611" s="273"/>
      <c r="B611" s="277"/>
      <c r="C611" s="153">
        <v>13</v>
      </c>
      <c r="D611" s="183" t="s">
        <v>1946</v>
      </c>
      <c r="E611" s="153" t="s">
        <v>2874</v>
      </c>
      <c r="F611" s="152" t="s">
        <v>3862</v>
      </c>
      <c r="K611" s="8"/>
      <c r="L611" s="8"/>
      <c r="M611" s="8"/>
      <c r="N611" s="8"/>
      <c r="O611" s="8"/>
      <c r="P611" s="8"/>
    </row>
    <row r="612" spans="1:16" ht="15" customHeight="1">
      <c r="A612" s="274" t="s">
        <v>3867</v>
      </c>
      <c r="B612" s="278" t="s">
        <v>3865</v>
      </c>
      <c r="C612" s="151">
        <v>0</v>
      </c>
      <c r="D612" s="171" t="s">
        <v>3866</v>
      </c>
      <c r="E612" s="170" t="s">
        <v>669</v>
      </c>
      <c r="F612" s="171" t="s">
        <v>2923</v>
      </c>
      <c r="K612" s="8"/>
      <c r="L612" s="8"/>
      <c r="M612" s="8"/>
      <c r="N612" s="8"/>
      <c r="O612" s="8"/>
      <c r="P612" s="8"/>
    </row>
    <row r="613" spans="1:16" ht="15" customHeight="1">
      <c r="A613" s="299"/>
      <c r="B613" s="304"/>
      <c r="C613" s="174">
        <v>2</v>
      </c>
      <c r="D613" s="175" t="s">
        <v>3875</v>
      </c>
      <c r="E613" s="174" t="s">
        <v>1123</v>
      </c>
      <c r="F613" s="175" t="s">
        <v>4763</v>
      </c>
      <c r="K613" s="8"/>
      <c r="L613" s="8"/>
      <c r="M613" s="8"/>
      <c r="N613" s="8"/>
      <c r="O613" s="8"/>
      <c r="P613" s="8"/>
    </row>
    <row r="614" spans="1:16" ht="15" customHeight="1">
      <c r="A614" s="299"/>
      <c r="B614" s="304"/>
      <c r="C614" s="151">
        <v>5</v>
      </c>
      <c r="D614" s="171" t="s">
        <v>3863</v>
      </c>
      <c r="E614" s="170" t="s">
        <v>669</v>
      </c>
      <c r="F614" s="171" t="s">
        <v>4005</v>
      </c>
      <c r="K614" s="8"/>
      <c r="L614" s="8"/>
      <c r="M614" s="8"/>
      <c r="N614" s="8"/>
      <c r="O614" s="8"/>
      <c r="P614" s="8"/>
    </row>
    <row r="615" spans="1:16" ht="15" customHeight="1">
      <c r="A615" s="299"/>
      <c r="B615" s="304"/>
      <c r="C615" s="151">
        <v>6</v>
      </c>
      <c r="D615" s="171" t="s">
        <v>3864</v>
      </c>
      <c r="E615" s="170" t="s">
        <v>2874</v>
      </c>
      <c r="F615" s="175" t="s">
        <v>3874</v>
      </c>
      <c r="K615" s="8"/>
      <c r="L615" s="8"/>
      <c r="M615" s="8"/>
      <c r="N615" s="8"/>
      <c r="O615" s="8"/>
      <c r="P615" s="8"/>
    </row>
    <row r="616" spans="1:16" ht="15" customHeight="1">
      <c r="A616" s="299"/>
      <c r="B616" s="304"/>
      <c r="C616" s="151">
        <v>9</v>
      </c>
      <c r="D616" s="175" t="s">
        <v>1938</v>
      </c>
      <c r="E616" s="170" t="s">
        <v>2874</v>
      </c>
      <c r="F616" s="171" t="s">
        <v>3909</v>
      </c>
      <c r="K616" s="8"/>
      <c r="L616" s="8"/>
      <c r="M616" s="8"/>
      <c r="N616" s="8"/>
      <c r="O616" s="8"/>
      <c r="P616" s="8"/>
    </row>
    <row r="617" spans="1:16" ht="15" customHeight="1">
      <c r="A617" s="299"/>
      <c r="B617" s="304"/>
      <c r="C617" s="151">
        <v>10</v>
      </c>
      <c r="D617" s="171" t="s">
        <v>1937</v>
      </c>
      <c r="E617" s="170" t="s">
        <v>669</v>
      </c>
      <c r="F617" s="171" t="s">
        <v>3868</v>
      </c>
      <c r="K617" s="8"/>
      <c r="L617" s="8"/>
      <c r="M617" s="8"/>
      <c r="N617" s="8"/>
      <c r="O617" s="8"/>
      <c r="P617" s="8"/>
    </row>
    <row r="618" spans="1:16" ht="15" customHeight="1">
      <c r="A618" s="299"/>
      <c r="B618" s="304"/>
      <c r="C618" s="151">
        <v>11</v>
      </c>
      <c r="D618" s="171" t="s">
        <v>1936</v>
      </c>
      <c r="E618" s="170" t="s">
        <v>669</v>
      </c>
      <c r="F618" s="175" t="s">
        <v>3869</v>
      </c>
      <c r="K618" s="8"/>
      <c r="L618" s="8"/>
      <c r="M618" s="8"/>
      <c r="N618" s="8"/>
      <c r="O618" s="8"/>
      <c r="P618" s="8"/>
    </row>
    <row r="619" spans="1:16" ht="15" customHeight="1">
      <c r="A619" s="275"/>
      <c r="B619" s="279"/>
      <c r="C619" s="151">
        <v>12</v>
      </c>
      <c r="D619" s="175" t="s">
        <v>1942</v>
      </c>
      <c r="E619" s="170" t="s">
        <v>2874</v>
      </c>
      <c r="F619" s="171" t="s">
        <v>3870</v>
      </c>
      <c r="K619" s="8"/>
      <c r="L619" s="8"/>
      <c r="M619" s="8"/>
      <c r="N619" s="8"/>
      <c r="O619" s="8"/>
      <c r="P619" s="8"/>
    </row>
    <row r="620" spans="1:16" ht="15" customHeight="1">
      <c r="A620" s="272" t="s">
        <v>3880</v>
      </c>
      <c r="B620" s="272" t="s">
        <v>3877</v>
      </c>
      <c r="C620" s="153">
        <v>0</v>
      </c>
      <c r="D620" s="183" t="s">
        <v>3058</v>
      </c>
      <c r="E620" s="153" t="s">
        <v>669</v>
      </c>
      <c r="F620" s="152" t="s">
        <v>2923</v>
      </c>
      <c r="K620" s="8"/>
      <c r="L620" s="8"/>
      <c r="M620" s="8"/>
      <c r="N620" s="8"/>
      <c r="O620" s="8"/>
      <c r="P620" s="8"/>
    </row>
    <row r="621" spans="1:16" ht="15" customHeight="1">
      <c r="A621" s="292"/>
      <c r="B621" s="292"/>
      <c r="C621" s="182">
        <v>2</v>
      </c>
      <c r="D621" s="183" t="s">
        <v>3876</v>
      </c>
      <c r="E621" s="182" t="s">
        <v>1123</v>
      </c>
      <c r="F621" s="183" t="s">
        <v>4764</v>
      </c>
      <c r="K621" s="8"/>
      <c r="L621" s="8"/>
      <c r="M621" s="8"/>
      <c r="N621" s="8"/>
      <c r="O621" s="8"/>
      <c r="P621" s="8"/>
    </row>
    <row r="622" spans="1:16" ht="15" customHeight="1">
      <c r="A622" s="292"/>
      <c r="B622" s="292"/>
      <c r="C622" s="153">
        <v>4</v>
      </c>
      <c r="D622" s="152" t="s">
        <v>1930</v>
      </c>
      <c r="E622" s="153" t="s">
        <v>669</v>
      </c>
      <c r="F622" s="152" t="s">
        <v>3899</v>
      </c>
      <c r="K622" s="8"/>
      <c r="L622" s="8"/>
      <c r="M622" s="8"/>
      <c r="N622" s="8"/>
      <c r="O622" s="8"/>
      <c r="P622" s="8"/>
    </row>
    <row r="623" spans="1:16" ht="15" customHeight="1">
      <c r="A623" s="292"/>
      <c r="B623" s="292"/>
      <c r="C623" s="153">
        <v>5</v>
      </c>
      <c r="D623" s="183" t="s">
        <v>3878</v>
      </c>
      <c r="E623" s="153" t="s">
        <v>1123</v>
      </c>
      <c r="F623" s="152" t="s">
        <v>4710</v>
      </c>
      <c r="K623" s="8"/>
      <c r="L623" s="8"/>
      <c r="M623" s="8"/>
      <c r="N623" s="8"/>
      <c r="O623" s="8"/>
      <c r="P623" s="8"/>
    </row>
    <row r="624" spans="1:16" ht="15" customHeight="1">
      <c r="A624" s="292"/>
      <c r="B624" s="292"/>
      <c r="C624" s="182">
        <v>9</v>
      </c>
      <c r="D624" s="183" t="s">
        <v>3879</v>
      </c>
      <c r="E624" s="182" t="s">
        <v>1123</v>
      </c>
      <c r="F624" s="183" t="s">
        <v>3898</v>
      </c>
      <c r="K624" s="8"/>
      <c r="L624" s="8"/>
      <c r="M624" s="8"/>
      <c r="N624" s="8"/>
      <c r="O624" s="8"/>
      <c r="P624" s="8"/>
    </row>
    <row r="625" spans="1:16" ht="15" customHeight="1">
      <c r="A625" s="292"/>
      <c r="B625" s="292"/>
      <c r="C625" s="153">
        <v>10</v>
      </c>
      <c r="D625" s="152" t="s">
        <v>1927</v>
      </c>
      <c r="E625" s="153" t="s">
        <v>2874</v>
      </c>
      <c r="F625" s="152" t="s">
        <v>3881</v>
      </c>
      <c r="K625" s="8"/>
      <c r="L625" s="8"/>
      <c r="M625" s="8"/>
      <c r="N625" s="8"/>
      <c r="O625" s="8"/>
      <c r="P625" s="8"/>
    </row>
    <row r="626" spans="1:16" ht="15" customHeight="1">
      <c r="A626" s="292"/>
      <c r="B626" s="292"/>
      <c r="C626" s="153">
        <v>11</v>
      </c>
      <c r="D626" s="152" t="s">
        <v>1926</v>
      </c>
      <c r="E626" s="153" t="s">
        <v>669</v>
      </c>
      <c r="F626" s="152" t="s">
        <v>3882</v>
      </c>
      <c r="K626" s="8"/>
      <c r="L626" s="8"/>
      <c r="M626" s="8"/>
      <c r="N626" s="8"/>
      <c r="O626" s="8"/>
      <c r="P626" s="8"/>
    </row>
    <row r="627" spans="1:16" ht="15" customHeight="1">
      <c r="A627" s="292"/>
      <c r="B627" s="292"/>
      <c r="C627" s="153">
        <v>12</v>
      </c>
      <c r="D627" s="183" t="s">
        <v>1932</v>
      </c>
      <c r="E627" s="153" t="s">
        <v>1123</v>
      </c>
      <c r="F627" s="152" t="s">
        <v>3883</v>
      </c>
      <c r="K627" s="8"/>
      <c r="L627" s="8"/>
      <c r="M627" s="8"/>
      <c r="N627" s="8"/>
      <c r="O627" s="8"/>
      <c r="P627" s="8"/>
    </row>
    <row r="628" spans="1:16" ht="15" customHeight="1">
      <c r="A628" s="292"/>
      <c r="B628" s="292"/>
      <c r="C628" s="153">
        <v>13</v>
      </c>
      <c r="D628" s="183" t="s">
        <v>1924</v>
      </c>
      <c r="E628" s="153" t="s">
        <v>1123</v>
      </c>
      <c r="F628" s="224" t="s">
        <v>3884</v>
      </c>
      <c r="K628" s="8"/>
      <c r="L628" s="8"/>
      <c r="M628" s="8"/>
      <c r="N628" s="8"/>
      <c r="O628" s="8"/>
      <c r="P628" s="8"/>
    </row>
    <row r="629" spans="1:16" ht="15" customHeight="1">
      <c r="A629" s="273"/>
      <c r="B629" s="273"/>
      <c r="C629" s="220">
        <v>14</v>
      </c>
      <c r="D629" s="214" t="s">
        <v>4950</v>
      </c>
      <c r="E629" s="220" t="s">
        <v>669</v>
      </c>
      <c r="F629" s="224" t="s">
        <v>4954</v>
      </c>
      <c r="K629" s="8"/>
      <c r="L629" s="8"/>
      <c r="M629" s="8"/>
      <c r="N629" s="8"/>
      <c r="O629" s="8"/>
      <c r="P629" s="8"/>
    </row>
    <row r="630" spans="1:16" ht="15" customHeight="1">
      <c r="A630" s="274" t="s">
        <v>3895</v>
      </c>
      <c r="B630" s="278" t="s">
        <v>3887</v>
      </c>
      <c r="C630" s="151">
        <v>0</v>
      </c>
      <c r="D630" s="175" t="s">
        <v>3057</v>
      </c>
      <c r="E630" s="170" t="s">
        <v>669</v>
      </c>
      <c r="F630" s="171" t="s">
        <v>2923</v>
      </c>
      <c r="K630" s="8"/>
      <c r="L630" s="8"/>
      <c r="M630" s="8"/>
      <c r="N630" s="8"/>
      <c r="O630" s="8"/>
      <c r="P630" s="8"/>
    </row>
    <row r="631" spans="1:16" ht="15" customHeight="1">
      <c r="A631" s="299"/>
      <c r="B631" s="304"/>
      <c r="C631" s="174">
        <v>2</v>
      </c>
      <c r="D631" s="175" t="s">
        <v>3886</v>
      </c>
      <c r="E631" s="174" t="s">
        <v>1123</v>
      </c>
      <c r="F631" s="175" t="s">
        <v>4765</v>
      </c>
      <c r="K631" s="8"/>
      <c r="L631" s="8"/>
      <c r="M631" s="8"/>
      <c r="N631" s="8"/>
      <c r="O631" s="8"/>
      <c r="P631" s="8"/>
    </row>
    <row r="632" spans="1:16" ht="15" customHeight="1">
      <c r="A632" s="299"/>
      <c r="B632" s="304"/>
      <c r="C632" s="151">
        <v>4</v>
      </c>
      <c r="D632" s="175" t="s">
        <v>3891</v>
      </c>
      <c r="E632" s="170" t="s">
        <v>2874</v>
      </c>
      <c r="F632" s="171" t="s">
        <v>3896</v>
      </c>
      <c r="K632" s="8"/>
      <c r="L632" s="8"/>
      <c r="M632" s="8"/>
      <c r="N632" s="8"/>
      <c r="O632" s="8"/>
      <c r="P632" s="8"/>
    </row>
    <row r="633" spans="1:16" ht="15" customHeight="1">
      <c r="A633" s="299"/>
      <c r="B633" s="304"/>
      <c r="C633" s="174">
        <v>5</v>
      </c>
      <c r="D633" s="175" t="s">
        <v>3892</v>
      </c>
      <c r="E633" s="174" t="s">
        <v>669</v>
      </c>
      <c r="F633" s="175" t="s">
        <v>3893</v>
      </c>
      <c r="K633" s="8"/>
      <c r="L633" s="8"/>
      <c r="M633" s="8"/>
      <c r="N633" s="8"/>
      <c r="O633" s="8"/>
      <c r="P633" s="8"/>
    </row>
    <row r="634" spans="1:16" ht="15" customHeight="1">
      <c r="A634" s="299"/>
      <c r="B634" s="304"/>
      <c r="C634" s="151">
        <v>6</v>
      </c>
      <c r="D634" s="175" t="s">
        <v>3873</v>
      </c>
      <c r="E634" s="170" t="s">
        <v>2874</v>
      </c>
      <c r="F634" s="171" t="s">
        <v>3894</v>
      </c>
      <c r="K634" s="8"/>
      <c r="L634" s="8"/>
      <c r="M634" s="8"/>
      <c r="N634" s="8"/>
      <c r="O634" s="8"/>
      <c r="P634" s="8"/>
    </row>
    <row r="635" spans="1:16" ht="15" customHeight="1">
      <c r="A635" s="299"/>
      <c r="B635" s="304"/>
      <c r="C635" s="151">
        <v>9</v>
      </c>
      <c r="D635" s="171" t="s">
        <v>4383</v>
      </c>
      <c r="E635" s="170" t="s">
        <v>1123</v>
      </c>
      <c r="F635" s="171" t="s">
        <v>3888</v>
      </c>
      <c r="K635" s="8"/>
      <c r="L635" s="8"/>
      <c r="M635" s="8"/>
      <c r="N635" s="8"/>
      <c r="O635" s="8"/>
      <c r="P635" s="8"/>
    </row>
    <row r="636" spans="1:16" ht="15" customHeight="1">
      <c r="A636" s="299"/>
      <c r="B636" s="304"/>
      <c r="C636" s="151">
        <v>10</v>
      </c>
      <c r="D636" s="171" t="s">
        <v>1915</v>
      </c>
      <c r="E636" s="170" t="s">
        <v>669</v>
      </c>
      <c r="F636" s="171" t="s">
        <v>3889</v>
      </c>
      <c r="K636" s="8"/>
      <c r="L636" s="8"/>
      <c r="M636" s="8"/>
      <c r="N636" s="8"/>
      <c r="O636" s="8"/>
      <c r="P636" s="8"/>
    </row>
    <row r="637" spans="1:16" ht="15" customHeight="1">
      <c r="A637" s="275"/>
      <c r="B637" s="279"/>
      <c r="C637" s="151">
        <v>11</v>
      </c>
      <c r="D637" s="171" t="s">
        <v>1914</v>
      </c>
      <c r="E637" s="170" t="s">
        <v>669</v>
      </c>
      <c r="F637" s="171" t="s">
        <v>3890</v>
      </c>
      <c r="K637" s="8"/>
      <c r="L637" s="8"/>
      <c r="M637" s="8"/>
      <c r="N637" s="8"/>
      <c r="O637" s="8"/>
      <c r="P637" s="8"/>
    </row>
    <row r="638" spans="1:16" ht="15" customHeight="1">
      <c r="A638" s="272" t="s">
        <v>3905</v>
      </c>
      <c r="B638" s="276" t="s">
        <v>3903</v>
      </c>
      <c r="C638" s="153">
        <v>0</v>
      </c>
      <c r="D638" s="152" t="s">
        <v>3900</v>
      </c>
      <c r="E638" s="153" t="s">
        <v>669</v>
      </c>
      <c r="F638" s="152" t="s">
        <v>2923</v>
      </c>
      <c r="K638" s="8"/>
      <c r="L638" s="8"/>
      <c r="M638" s="8"/>
      <c r="N638" s="8"/>
      <c r="O638" s="8"/>
      <c r="P638" s="8"/>
    </row>
    <row r="639" spans="1:16" ht="28.5" customHeight="1">
      <c r="A639" s="292"/>
      <c r="B639" s="305"/>
      <c r="C639" s="182">
        <v>1</v>
      </c>
      <c r="D639" s="183" t="s">
        <v>3901</v>
      </c>
      <c r="E639" s="182" t="s">
        <v>1123</v>
      </c>
      <c r="F639" s="211" t="s">
        <v>5002</v>
      </c>
      <c r="K639" s="8"/>
      <c r="L639" s="8"/>
      <c r="M639" s="8"/>
      <c r="N639" s="8"/>
      <c r="O639" s="8"/>
      <c r="P639" s="8"/>
    </row>
    <row r="640" spans="1:16" ht="15" customHeight="1">
      <c r="A640" s="292"/>
      <c r="B640" s="305"/>
      <c r="C640" s="182">
        <v>2</v>
      </c>
      <c r="D640" s="183" t="s">
        <v>3885</v>
      </c>
      <c r="E640" s="182" t="s">
        <v>1123</v>
      </c>
      <c r="F640" s="183" t="s">
        <v>4766</v>
      </c>
      <c r="K640" s="8"/>
      <c r="L640" s="8"/>
      <c r="M640" s="8"/>
      <c r="N640" s="8"/>
      <c r="O640" s="8"/>
      <c r="P640" s="8"/>
    </row>
    <row r="641" spans="1:16" ht="15" customHeight="1">
      <c r="A641" s="292"/>
      <c r="B641" s="305"/>
      <c r="C641" s="153">
        <v>4</v>
      </c>
      <c r="D641" s="152" t="s">
        <v>1908</v>
      </c>
      <c r="E641" s="153" t="s">
        <v>2874</v>
      </c>
      <c r="F641" s="152" t="s">
        <v>3906</v>
      </c>
      <c r="K641" s="8"/>
      <c r="L641" s="8"/>
      <c r="M641" s="8"/>
      <c r="N641" s="8"/>
      <c r="O641" s="8"/>
      <c r="P641" s="8"/>
    </row>
    <row r="642" spans="1:16" ht="15" customHeight="1">
      <c r="A642" s="292"/>
      <c r="B642" s="305"/>
      <c r="C642" s="153">
        <v>5</v>
      </c>
      <c r="D642" s="152" t="s">
        <v>3902</v>
      </c>
      <c r="E642" s="153" t="s">
        <v>1123</v>
      </c>
      <c r="F642" s="152" t="s">
        <v>4711</v>
      </c>
      <c r="K642" s="8"/>
      <c r="L642" s="8"/>
      <c r="M642" s="8"/>
      <c r="N642" s="8"/>
      <c r="O642" s="8"/>
      <c r="P642" s="8"/>
    </row>
    <row r="643" spans="1:16" ht="15" customHeight="1">
      <c r="A643" s="292"/>
      <c r="B643" s="305"/>
      <c r="C643" s="182">
        <v>9</v>
      </c>
      <c r="D643" s="183" t="s">
        <v>3904</v>
      </c>
      <c r="E643" s="182" t="s">
        <v>2874</v>
      </c>
      <c r="F643" s="183" t="s">
        <v>3919</v>
      </c>
      <c r="K643" s="8"/>
      <c r="L643" s="8"/>
      <c r="M643" s="8"/>
      <c r="N643" s="8"/>
      <c r="O643" s="8"/>
      <c r="P643" s="8"/>
    </row>
    <row r="644" spans="1:16" ht="15" customHeight="1">
      <c r="A644" s="292"/>
      <c r="B644" s="305"/>
      <c r="C644" s="153">
        <v>10</v>
      </c>
      <c r="D644" s="152" t="s">
        <v>1905</v>
      </c>
      <c r="E644" s="153" t="s">
        <v>669</v>
      </c>
      <c r="F644" s="152" t="s">
        <v>3907</v>
      </c>
      <c r="K644" s="8"/>
      <c r="L644" s="8"/>
      <c r="M644" s="8"/>
      <c r="N644" s="8"/>
      <c r="O644" s="8"/>
      <c r="P644" s="8"/>
    </row>
    <row r="645" spans="1:16" ht="15" customHeight="1">
      <c r="A645" s="273"/>
      <c r="B645" s="277"/>
      <c r="C645" s="153">
        <v>12</v>
      </c>
      <c r="D645" s="152" t="s">
        <v>1904</v>
      </c>
      <c r="E645" s="153" t="s">
        <v>669</v>
      </c>
      <c r="F645" s="152" t="s">
        <v>3908</v>
      </c>
      <c r="K645" s="8"/>
      <c r="L645" s="8"/>
      <c r="M645" s="8"/>
      <c r="N645" s="8"/>
      <c r="O645" s="8"/>
      <c r="P645" s="8"/>
    </row>
    <row r="646" spans="1:16" ht="15" customHeight="1">
      <c r="A646" s="274" t="s">
        <v>3914</v>
      </c>
      <c r="B646" s="278" t="s">
        <v>3913</v>
      </c>
      <c r="C646" s="151">
        <v>0</v>
      </c>
      <c r="D646" s="171" t="s">
        <v>3910</v>
      </c>
      <c r="E646" s="170" t="s">
        <v>669</v>
      </c>
      <c r="F646" s="171" t="s">
        <v>2923</v>
      </c>
      <c r="K646" s="8"/>
      <c r="L646" s="8"/>
      <c r="M646" s="8"/>
      <c r="N646" s="8"/>
      <c r="O646" s="8"/>
      <c r="P646" s="8"/>
    </row>
    <row r="647" spans="1:16" ht="15" customHeight="1">
      <c r="A647" s="299"/>
      <c r="B647" s="304"/>
      <c r="C647" s="174">
        <v>1</v>
      </c>
      <c r="D647" s="175" t="s">
        <v>3911</v>
      </c>
      <c r="E647" s="174" t="s">
        <v>2874</v>
      </c>
      <c r="F647" s="213" t="s">
        <v>4927</v>
      </c>
      <c r="K647" s="8"/>
      <c r="L647" s="8"/>
      <c r="M647" s="8"/>
      <c r="N647" s="8"/>
      <c r="O647" s="8"/>
      <c r="P647" s="8"/>
    </row>
    <row r="648" spans="1:16" ht="15" customHeight="1">
      <c r="A648" s="299"/>
      <c r="B648" s="304"/>
      <c r="C648" s="174">
        <v>2</v>
      </c>
      <c r="D648" s="175" t="s">
        <v>3912</v>
      </c>
      <c r="E648" s="174" t="s">
        <v>1123</v>
      </c>
      <c r="F648" s="175" t="s">
        <v>4767</v>
      </c>
      <c r="K648" s="8"/>
      <c r="L648" s="8"/>
      <c r="M648" s="8"/>
      <c r="N648" s="8"/>
      <c r="O648" s="8"/>
      <c r="P648" s="8"/>
    </row>
    <row r="649" spans="1:16" ht="15" customHeight="1">
      <c r="A649" s="299"/>
      <c r="B649" s="304"/>
      <c r="C649" s="151">
        <v>4</v>
      </c>
      <c r="D649" s="171" t="s">
        <v>1898</v>
      </c>
      <c r="E649" s="170" t="s">
        <v>2874</v>
      </c>
      <c r="F649" s="171" t="s">
        <v>3915</v>
      </c>
      <c r="K649" s="8"/>
      <c r="L649" s="8"/>
      <c r="M649" s="8"/>
      <c r="N649" s="8"/>
      <c r="O649" s="8"/>
      <c r="P649" s="8"/>
    </row>
    <row r="650" spans="1:16" ht="15" customHeight="1">
      <c r="A650" s="299"/>
      <c r="B650" s="304"/>
      <c r="C650" s="151">
        <v>5</v>
      </c>
      <c r="D650" s="171" t="s">
        <v>1897</v>
      </c>
      <c r="E650" s="170" t="s">
        <v>1123</v>
      </c>
      <c r="F650" s="171" t="s">
        <v>3916</v>
      </c>
      <c r="K650" s="8"/>
      <c r="L650" s="8"/>
      <c r="M650" s="8"/>
      <c r="N650" s="8"/>
      <c r="O650" s="8"/>
      <c r="P650" s="8"/>
    </row>
    <row r="651" spans="1:16" ht="15" customHeight="1">
      <c r="A651" s="299"/>
      <c r="B651" s="304"/>
      <c r="C651" s="151">
        <v>6</v>
      </c>
      <c r="D651" s="175" t="s">
        <v>1896</v>
      </c>
      <c r="E651" s="170" t="s">
        <v>1123</v>
      </c>
      <c r="F651" s="171" t="s">
        <v>4746</v>
      </c>
      <c r="K651" s="8"/>
      <c r="L651" s="8"/>
      <c r="M651" s="8"/>
      <c r="N651" s="8"/>
      <c r="O651" s="8"/>
      <c r="P651" s="8"/>
    </row>
    <row r="652" spans="1:16" ht="15" customHeight="1">
      <c r="A652" s="299"/>
      <c r="B652" s="304"/>
      <c r="C652" s="151">
        <v>9</v>
      </c>
      <c r="D652" s="175" t="s">
        <v>1895</v>
      </c>
      <c r="E652" s="170" t="s">
        <v>2874</v>
      </c>
      <c r="F652" s="171" t="s">
        <v>3920</v>
      </c>
      <c r="K652" s="8"/>
      <c r="L652" s="8"/>
      <c r="M652" s="8"/>
      <c r="N652" s="8"/>
      <c r="O652" s="8"/>
      <c r="P652" s="8"/>
    </row>
    <row r="653" spans="1:16" ht="15" customHeight="1">
      <c r="A653" s="299"/>
      <c r="B653" s="304"/>
      <c r="C653" s="151">
        <v>10</v>
      </c>
      <c r="D653" s="171" t="s">
        <v>1894</v>
      </c>
      <c r="E653" s="170" t="s">
        <v>669</v>
      </c>
      <c r="F653" s="171" t="s">
        <v>3917</v>
      </c>
      <c r="K653" s="8"/>
      <c r="L653" s="8"/>
      <c r="M653" s="8"/>
      <c r="N653" s="8"/>
      <c r="O653" s="8"/>
      <c r="P653" s="8"/>
    </row>
    <row r="654" spans="1:16" ht="15" customHeight="1">
      <c r="A654" s="275"/>
      <c r="B654" s="279"/>
      <c r="C654" s="151">
        <v>12</v>
      </c>
      <c r="D654" s="171" t="s">
        <v>1893</v>
      </c>
      <c r="E654" s="170" t="s">
        <v>2874</v>
      </c>
      <c r="F654" s="171" t="s">
        <v>3918</v>
      </c>
      <c r="K654" s="8"/>
      <c r="L654" s="8"/>
      <c r="M654" s="8"/>
      <c r="N654" s="8"/>
      <c r="O654" s="8"/>
      <c r="P654" s="8"/>
    </row>
    <row r="655" spans="1:16" ht="15" customHeight="1">
      <c r="A655" s="272" t="s">
        <v>3925</v>
      </c>
      <c r="B655" s="276" t="s">
        <v>3922</v>
      </c>
      <c r="C655" s="153">
        <v>0</v>
      </c>
      <c r="D655" s="183" t="s">
        <v>3056</v>
      </c>
      <c r="E655" s="153" t="s">
        <v>669</v>
      </c>
      <c r="F655" s="152" t="s">
        <v>2923</v>
      </c>
      <c r="K655" s="8"/>
      <c r="L655" s="8"/>
      <c r="M655" s="8"/>
      <c r="N655" s="8"/>
      <c r="O655" s="8"/>
      <c r="P655" s="8"/>
    </row>
    <row r="656" spans="1:16" ht="15" customHeight="1">
      <c r="A656" s="292"/>
      <c r="B656" s="305"/>
      <c r="C656" s="182">
        <v>1</v>
      </c>
      <c r="D656" s="183" t="s">
        <v>3921</v>
      </c>
      <c r="E656" s="182" t="s">
        <v>1123</v>
      </c>
      <c r="F656" s="183" t="s">
        <v>4928</v>
      </c>
      <c r="K656" s="8"/>
      <c r="L656" s="8"/>
      <c r="M656" s="8"/>
      <c r="N656" s="8"/>
      <c r="O656" s="8"/>
      <c r="P656" s="8"/>
    </row>
    <row r="657" spans="1:16" ht="15" customHeight="1">
      <c r="A657" s="292"/>
      <c r="B657" s="305"/>
      <c r="C657" s="182">
        <v>2</v>
      </c>
      <c r="D657" s="183" t="s">
        <v>3923</v>
      </c>
      <c r="E657" s="182" t="s">
        <v>1123</v>
      </c>
      <c r="F657" s="183" t="s">
        <v>4768</v>
      </c>
      <c r="K657" s="8"/>
      <c r="L657" s="8"/>
      <c r="M657" s="8"/>
      <c r="N657" s="8"/>
      <c r="O657" s="8"/>
      <c r="P657" s="8"/>
    </row>
    <row r="658" spans="1:16" ht="15" customHeight="1">
      <c r="A658" s="292"/>
      <c r="B658" s="305"/>
      <c r="C658" s="153">
        <v>4</v>
      </c>
      <c r="D658" s="152" t="s">
        <v>1887</v>
      </c>
      <c r="E658" s="153" t="s">
        <v>2874</v>
      </c>
      <c r="F658" s="152" t="s">
        <v>3926</v>
      </c>
      <c r="K658" s="8"/>
      <c r="L658" s="8"/>
      <c r="M658" s="8"/>
      <c r="N658" s="8"/>
      <c r="O658" s="8"/>
      <c r="P658" s="8"/>
    </row>
    <row r="659" spans="1:16" ht="15" customHeight="1">
      <c r="A659" s="292"/>
      <c r="B659" s="305"/>
      <c r="C659" s="153">
        <v>5</v>
      </c>
      <c r="D659" s="152" t="s">
        <v>1886</v>
      </c>
      <c r="E659" s="153" t="s">
        <v>1123</v>
      </c>
      <c r="F659" s="152" t="s">
        <v>3927</v>
      </c>
      <c r="K659" s="8"/>
      <c r="L659" s="8"/>
      <c r="M659" s="8"/>
      <c r="N659" s="8"/>
      <c r="O659" s="8"/>
      <c r="P659" s="8"/>
    </row>
    <row r="660" spans="1:16" ht="15" customHeight="1">
      <c r="A660" s="292"/>
      <c r="B660" s="305"/>
      <c r="C660" s="153">
        <v>6</v>
      </c>
      <c r="D660" s="152" t="s">
        <v>4873</v>
      </c>
      <c r="E660" s="153" t="s">
        <v>1123</v>
      </c>
      <c r="F660" s="152" t="s">
        <v>4872</v>
      </c>
      <c r="K660" s="8"/>
      <c r="L660" s="8"/>
      <c r="M660" s="8"/>
      <c r="N660" s="8"/>
      <c r="O660" s="8"/>
      <c r="P660" s="8"/>
    </row>
    <row r="661" spans="1:16" ht="15" customHeight="1">
      <c r="A661" s="292"/>
      <c r="B661" s="305"/>
      <c r="C661" s="153">
        <v>9</v>
      </c>
      <c r="D661" s="152" t="s">
        <v>3924</v>
      </c>
      <c r="E661" s="153" t="s">
        <v>1123</v>
      </c>
      <c r="F661" s="152" t="s">
        <v>3928</v>
      </c>
      <c r="K661" s="8"/>
      <c r="L661" s="8"/>
      <c r="M661" s="8"/>
      <c r="N661" s="8"/>
      <c r="O661" s="8"/>
      <c r="P661" s="8"/>
    </row>
    <row r="662" spans="1:16" ht="15" customHeight="1">
      <c r="A662" s="292"/>
      <c r="B662" s="305"/>
      <c r="C662" s="153">
        <v>10</v>
      </c>
      <c r="D662" s="152" t="s">
        <v>1883</v>
      </c>
      <c r="E662" s="153" t="s">
        <v>669</v>
      </c>
      <c r="F662" s="152" t="s">
        <v>3929</v>
      </c>
      <c r="K662" s="8"/>
      <c r="L662" s="8"/>
      <c r="M662" s="8"/>
      <c r="N662" s="8"/>
      <c r="O662" s="8"/>
      <c r="P662" s="8"/>
    </row>
    <row r="663" spans="1:16" ht="15" customHeight="1">
      <c r="A663" s="273"/>
      <c r="B663" s="277"/>
      <c r="C663" s="153">
        <v>12</v>
      </c>
      <c r="D663" s="152" t="s">
        <v>1882</v>
      </c>
      <c r="E663" s="153" t="s">
        <v>1123</v>
      </c>
      <c r="F663" s="152" t="s">
        <v>3930</v>
      </c>
      <c r="K663" s="8"/>
      <c r="L663" s="8"/>
      <c r="M663" s="8"/>
      <c r="N663" s="8"/>
      <c r="O663" s="8"/>
      <c r="P663" s="8"/>
    </row>
    <row r="664" spans="1:16" ht="15" customHeight="1">
      <c r="A664" s="274" t="s">
        <v>3936</v>
      </c>
      <c r="B664" s="278" t="s">
        <v>4431</v>
      </c>
      <c r="C664" s="151">
        <v>0</v>
      </c>
      <c r="D664" s="171" t="s">
        <v>3931</v>
      </c>
      <c r="E664" s="170" t="s">
        <v>669</v>
      </c>
      <c r="F664" s="171" t="s">
        <v>2923</v>
      </c>
      <c r="K664" s="8"/>
      <c r="L664" s="8"/>
      <c r="M664" s="8"/>
      <c r="N664" s="8"/>
      <c r="O664" s="8"/>
      <c r="P664" s="8"/>
    </row>
    <row r="665" spans="1:16" ht="15" customHeight="1">
      <c r="A665" s="299"/>
      <c r="B665" s="304"/>
      <c r="C665" s="174">
        <v>1</v>
      </c>
      <c r="D665" s="175" t="s">
        <v>3932</v>
      </c>
      <c r="E665" s="174" t="s">
        <v>1123</v>
      </c>
      <c r="F665" s="175" t="s">
        <v>3971</v>
      </c>
      <c r="K665" s="8"/>
      <c r="L665" s="8"/>
      <c r="M665" s="8"/>
      <c r="N665" s="8"/>
      <c r="O665" s="8"/>
      <c r="P665" s="8"/>
    </row>
    <row r="666" spans="1:16" ht="15" customHeight="1">
      <c r="A666" s="299"/>
      <c r="B666" s="304"/>
      <c r="C666" s="174">
        <v>2</v>
      </c>
      <c r="D666" s="175" t="s">
        <v>3933</v>
      </c>
      <c r="E666" s="174" t="s">
        <v>1123</v>
      </c>
      <c r="F666" s="175" t="s">
        <v>4769</v>
      </c>
      <c r="K666" s="8"/>
      <c r="L666" s="8"/>
      <c r="M666" s="8"/>
      <c r="N666" s="8"/>
      <c r="O666" s="8"/>
      <c r="P666" s="8"/>
    </row>
    <row r="667" spans="1:16" ht="15" customHeight="1">
      <c r="A667" s="299"/>
      <c r="B667" s="304"/>
      <c r="C667" s="151">
        <v>4</v>
      </c>
      <c r="D667" s="171" t="s">
        <v>1876</v>
      </c>
      <c r="E667" s="170" t="s">
        <v>2874</v>
      </c>
      <c r="F667" s="171" t="s">
        <v>3937</v>
      </c>
      <c r="K667" s="8"/>
      <c r="L667" s="8"/>
      <c r="M667" s="8"/>
      <c r="N667" s="8"/>
      <c r="O667" s="8"/>
      <c r="P667" s="8"/>
    </row>
    <row r="668" spans="1:16" ht="15" customHeight="1">
      <c r="A668" s="299"/>
      <c r="B668" s="304"/>
      <c r="C668" s="151">
        <v>5</v>
      </c>
      <c r="D668" s="171" t="s">
        <v>1875</v>
      </c>
      <c r="E668" s="170" t="s">
        <v>1123</v>
      </c>
      <c r="F668" s="171" t="s">
        <v>3938</v>
      </c>
      <c r="K668" s="8"/>
      <c r="L668" s="8"/>
      <c r="M668" s="8"/>
      <c r="N668" s="8"/>
      <c r="O668" s="8"/>
      <c r="P668" s="8"/>
    </row>
    <row r="669" spans="1:16" ht="15" customHeight="1">
      <c r="A669" s="299"/>
      <c r="B669" s="304"/>
      <c r="C669" s="151">
        <v>6</v>
      </c>
      <c r="D669" s="171" t="s">
        <v>3934</v>
      </c>
      <c r="E669" s="170" t="s">
        <v>1123</v>
      </c>
      <c r="F669" s="171" t="s">
        <v>4748</v>
      </c>
      <c r="K669" s="8"/>
      <c r="L669" s="8"/>
      <c r="M669" s="8"/>
      <c r="N669" s="8"/>
      <c r="O669" s="8"/>
      <c r="P669" s="8"/>
    </row>
    <row r="670" spans="1:16" ht="15" customHeight="1">
      <c r="A670" s="299"/>
      <c r="B670" s="304"/>
      <c r="C670" s="151">
        <v>9</v>
      </c>
      <c r="D670" s="171" t="s">
        <v>3935</v>
      </c>
      <c r="E670" s="170" t="s">
        <v>2874</v>
      </c>
      <c r="F670" s="175" t="s">
        <v>4390</v>
      </c>
      <c r="K670" s="8"/>
      <c r="L670" s="8"/>
      <c r="M670" s="8"/>
      <c r="N670" s="8"/>
      <c r="O670" s="8"/>
      <c r="P670" s="8"/>
    </row>
    <row r="671" spans="1:16" ht="15" customHeight="1">
      <c r="A671" s="275"/>
      <c r="B671" s="279"/>
      <c r="C671" s="151">
        <v>10</v>
      </c>
      <c r="D671" s="171" t="s">
        <v>1872</v>
      </c>
      <c r="E671" s="170" t="s">
        <v>669</v>
      </c>
      <c r="F671" s="171" t="s">
        <v>3939</v>
      </c>
      <c r="K671" s="8"/>
      <c r="L671" s="8"/>
      <c r="M671" s="8"/>
      <c r="N671" s="8"/>
      <c r="O671" s="8"/>
      <c r="P671" s="8"/>
    </row>
    <row r="672" spans="1:16" ht="15" customHeight="1">
      <c r="A672" s="272" t="s">
        <v>3946</v>
      </c>
      <c r="B672" s="276" t="s">
        <v>4722</v>
      </c>
      <c r="C672" s="153">
        <v>0</v>
      </c>
      <c r="D672" s="183" t="s">
        <v>3940</v>
      </c>
      <c r="E672" s="153" t="s">
        <v>669</v>
      </c>
      <c r="F672" s="152" t="s">
        <v>2923</v>
      </c>
      <c r="K672" s="8"/>
      <c r="L672" s="8"/>
      <c r="M672" s="8"/>
      <c r="N672" s="8"/>
      <c r="O672" s="8"/>
      <c r="P672" s="8"/>
    </row>
    <row r="673" spans="1:16" ht="15" customHeight="1">
      <c r="A673" s="292"/>
      <c r="B673" s="305"/>
      <c r="C673" s="182">
        <v>1</v>
      </c>
      <c r="D673" s="183" t="s">
        <v>3941</v>
      </c>
      <c r="E673" s="182" t="s">
        <v>1123</v>
      </c>
      <c r="F673" s="183" t="s">
        <v>3970</v>
      </c>
      <c r="K673" s="8"/>
      <c r="L673" s="8"/>
      <c r="M673" s="8"/>
      <c r="N673" s="8"/>
      <c r="O673" s="8"/>
      <c r="P673" s="8"/>
    </row>
    <row r="674" spans="1:16" ht="15" customHeight="1">
      <c r="A674" s="292"/>
      <c r="B674" s="305"/>
      <c r="C674" s="182">
        <v>2</v>
      </c>
      <c r="D674" s="183" t="s">
        <v>3942</v>
      </c>
      <c r="E674" s="182" t="s">
        <v>1123</v>
      </c>
      <c r="F674" s="183" t="s">
        <v>4770</v>
      </c>
      <c r="K674" s="8"/>
      <c r="L674" s="8"/>
      <c r="M674" s="8"/>
      <c r="N674" s="8"/>
      <c r="O674" s="8"/>
      <c r="P674" s="8"/>
    </row>
    <row r="675" spans="1:16" ht="15" customHeight="1">
      <c r="A675" s="292"/>
      <c r="B675" s="305"/>
      <c r="C675" s="153">
        <v>4</v>
      </c>
      <c r="D675" s="152" t="s">
        <v>1866</v>
      </c>
      <c r="E675" s="153" t="s">
        <v>1123</v>
      </c>
      <c r="F675" s="152" t="s">
        <v>3947</v>
      </c>
      <c r="K675" s="8"/>
      <c r="L675" s="8"/>
      <c r="M675" s="8"/>
      <c r="N675" s="8"/>
      <c r="O675" s="8"/>
      <c r="P675" s="8"/>
    </row>
    <row r="676" spans="1:16" ht="15" customHeight="1">
      <c r="A676" s="292"/>
      <c r="B676" s="305"/>
      <c r="C676" s="153">
        <v>5</v>
      </c>
      <c r="D676" s="152" t="s">
        <v>3943</v>
      </c>
      <c r="E676" s="153" t="s">
        <v>2874</v>
      </c>
      <c r="F676" s="152" t="s">
        <v>4720</v>
      </c>
      <c r="K676" s="8"/>
      <c r="L676" s="8"/>
      <c r="M676" s="8"/>
      <c r="N676" s="8"/>
      <c r="O676" s="8"/>
      <c r="P676" s="8"/>
    </row>
    <row r="677" spans="1:16" ht="15" customHeight="1">
      <c r="A677" s="292"/>
      <c r="B677" s="305"/>
      <c r="C677" s="153">
        <v>6</v>
      </c>
      <c r="D677" s="152" t="s">
        <v>3944</v>
      </c>
      <c r="E677" s="153" t="s">
        <v>1123</v>
      </c>
      <c r="F677" s="152" t="s">
        <v>4749</v>
      </c>
      <c r="K677" s="8"/>
      <c r="L677" s="8"/>
      <c r="M677" s="8"/>
      <c r="N677" s="8"/>
      <c r="O677" s="8"/>
      <c r="P677" s="8"/>
    </row>
    <row r="678" spans="1:16" ht="15" customHeight="1">
      <c r="A678" s="292"/>
      <c r="B678" s="305"/>
      <c r="C678" s="182">
        <v>9</v>
      </c>
      <c r="D678" s="183" t="s">
        <v>3945</v>
      </c>
      <c r="E678" s="182" t="s">
        <v>1123</v>
      </c>
      <c r="F678" s="183" t="s">
        <v>4395</v>
      </c>
      <c r="K678" s="8"/>
      <c r="L678" s="8"/>
      <c r="M678" s="8"/>
      <c r="N678" s="8"/>
      <c r="O678" s="8"/>
      <c r="P678" s="8"/>
    </row>
    <row r="679" spans="1:16" ht="15" customHeight="1">
      <c r="A679" s="292"/>
      <c r="B679" s="305"/>
      <c r="C679" s="153">
        <v>10</v>
      </c>
      <c r="D679" s="152" t="s">
        <v>1862</v>
      </c>
      <c r="E679" s="153" t="s">
        <v>2874</v>
      </c>
      <c r="F679" s="152" t="s">
        <v>3948</v>
      </c>
      <c r="K679" s="8"/>
      <c r="L679" s="8"/>
      <c r="M679" s="8"/>
      <c r="N679" s="8"/>
      <c r="O679" s="8"/>
      <c r="P679" s="8"/>
    </row>
    <row r="680" spans="1:16" ht="15" customHeight="1">
      <c r="A680" s="292"/>
      <c r="B680" s="305"/>
      <c r="C680" s="153">
        <v>11</v>
      </c>
      <c r="D680" s="152" t="s">
        <v>1861</v>
      </c>
      <c r="E680" s="153" t="s">
        <v>2874</v>
      </c>
      <c r="F680" s="152" t="s">
        <v>3949</v>
      </c>
      <c r="K680" s="8"/>
      <c r="L680" s="8"/>
      <c r="M680" s="8"/>
      <c r="N680" s="8"/>
      <c r="O680" s="8"/>
      <c r="P680" s="8"/>
    </row>
    <row r="681" spans="1:16" ht="15" customHeight="1">
      <c r="A681" s="273"/>
      <c r="B681" s="277"/>
      <c r="C681" s="153">
        <v>12</v>
      </c>
      <c r="D681" s="152" t="s">
        <v>1860</v>
      </c>
      <c r="E681" s="153" t="s">
        <v>669</v>
      </c>
      <c r="F681" s="152" t="s">
        <v>3950</v>
      </c>
      <c r="K681" s="8"/>
      <c r="L681" s="8"/>
      <c r="M681" s="8"/>
      <c r="N681" s="8"/>
      <c r="O681" s="8"/>
      <c r="P681" s="8"/>
    </row>
    <row r="682" spans="1:16" ht="15" customHeight="1">
      <c r="A682" s="274" t="s">
        <v>3956</v>
      </c>
      <c r="B682" s="278" t="s">
        <v>3952</v>
      </c>
      <c r="C682" s="151">
        <v>0</v>
      </c>
      <c r="D682" s="171" t="s">
        <v>3955</v>
      </c>
      <c r="E682" s="170" t="s">
        <v>669</v>
      </c>
      <c r="F682" s="171" t="s">
        <v>2923</v>
      </c>
      <c r="K682" s="8"/>
      <c r="L682" s="8"/>
      <c r="M682" s="8"/>
      <c r="N682" s="8"/>
      <c r="O682" s="8"/>
      <c r="P682" s="8"/>
    </row>
    <row r="683" spans="1:16" ht="15" customHeight="1">
      <c r="A683" s="299"/>
      <c r="B683" s="304"/>
      <c r="C683" s="174">
        <v>1</v>
      </c>
      <c r="D683" s="175" t="s">
        <v>3951</v>
      </c>
      <c r="E683" s="174" t="s">
        <v>2874</v>
      </c>
      <c r="F683" s="175" t="s">
        <v>4450</v>
      </c>
      <c r="K683" s="8"/>
      <c r="L683" s="8"/>
      <c r="M683" s="8"/>
      <c r="N683" s="8"/>
      <c r="O683" s="8"/>
      <c r="P683" s="8"/>
    </row>
    <row r="684" spans="1:16" ht="15" customHeight="1">
      <c r="A684" s="299"/>
      <c r="B684" s="304"/>
      <c r="C684" s="151">
        <v>5</v>
      </c>
      <c r="D684" s="175" t="s">
        <v>1854</v>
      </c>
      <c r="E684" s="170" t="s">
        <v>1123</v>
      </c>
      <c r="F684" s="171" t="s">
        <v>4712</v>
      </c>
      <c r="K684" s="8"/>
      <c r="L684" s="8"/>
      <c r="M684" s="8"/>
      <c r="N684" s="8"/>
      <c r="O684" s="8"/>
      <c r="P684" s="8"/>
    </row>
    <row r="685" spans="1:16" ht="15" customHeight="1">
      <c r="A685" s="299"/>
      <c r="B685" s="304"/>
      <c r="C685" s="151">
        <v>6</v>
      </c>
      <c r="D685" s="175" t="s">
        <v>1855</v>
      </c>
      <c r="E685" s="170" t="s">
        <v>1123</v>
      </c>
      <c r="F685" s="175" t="s">
        <v>4946</v>
      </c>
      <c r="K685" s="8"/>
      <c r="L685" s="8"/>
      <c r="M685" s="8"/>
      <c r="N685" s="8"/>
      <c r="O685" s="8"/>
      <c r="P685" s="8"/>
    </row>
    <row r="686" spans="1:16" ht="15" customHeight="1">
      <c r="A686" s="299"/>
      <c r="B686" s="304"/>
      <c r="C686" s="151">
        <v>9</v>
      </c>
      <c r="D686" s="171" t="s">
        <v>3953</v>
      </c>
      <c r="E686" s="170" t="s">
        <v>1123</v>
      </c>
      <c r="F686" s="171" t="s">
        <v>3959</v>
      </c>
      <c r="K686" s="8"/>
      <c r="L686" s="8"/>
      <c r="M686" s="8"/>
      <c r="N686" s="8"/>
      <c r="O686" s="8"/>
      <c r="P686" s="8"/>
    </row>
    <row r="687" spans="1:16" ht="15" customHeight="1">
      <c r="A687" s="299"/>
      <c r="B687" s="304"/>
      <c r="C687" s="151">
        <v>11</v>
      </c>
      <c r="D687" s="171" t="s">
        <v>1852</v>
      </c>
      <c r="E687" s="170" t="s">
        <v>669</v>
      </c>
      <c r="F687" s="171" t="s">
        <v>3957</v>
      </c>
      <c r="K687" s="8"/>
      <c r="L687" s="8"/>
      <c r="M687" s="8"/>
      <c r="N687" s="8"/>
      <c r="O687" s="8"/>
      <c r="P687" s="8"/>
    </row>
    <row r="688" spans="1:16" ht="15" customHeight="1">
      <c r="A688" s="299"/>
      <c r="B688" s="304"/>
      <c r="C688" s="151">
        <v>12</v>
      </c>
      <c r="D688" s="171" t="s">
        <v>3954</v>
      </c>
      <c r="E688" s="170" t="s">
        <v>1123</v>
      </c>
      <c r="F688" s="171" t="s">
        <v>4855</v>
      </c>
      <c r="K688" s="8"/>
      <c r="L688" s="8"/>
      <c r="M688" s="8"/>
      <c r="N688" s="8"/>
      <c r="O688" s="8"/>
      <c r="P688" s="8"/>
    </row>
    <row r="689" spans="1:16" ht="15" customHeight="1">
      <c r="A689" s="275"/>
      <c r="B689" s="279"/>
      <c r="C689" s="151">
        <v>13</v>
      </c>
      <c r="D689" s="171" t="s">
        <v>1850</v>
      </c>
      <c r="E689" s="170" t="s">
        <v>1123</v>
      </c>
      <c r="F689" s="171" t="s">
        <v>3958</v>
      </c>
      <c r="K689" s="8"/>
      <c r="L689" s="8"/>
      <c r="M689" s="8"/>
      <c r="N689" s="8"/>
      <c r="O689" s="8"/>
      <c r="P689" s="8"/>
    </row>
    <row r="690" spans="1:16" ht="15" customHeight="1">
      <c r="A690" s="272" t="s">
        <v>3967</v>
      </c>
      <c r="B690" s="276" t="s">
        <v>4449</v>
      </c>
      <c r="C690" s="153">
        <v>0</v>
      </c>
      <c r="D690" s="152" t="s">
        <v>3965</v>
      </c>
      <c r="E690" s="153" t="s">
        <v>669</v>
      </c>
      <c r="F690" s="152" t="s">
        <v>2923</v>
      </c>
      <c r="K690" s="8"/>
      <c r="L690" s="8"/>
      <c r="M690" s="8"/>
      <c r="N690" s="8"/>
      <c r="O690" s="8"/>
      <c r="P690" s="8"/>
    </row>
    <row r="691" spans="1:16" ht="15" customHeight="1">
      <c r="A691" s="292"/>
      <c r="B691" s="305"/>
      <c r="C691" s="182">
        <v>1</v>
      </c>
      <c r="D691" s="183" t="s">
        <v>3960</v>
      </c>
      <c r="E691" s="182" t="s">
        <v>2874</v>
      </c>
      <c r="F691" s="183" t="s">
        <v>3969</v>
      </c>
      <c r="K691" s="8"/>
      <c r="L691" s="8"/>
      <c r="M691" s="8"/>
      <c r="N691" s="8"/>
      <c r="O691" s="8"/>
      <c r="P691" s="8"/>
    </row>
    <row r="692" spans="1:16" ht="15" customHeight="1">
      <c r="A692" s="292"/>
      <c r="B692" s="305"/>
      <c r="C692" s="153">
        <v>6</v>
      </c>
      <c r="D692" s="152" t="s">
        <v>1845</v>
      </c>
      <c r="E692" s="153" t="s">
        <v>2874</v>
      </c>
      <c r="F692" s="152" t="s">
        <v>3962</v>
      </c>
      <c r="K692" s="8"/>
      <c r="L692" s="8"/>
      <c r="M692" s="8"/>
      <c r="N692" s="8"/>
      <c r="O692" s="8"/>
      <c r="P692" s="8"/>
    </row>
    <row r="693" spans="1:16" ht="15" customHeight="1">
      <c r="A693" s="292"/>
      <c r="B693" s="305"/>
      <c r="C693" s="153">
        <v>9</v>
      </c>
      <c r="D693" s="152" t="s">
        <v>3961</v>
      </c>
      <c r="E693" s="153" t="s">
        <v>2874</v>
      </c>
      <c r="F693" s="152" t="s">
        <v>4379</v>
      </c>
      <c r="K693" s="8"/>
      <c r="L693" s="8"/>
      <c r="M693" s="8"/>
      <c r="N693" s="8"/>
      <c r="O693" s="8"/>
      <c r="P693" s="8"/>
    </row>
    <row r="694" spans="1:16" ht="15" customHeight="1">
      <c r="A694" s="292"/>
      <c r="B694" s="305"/>
      <c r="C694" s="153">
        <v>11</v>
      </c>
      <c r="D694" s="152" t="s">
        <v>1843</v>
      </c>
      <c r="E694" s="153" t="s">
        <v>669</v>
      </c>
      <c r="F694" s="152" t="s">
        <v>3963</v>
      </c>
      <c r="K694" s="8"/>
      <c r="L694" s="8"/>
      <c r="M694" s="8"/>
      <c r="N694" s="8"/>
      <c r="O694" s="8"/>
      <c r="P694" s="8"/>
    </row>
    <row r="695" spans="1:16" ht="15" customHeight="1">
      <c r="A695" s="292"/>
      <c r="B695" s="305"/>
      <c r="C695" s="153">
        <v>13</v>
      </c>
      <c r="D695" s="152" t="s">
        <v>1841</v>
      </c>
      <c r="E695" s="153" t="s">
        <v>2874</v>
      </c>
      <c r="F695" s="152" t="s">
        <v>3964</v>
      </c>
      <c r="K695" s="8"/>
      <c r="L695" s="8"/>
      <c r="M695" s="8"/>
      <c r="N695" s="8"/>
      <c r="O695" s="8"/>
      <c r="P695" s="8"/>
    </row>
    <row r="696" spans="1:16" ht="15" customHeight="1">
      <c r="A696" s="273"/>
      <c r="B696" s="277"/>
      <c r="C696" s="182">
        <v>14</v>
      </c>
      <c r="D696" s="183" t="s">
        <v>3966</v>
      </c>
      <c r="E696" s="182" t="s">
        <v>669</v>
      </c>
      <c r="F696" s="183" t="s">
        <v>3968</v>
      </c>
      <c r="K696" s="8"/>
      <c r="L696" s="8"/>
      <c r="M696" s="8"/>
      <c r="N696" s="8"/>
      <c r="O696" s="8"/>
      <c r="P696" s="8"/>
    </row>
    <row r="697" spans="1:16" s="203" customFormat="1" ht="15" customHeight="1">
      <c r="A697" s="192" t="s">
        <v>1840</v>
      </c>
      <c r="B697" s="172" t="s">
        <v>495</v>
      </c>
      <c r="C697" s="174" t="s">
        <v>2852</v>
      </c>
      <c r="D697" s="175" t="s">
        <v>495</v>
      </c>
      <c r="E697" s="174" t="s">
        <v>505</v>
      </c>
      <c r="F697" s="175" t="s">
        <v>3078</v>
      </c>
      <c r="G697" s="157"/>
      <c r="H697" s="157"/>
      <c r="I697" s="157"/>
      <c r="J697" s="157"/>
      <c r="K697" s="157"/>
      <c r="L697" s="157"/>
      <c r="M697" s="157"/>
      <c r="N697" s="157"/>
      <c r="O697" s="157"/>
      <c r="P697" s="157"/>
    </row>
    <row r="698" spans="1:16" ht="15" customHeight="1">
      <c r="A698" s="155" t="s">
        <v>1839</v>
      </c>
      <c r="B698" s="154"/>
      <c r="C698" s="159"/>
      <c r="D698" s="154"/>
      <c r="E698" s="155"/>
      <c r="F698" s="158"/>
      <c r="K698" s="8"/>
      <c r="L698" s="8"/>
      <c r="M698" s="8"/>
      <c r="N698" s="8"/>
      <c r="O698" s="8"/>
      <c r="P698" s="8"/>
    </row>
    <row r="699" spans="1:16" ht="15" customHeight="1">
      <c r="A699" s="293" t="s">
        <v>3973</v>
      </c>
      <c r="B699" s="293" t="s">
        <v>4704</v>
      </c>
      <c r="C699" s="151">
        <v>0</v>
      </c>
      <c r="D699" s="171" t="s">
        <v>3077</v>
      </c>
      <c r="E699" s="170" t="s">
        <v>669</v>
      </c>
      <c r="F699" s="171" t="s">
        <v>2923</v>
      </c>
      <c r="K699" s="8"/>
      <c r="L699" s="8"/>
      <c r="M699" s="8"/>
      <c r="N699" s="8"/>
      <c r="O699" s="8"/>
      <c r="P699" s="8"/>
    </row>
    <row r="700" spans="1:16" ht="15" customHeight="1">
      <c r="A700" s="294"/>
      <c r="B700" s="294"/>
      <c r="C700" s="151">
        <v>1</v>
      </c>
      <c r="D700" s="171" t="s">
        <v>1835</v>
      </c>
      <c r="E700" s="170" t="s">
        <v>1123</v>
      </c>
      <c r="F700" s="171" t="s">
        <v>3974</v>
      </c>
      <c r="K700" s="8"/>
      <c r="L700" s="8"/>
      <c r="M700" s="8"/>
      <c r="N700" s="8"/>
      <c r="O700" s="8"/>
      <c r="P700" s="8"/>
    </row>
    <row r="701" spans="1:16" ht="15" customHeight="1">
      <c r="A701" s="294"/>
      <c r="B701" s="294"/>
      <c r="C701" s="151">
        <v>2</v>
      </c>
      <c r="D701" s="171" t="s">
        <v>4705</v>
      </c>
      <c r="E701" s="170" t="s">
        <v>669</v>
      </c>
      <c r="F701" s="171" t="s">
        <v>4877</v>
      </c>
      <c r="K701" s="8"/>
      <c r="L701" s="8"/>
      <c r="M701" s="8"/>
      <c r="N701" s="8"/>
      <c r="O701" s="8"/>
      <c r="P701" s="8"/>
    </row>
    <row r="702" spans="1:16" ht="33" customHeight="1">
      <c r="A702" s="294"/>
      <c r="B702" s="294"/>
      <c r="C702" s="151">
        <v>4</v>
      </c>
      <c r="D702" s="171" t="s">
        <v>3972</v>
      </c>
      <c r="E702" s="170" t="s">
        <v>669</v>
      </c>
      <c r="F702" s="171" t="s">
        <v>4847</v>
      </c>
      <c r="K702" s="8"/>
      <c r="L702" s="8"/>
      <c r="M702" s="8"/>
      <c r="N702" s="8"/>
      <c r="O702" s="8"/>
      <c r="P702" s="8"/>
    </row>
    <row r="703" spans="1:16" ht="15" customHeight="1">
      <c r="A703" s="294"/>
      <c r="B703" s="294"/>
      <c r="C703" s="151">
        <v>10</v>
      </c>
      <c r="D703" s="171" t="s">
        <v>1832</v>
      </c>
      <c r="E703" s="170" t="s">
        <v>669</v>
      </c>
      <c r="F703" s="171" t="s">
        <v>3975</v>
      </c>
      <c r="K703" s="8"/>
      <c r="L703" s="8"/>
      <c r="M703" s="8"/>
      <c r="N703" s="8"/>
      <c r="O703" s="8"/>
      <c r="P703" s="8"/>
    </row>
    <row r="704" spans="1:16" ht="15" customHeight="1">
      <c r="A704" s="294"/>
      <c r="B704" s="294"/>
      <c r="C704" s="151">
        <v>11</v>
      </c>
      <c r="D704" s="171" t="s">
        <v>1831</v>
      </c>
      <c r="E704" s="170" t="s">
        <v>669</v>
      </c>
      <c r="F704" s="171" t="s">
        <v>3976</v>
      </c>
      <c r="K704" s="8"/>
      <c r="L704" s="8"/>
      <c r="M704" s="8"/>
      <c r="N704" s="8"/>
      <c r="O704" s="8"/>
      <c r="P704" s="8"/>
    </row>
    <row r="705" spans="1:16" ht="15" customHeight="1">
      <c r="A705" s="294"/>
      <c r="B705" s="294"/>
      <c r="C705" s="151">
        <v>12</v>
      </c>
      <c r="D705" s="171" t="s">
        <v>1830</v>
      </c>
      <c r="E705" s="170" t="s">
        <v>669</v>
      </c>
      <c r="F705" s="171" t="s">
        <v>3977</v>
      </c>
      <c r="K705" s="8"/>
      <c r="L705" s="8"/>
      <c r="M705" s="8"/>
      <c r="N705" s="8"/>
      <c r="O705" s="8"/>
      <c r="P705" s="8"/>
    </row>
    <row r="706" spans="1:16" ht="15" customHeight="1">
      <c r="A706" s="295"/>
      <c r="B706" s="295"/>
      <c r="C706" s="151">
        <v>14</v>
      </c>
      <c r="D706" s="175" t="s">
        <v>1829</v>
      </c>
      <c r="E706" s="170" t="s">
        <v>669</v>
      </c>
      <c r="F706" s="171" t="s">
        <v>4953</v>
      </c>
      <c r="K706" s="8"/>
      <c r="L706" s="8"/>
      <c r="M706" s="8"/>
      <c r="N706" s="8"/>
      <c r="O706" s="8"/>
      <c r="P706" s="8"/>
    </row>
    <row r="707" spans="1:16" ht="15" customHeight="1">
      <c r="A707" s="284" t="s">
        <v>3979</v>
      </c>
      <c r="B707" s="284" t="s">
        <v>4433</v>
      </c>
      <c r="C707" s="153">
        <v>0</v>
      </c>
      <c r="D707" s="152" t="s">
        <v>3076</v>
      </c>
      <c r="E707" s="153" t="s">
        <v>669</v>
      </c>
      <c r="F707" s="152" t="s">
        <v>2923</v>
      </c>
      <c r="K707" s="8"/>
      <c r="L707" s="8"/>
      <c r="M707" s="8"/>
      <c r="N707" s="8"/>
      <c r="O707" s="8"/>
      <c r="P707" s="8"/>
    </row>
    <row r="708" spans="1:16" ht="15" customHeight="1">
      <c r="A708" s="284"/>
      <c r="B708" s="284"/>
      <c r="C708" s="153">
        <v>1</v>
      </c>
      <c r="D708" s="152" t="s">
        <v>1825</v>
      </c>
      <c r="E708" s="153" t="s">
        <v>1123</v>
      </c>
      <c r="F708" s="152" t="s">
        <v>3980</v>
      </c>
      <c r="K708" s="8"/>
      <c r="L708" s="8"/>
      <c r="M708" s="8"/>
      <c r="N708" s="8"/>
      <c r="O708" s="8"/>
      <c r="P708" s="8"/>
    </row>
    <row r="709" spans="1:16" ht="15" customHeight="1">
      <c r="A709" s="284"/>
      <c r="B709" s="284"/>
      <c r="C709" s="153">
        <v>2</v>
      </c>
      <c r="D709" s="183" t="s">
        <v>1824</v>
      </c>
      <c r="E709" s="153" t="s">
        <v>669</v>
      </c>
      <c r="F709" s="152" t="s">
        <v>4707</v>
      </c>
      <c r="K709" s="8"/>
      <c r="L709" s="8"/>
      <c r="M709" s="8"/>
      <c r="N709" s="8"/>
      <c r="O709" s="8"/>
      <c r="P709" s="8"/>
    </row>
    <row r="710" spans="1:16" ht="33" customHeight="1">
      <c r="A710" s="284"/>
      <c r="B710" s="284"/>
      <c r="C710" s="153">
        <v>4</v>
      </c>
      <c r="D710" s="152" t="s">
        <v>3978</v>
      </c>
      <c r="E710" s="153" t="s">
        <v>669</v>
      </c>
      <c r="F710" s="152" t="s">
        <v>4848</v>
      </c>
      <c r="K710" s="8"/>
      <c r="L710" s="8"/>
      <c r="M710" s="8"/>
      <c r="N710" s="8"/>
      <c r="O710" s="8"/>
      <c r="P710" s="8"/>
    </row>
    <row r="711" spans="1:16" ht="15" customHeight="1">
      <c r="A711" s="284"/>
      <c r="B711" s="284"/>
      <c r="C711" s="153">
        <v>10</v>
      </c>
      <c r="D711" s="152" t="s">
        <v>1822</v>
      </c>
      <c r="E711" s="153" t="s">
        <v>669</v>
      </c>
      <c r="F711" s="152" t="s">
        <v>3981</v>
      </c>
      <c r="K711" s="8"/>
      <c r="L711" s="8"/>
      <c r="M711" s="8"/>
      <c r="N711" s="8"/>
      <c r="O711" s="8"/>
      <c r="P711" s="8"/>
    </row>
    <row r="712" spans="1:16" ht="15" customHeight="1">
      <c r="A712" s="284"/>
      <c r="B712" s="284"/>
      <c r="C712" s="153">
        <v>11</v>
      </c>
      <c r="D712" s="152" t="s">
        <v>1821</v>
      </c>
      <c r="E712" s="153" t="s">
        <v>669</v>
      </c>
      <c r="F712" s="152" t="s">
        <v>3982</v>
      </c>
      <c r="K712" s="8"/>
      <c r="L712" s="8"/>
      <c r="M712" s="8"/>
      <c r="N712" s="8"/>
      <c r="O712" s="8"/>
      <c r="P712" s="8"/>
    </row>
    <row r="713" spans="1:16" ht="15" customHeight="1">
      <c r="A713" s="284"/>
      <c r="B713" s="284"/>
      <c r="C713" s="153">
        <v>12</v>
      </c>
      <c r="D713" s="152" t="s">
        <v>1820</v>
      </c>
      <c r="E713" s="153" t="s">
        <v>669</v>
      </c>
      <c r="F713" s="152" t="s">
        <v>3983</v>
      </c>
      <c r="K713" s="8"/>
      <c r="L713" s="8"/>
      <c r="M713" s="8"/>
      <c r="N713" s="8"/>
      <c r="O713" s="8"/>
      <c r="P713" s="8"/>
    </row>
    <row r="714" spans="1:16" ht="15" customHeight="1">
      <c r="A714" s="293" t="s">
        <v>3986</v>
      </c>
      <c r="B714" s="293" t="s">
        <v>4947</v>
      </c>
      <c r="C714" s="151">
        <v>0</v>
      </c>
      <c r="D714" s="217" t="s">
        <v>3075</v>
      </c>
      <c r="E714" s="170" t="s">
        <v>669</v>
      </c>
      <c r="F714" s="171" t="s">
        <v>2923</v>
      </c>
      <c r="K714" s="8"/>
      <c r="L714" s="8"/>
      <c r="M714" s="8"/>
      <c r="N714" s="8"/>
      <c r="O714" s="8"/>
      <c r="P714" s="8"/>
    </row>
    <row r="715" spans="1:16" ht="15" customHeight="1">
      <c r="A715" s="294"/>
      <c r="B715" s="294"/>
      <c r="C715" s="151">
        <v>1</v>
      </c>
      <c r="D715" s="171" t="s">
        <v>1816</v>
      </c>
      <c r="E715" s="170" t="s">
        <v>1123</v>
      </c>
      <c r="F715" s="171" t="s">
        <v>3987</v>
      </c>
      <c r="K715" s="8"/>
      <c r="L715" s="8"/>
      <c r="M715" s="8"/>
      <c r="N715" s="8"/>
      <c r="O715" s="8"/>
      <c r="P715" s="8"/>
    </row>
    <row r="716" spans="1:16" ht="15" customHeight="1">
      <c r="A716" s="294"/>
      <c r="B716" s="294"/>
      <c r="C716" s="151">
        <v>2</v>
      </c>
      <c r="D716" s="171" t="s">
        <v>3984</v>
      </c>
      <c r="E716" s="170" t="s">
        <v>669</v>
      </c>
      <c r="F716" s="171" t="s">
        <v>3988</v>
      </c>
      <c r="K716" s="8"/>
      <c r="L716" s="8"/>
      <c r="M716" s="8"/>
      <c r="N716" s="8"/>
      <c r="O716" s="8"/>
      <c r="P716" s="8"/>
    </row>
    <row r="717" spans="1:16" ht="15" customHeight="1">
      <c r="A717" s="294"/>
      <c r="B717" s="294"/>
      <c r="C717" s="151">
        <v>4</v>
      </c>
      <c r="D717" s="171" t="s">
        <v>4721</v>
      </c>
      <c r="E717" s="170" t="s">
        <v>1123</v>
      </c>
      <c r="F717" s="171" t="s">
        <v>4845</v>
      </c>
      <c r="K717" s="8"/>
      <c r="L717" s="8"/>
      <c r="M717" s="8"/>
      <c r="N717" s="8"/>
      <c r="O717" s="8"/>
      <c r="P717" s="8"/>
    </row>
    <row r="718" spans="1:16" ht="15" customHeight="1">
      <c r="A718" s="294"/>
      <c r="B718" s="294"/>
      <c r="C718" s="151">
        <v>9</v>
      </c>
      <c r="D718" s="171" t="s">
        <v>1813</v>
      </c>
      <c r="E718" s="170" t="s">
        <v>1123</v>
      </c>
      <c r="F718" s="171" t="s">
        <v>3989</v>
      </c>
      <c r="K718" s="8"/>
      <c r="L718" s="8"/>
      <c r="M718" s="8"/>
      <c r="N718" s="8"/>
      <c r="O718" s="8"/>
      <c r="P718" s="8"/>
    </row>
    <row r="719" spans="1:16" ht="15" customHeight="1">
      <c r="A719" s="294"/>
      <c r="B719" s="294"/>
      <c r="C719" s="151">
        <v>10</v>
      </c>
      <c r="D719" s="171" t="s">
        <v>1812</v>
      </c>
      <c r="E719" s="170" t="s">
        <v>669</v>
      </c>
      <c r="F719" s="171" t="s">
        <v>3990</v>
      </c>
      <c r="K719" s="8"/>
      <c r="L719" s="8"/>
      <c r="M719" s="8"/>
      <c r="N719" s="8"/>
      <c r="O719" s="8"/>
      <c r="P719" s="8"/>
    </row>
    <row r="720" spans="1:16" ht="15" customHeight="1">
      <c r="A720" s="295"/>
      <c r="B720" s="295"/>
      <c r="C720" s="218">
        <v>14</v>
      </c>
      <c r="D720" s="217" t="s">
        <v>4948</v>
      </c>
      <c r="E720" s="218" t="s">
        <v>669</v>
      </c>
      <c r="F720" s="217" t="s">
        <v>4949</v>
      </c>
      <c r="K720" s="8"/>
      <c r="L720" s="8"/>
      <c r="M720" s="8"/>
      <c r="N720" s="8"/>
      <c r="O720" s="8"/>
      <c r="P720" s="8"/>
    </row>
    <row r="721" spans="1:16" ht="15" customHeight="1">
      <c r="A721" s="272" t="s">
        <v>3992</v>
      </c>
      <c r="B721" s="272" t="s">
        <v>4695</v>
      </c>
      <c r="C721" s="153">
        <v>0</v>
      </c>
      <c r="D721" s="152" t="s">
        <v>3074</v>
      </c>
      <c r="E721" s="153" t="s">
        <v>669</v>
      </c>
      <c r="F721" s="152" t="s">
        <v>2923</v>
      </c>
      <c r="K721" s="8"/>
      <c r="L721" s="8"/>
      <c r="M721" s="8"/>
      <c r="N721" s="8"/>
      <c r="O721" s="8"/>
      <c r="P721" s="8"/>
    </row>
    <row r="722" spans="1:16" ht="15" customHeight="1">
      <c r="A722" s="292"/>
      <c r="B722" s="292"/>
      <c r="C722" s="153">
        <v>1</v>
      </c>
      <c r="D722" s="152" t="s">
        <v>1807</v>
      </c>
      <c r="E722" s="153" t="s">
        <v>2874</v>
      </c>
      <c r="F722" s="152" t="s">
        <v>3993</v>
      </c>
      <c r="K722" s="8"/>
      <c r="L722" s="8"/>
      <c r="M722" s="8"/>
      <c r="N722" s="8"/>
      <c r="O722" s="8"/>
      <c r="P722" s="8"/>
    </row>
    <row r="723" spans="1:16" ht="15" customHeight="1">
      <c r="A723" s="292"/>
      <c r="B723" s="292"/>
      <c r="C723" s="153">
        <v>2</v>
      </c>
      <c r="D723" s="152" t="s">
        <v>3991</v>
      </c>
      <c r="E723" s="153" t="s">
        <v>669</v>
      </c>
      <c r="F723" s="152" t="s">
        <v>3994</v>
      </c>
      <c r="K723" s="8"/>
      <c r="L723" s="8"/>
      <c r="M723" s="8"/>
      <c r="N723" s="8"/>
      <c r="O723" s="8"/>
      <c r="P723" s="8"/>
    </row>
    <row r="724" spans="1:16" ht="15" customHeight="1">
      <c r="A724" s="292"/>
      <c r="B724" s="292"/>
      <c r="C724" s="153">
        <v>4</v>
      </c>
      <c r="D724" s="152" t="s">
        <v>3985</v>
      </c>
      <c r="E724" s="153" t="s">
        <v>2874</v>
      </c>
      <c r="F724" s="152" t="s">
        <v>4846</v>
      </c>
      <c r="K724" s="8"/>
      <c r="L724" s="8"/>
      <c r="M724" s="8"/>
      <c r="N724" s="8"/>
      <c r="O724" s="8"/>
      <c r="P724" s="8"/>
    </row>
    <row r="725" spans="1:16" ht="15" customHeight="1">
      <c r="A725" s="292"/>
      <c r="B725" s="292"/>
      <c r="C725" s="153">
        <v>9</v>
      </c>
      <c r="D725" s="152" t="s">
        <v>1804</v>
      </c>
      <c r="E725" s="153" t="s">
        <v>2874</v>
      </c>
      <c r="F725" s="152" t="s">
        <v>3995</v>
      </c>
      <c r="K725" s="8"/>
      <c r="L725" s="8"/>
      <c r="M725" s="8"/>
      <c r="N725" s="8"/>
      <c r="O725" s="8"/>
      <c r="P725" s="8"/>
    </row>
    <row r="726" spans="1:16" ht="15" customHeight="1">
      <c r="A726" s="273"/>
      <c r="B726" s="273"/>
      <c r="C726" s="153">
        <v>10</v>
      </c>
      <c r="D726" s="152" t="s">
        <v>1803</v>
      </c>
      <c r="E726" s="153" t="s">
        <v>2874</v>
      </c>
      <c r="F726" s="152" t="s">
        <v>3996</v>
      </c>
      <c r="K726" s="8"/>
      <c r="L726" s="8"/>
      <c r="M726" s="8"/>
      <c r="N726" s="8"/>
      <c r="O726" s="8"/>
      <c r="P726" s="8"/>
    </row>
    <row r="727" spans="1:16" ht="15" customHeight="1">
      <c r="A727" s="293" t="s">
        <v>4000</v>
      </c>
      <c r="B727" s="293" t="s">
        <v>4696</v>
      </c>
      <c r="C727" s="151">
        <v>0</v>
      </c>
      <c r="D727" s="171" t="s">
        <v>3073</v>
      </c>
      <c r="E727" s="170" t="s">
        <v>669</v>
      </c>
      <c r="F727" s="171" t="s">
        <v>2923</v>
      </c>
      <c r="K727" s="8"/>
      <c r="L727" s="8"/>
      <c r="M727" s="8"/>
      <c r="N727" s="8"/>
      <c r="O727" s="8"/>
      <c r="P727" s="8"/>
    </row>
    <row r="728" spans="1:16" ht="15" customHeight="1">
      <c r="A728" s="294"/>
      <c r="B728" s="294"/>
      <c r="C728" s="151">
        <v>1</v>
      </c>
      <c r="D728" s="171" t="s">
        <v>1799</v>
      </c>
      <c r="E728" s="170" t="s">
        <v>2874</v>
      </c>
      <c r="F728" s="171" t="s">
        <v>4001</v>
      </c>
      <c r="K728" s="8"/>
      <c r="L728" s="8"/>
      <c r="M728" s="8"/>
      <c r="N728" s="8"/>
      <c r="O728" s="8"/>
      <c r="P728" s="8"/>
    </row>
    <row r="729" spans="1:16" ht="19.5" customHeight="1">
      <c r="A729" s="294"/>
      <c r="B729" s="294"/>
      <c r="C729" s="151">
        <v>2</v>
      </c>
      <c r="D729" s="171" t="s">
        <v>3997</v>
      </c>
      <c r="E729" s="170" t="s">
        <v>669</v>
      </c>
      <c r="F729" s="171" t="s">
        <v>4002</v>
      </c>
      <c r="K729" s="8"/>
      <c r="L729" s="8"/>
      <c r="M729" s="8"/>
      <c r="N729" s="8"/>
      <c r="O729" s="8"/>
      <c r="P729" s="8"/>
    </row>
    <row r="730" spans="1:16" ht="31.5" customHeight="1">
      <c r="A730" s="294"/>
      <c r="B730" s="294"/>
      <c r="C730" s="174">
        <v>4</v>
      </c>
      <c r="D730" s="175" t="s">
        <v>3999</v>
      </c>
      <c r="E730" s="174" t="s">
        <v>669</v>
      </c>
      <c r="F730" s="175" t="s">
        <v>4736</v>
      </c>
      <c r="K730" s="8"/>
      <c r="L730" s="8"/>
      <c r="M730" s="8"/>
      <c r="N730" s="8"/>
      <c r="O730" s="8"/>
      <c r="P730" s="8"/>
    </row>
    <row r="731" spans="1:16" ht="15" customHeight="1">
      <c r="A731" s="294"/>
      <c r="B731" s="294"/>
      <c r="C731" s="151">
        <v>5</v>
      </c>
      <c r="D731" s="171" t="s">
        <v>3998</v>
      </c>
      <c r="E731" s="170" t="s">
        <v>1123</v>
      </c>
      <c r="F731" s="171" t="s">
        <v>4006</v>
      </c>
      <c r="K731" s="8"/>
      <c r="L731" s="8"/>
      <c r="M731" s="8"/>
      <c r="N731" s="8"/>
      <c r="O731" s="8"/>
      <c r="P731" s="8"/>
    </row>
    <row r="732" spans="1:16" ht="15" customHeight="1">
      <c r="A732" s="294"/>
      <c r="B732" s="294"/>
      <c r="C732" s="151">
        <v>9</v>
      </c>
      <c r="D732" s="171" t="s">
        <v>1795</v>
      </c>
      <c r="E732" s="170" t="s">
        <v>2874</v>
      </c>
      <c r="F732" s="171" t="s">
        <v>4003</v>
      </c>
      <c r="K732" s="8"/>
      <c r="L732" s="8"/>
      <c r="M732" s="8"/>
      <c r="N732" s="8"/>
      <c r="O732" s="8"/>
      <c r="P732" s="8"/>
    </row>
    <row r="733" spans="1:16" ht="15" customHeight="1">
      <c r="A733" s="294"/>
      <c r="B733" s="294"/>
      <c r="C733" s="151">
        <v>10</v>
      </c>
      <c r="D733" s="171" t="s">
        <v>1794</v>
      </c>
      <c r="E733" s="170" t="s">
        <v>2874</v>
      </c>
      <c r="F733" s="171" t="s">
        <v>4827</v>
      </c>
      <c r="K733" s="8"/>
      <c r="L733" s="8"/>
      <c r="M733" s="8"/>
      <c r="N733" s="8"/>
      <c r="O733" s="8"/>
      <c r="P733" s="8"/>
    </row>
    <row r="734" spans="1:16" ht="15" customHeight="1">
      <c r="A734" s="295"/>
      <c r="B734" s="295"/>
      <c r="C734" s="151">
        <v>12</v>
      </c>
      <c r="D734" s="171" t="s">
        <v>1793</v>
      </c>
      <c r="E734" s="170" t="s">
        <v>669</v>
      </c>
      <c r="F734" s="171" t="s">
        <v>4004</v>
      </c>
      <c r="K734" s="8"/>
      <c r="L734" s="8"/>
      <c r="M734" s="8"/>
      <c r="N734" s="8"/>
      <c r="O734" s="8"/>
      <c r="P734" s="8"/>
    </row>
    <row r="735" spans="1:16" ht="15" customHeight="1">
      <c r="A735" s="284" t="s">
        <v>4009</v>
      </c>
      <c r="B735" s="284" t="s">
        <v>4697</v>
      </c>
      <c r="C735" s="153">
        <v>0</v>
      </c>
      <c r="D735" s="152" t="s">
        <v>3072</v>
      </c>
      <c r="E735" s="153" t="s">
        <v>669</v>
      </c>
      <c r="F735" s="152" t="s">
        <v>2923</v>
      </c>
      <c r="K735" s="8"/>
      <c r="L735" s="8"/>
      <c r="M735" s="8"/>
      <c r="N735" s="8"/>
      <c r="O735" s="8"/>
      <c r="P735" s="8"/>
    </row>
    <row r="736" spans="1:16" ht="15" customHeight="1">
      <c r="A736" s="284"/>
      <c r="B736" s="284"/>
      <c r="C736" s="153">
        <v>1</v>
      </c>
      <c r="D736" s="152" t="s">
        <v>1789</v>
      </c>
      <c r="E736" s="153" t="s">
        <v>2874</v>
      </c>
      <c r="F736" s="152" t="s">
        <v>4010</v>
      </c>
      <c r="K736" s="8"/>
      <c r="L736" s="8"/>
      <c r="M736" s="8"/>
      <c r="N736" s="8"/>
      <c r="O736" s="8"/>
      <c r="P736" s="8"/>
    </row>
    <row r="737" spans="1:16" ht="15" customHeight="1">
      <c r="A737" s="284"/>
      <c r="B737" s="284"/>
      <c r="C737" s="153">
        <v>2</v>
      </c>
      <c r="D737" s="152" t="s">
        <v>4007</v>
      </c>
      <c r="E737" s="153" t="s">
        <v>2874</v>
      </c>
      <c r="F737" s="152" t="s">
        <v>4011</v>
      </c>
      <c r="K737" s="8"/>
      <c r="L737" s="8"/>
      <c r="M737" s="8"/>
      <c r="N737" s="8"/>
      <c r="O737" s="8"/>
      <c r="P737" s="8"/>
    </row>
    <row r="738" spans="1:16" ht="15" customHeight="1">
      <c r="A738" s="284"/>
      <c r="B738" s="284"/>
      <c r="C738" s="153">
        <v>5</v>
      </c>
      <c r="D738" s="152" t="s">
        <v>4008</v>
      </c>
      <c r="E738" s="153" t="s">
        <v>2874</v>
      </c>
      <c r="F738" s="152" t="s">
        <v>4013</v>
      </c>
      <c r="K738" s="8"/>
      <c r="L738" s="8"/>
      <c r="M738" s="8"/>
      <c r="N738" s="8"/>
      <c r="O738" s="8"/>
      <c r="P738" s="8"/>
    </row>
    <row r="739" spans="1:16" ht="15" customHeight="1">
      <c r="A739" s="284"/>
      <c r="B739" s="284"/>
      <c r="C739" s="153">
        <v>9</v>
      </c>
      <c r="D739" s="152" t="s">
        <v>1786</v>
      </c>
      <c r="E739" s="153" t="s">
        <v>1123</v>
      </c>
      <c r="F739" s="152" t="s">
        <v>4012</v>
      </c>
      <c r="K739" s="8"/>
      <c r="L739" s="8"/>
      <c r="M739" s="8"/>
      <c r="N739" s="8"/>
      <c r="O739" s="8"/>
      <c r="P739" s="8"/>
    </row>
    <row r="740" spans="1:16" ht="15" customHeight="1">
      <c r="A740" s="285" t="s">
        <v>4015</v>
      </c>
      <c r="B740" s="285" t="s">
        <v>4698</v>
      </c>
      <c r="C740" s="151">
        <v>0</v>
      </c>
      <c r="D740" s="171" t="s">
        <v>3071</v>
      </c>
      <c r="E740" s="170" t="s">
        <v>669</v>
      </c>
      <c r="F740" s="171" t="s">
        <v>2923</v>
      </c>
      <c r="K740" s="8"/>
      <c r="L740" s="8"/>
      <c r="M740" s="8"/>
      <c r="N740" s="8"/>
      <c r="O740" s="8"/>
      <c r="P740" s="8"/>
    </row>
    <row r="741" spans="1:16" ht="15" customHeight="1">
      <c r="A741" s="285"/>
      <c r="B741" s="285"/>
      <c r="C741" s="151">
        <v>1</v>
      </c>
      <c r="D741" s="171" t="s">
        <v>1782</v>
      </c>
      <c r="E741" s="170" t="s">
        <v>2874</v>
      </c>
      <c r="F741" s="171" t="s">
        <v>4925</v>
      </c>
      <c r="K741" s="8"/>
      <c r="L741" s="8"/>
      <c r="M741" s="8"/>
      <c r="N741" s="8"/>
      <c r="O741" s="8"/>
      <c r="P741" s="8"/>
    </row>
    <row r="742" spans="1:16" ht="15" customHeight="1">
      <c r="A742" s="285"/>
      <c r="B742" s="285"/>
      <c r="C742" s="151">
        <v>2</v>
      </c>
      <c r="D742" s="171" t="s">
        <v>4014</v>
      </c>
      <c r="E742" s="170" t="s">
        <v>2874</v>
      </c>
      <c r="F742" s="171" t="s">
        <v>4016</v>
      </c>
      <c r="K742" s="8"/>
      <c r="L742" s="8"/>
      <c r="M742" s="8"/>
      <c r="N742" s="8"/>
      <c r="O742" s="8"/>
      <c r="P742" s="8"/>
    </row>
    <row r="743" spans="1:16" ht="15" customHeight="1">
      <c r="A743" s="285"/>
      <c r="B743" s="285"/>
      <c r="C743" s="151">
        <v>9</v>
      </c>
      <c r="D743" s="171" t="s">
        <v>1780</v>
      </c>
      <c r="E743" s="170" t="s">
        <v>2874</v>
      </c>
      <c r="F743" s="171" t="s">
        <v>4017</v>
      </c>
      <c r="K743" s="8"/>
      <c r="L743" s="8"/>
      <c r="M743" s="8"/>
      <c r="N743" s="8"/>
      <c r="O743" s="8"/>
      <c r="P743" s="8"/>
    </row>
    <row r="744" spans="1:16" ht="15" customHeight="1">
      <c r="A744" s="285"/>
      <c r="B744" s="285"/>
      <c r="C744" s="151">
        <v>11</v>
      </c>
      <c r="D744" s="171" t="s">
        <v>1779</v>
      </c>
      <c r="E744" s="170" t="s">
        <v>669</v>
      </c>
      <c r="F744" s="171" t="s">
        <v>4018</v>
      </c>
      <c r="K744" s="8"/>
      <c r="L744" s="8"/>
      <c r="M744" s="8"/>
      <c r="N744" s="8"/>
      <c r="O744" s="8"/>
      <c r="P744" s="8"/>
    </row>
    <row r="745" spans="1:16" ht="15" customHeight="1">
      <c r="A745" s="285"/>
      <c r="B745" s="285"/>
      <c r="C745" s="151">
        <v>13</v>
      </c>
      <c r="D745" s="175" t="s">
        <v>1778</v>
      </c>
      <c r="E745" s="170" t="s">
        <v>1123</v>
      </c>
      <c r="F745" s="171" t="s">
        <v>4805</v>
      </c>
      <c r="K745" s="8"/>
      <c r="L745" s="8"/>
      <c r="M745" s="8"/>
      <c r="N745" s="8"/>
      <c r="O745" s="8"/>
      <c r="P745" s="8"/>
    </row>
    <row r="746" spans="1:16" ht="15" customHeight="1">
      <c r="A746" s="285"/>
      <c r="B746" s="285"/>
      <c r="C746" s="151">
        <v>14</v>
      </c>
      <c r="D746" s="175" t="s">
        <v>1777</v>
      </c>
      <c r="E746" s="170" t="s">
        <v>2874</v>
      </c>
      <c r="F746" s="213" t="s">
        <v>4894</v>
      </c>
      <c r="K746" s="8"/>
      <c r="L746" s="8"/>
      <c r="M746" s="8"/>
      <c r="N746" s="8"/>
      <c r="O746" s="8"/>
      <c r="P746" s="8"/>
    </row>
    <row r="747" spans="1:16" ht="15" customHeight="1">
      <c r="A747" s="272" t="s">
        <v>4020</v>
      </c>
      <c r="B747" s="272" t="s">
        <v>4019</v>
      </c>
      <c r="C747" s="153">
        <v>0</v>
      </c>
      <c r="D747" s="152" t="s">
        <v>3070</v>
      </c>
      <c r="E747" s="153" t="s">
        <v>669</v>
      </c>
      <c r="F747" s="152" t="s">
        <v>2923</v>
      </c>
      <c r="K747" s="8"/>
      <c r="L747" s="8"/>
      <c r="M747" s="8"/>
      <c r="N747" s="8"/>
      <c r="O747" s="8"/>
      <c r="P747" s="8"/>
    </row>
    <row r="748" spans="1:16" ht="15" customHeight="1">
      <c r="A748" s="292"/>
      <c r="B748" s="292"/>
      <c r="C748" s="153">
        <v>1</v>
      </c>
      <c r="D748" s="152" t="s">
        <v>1772</v>
      </c>
      <c r="E748" s="153" t="s">
        <v>1123</v>
      </c>
      <c r="F748" s="152" t="s">
        <v>4926</v>
      </c>
      <c r="K748" s="8"/>
      <c r="L748" s="8"/>
      <c r="M748" s="8"/>
      <c r="N748" s="8"/>
      <c r="O748" s="8"/>
      <c r="P748" s="8"/>
    </row>
    <row r="749" spans="1:16" ht="15" customHeight="1">
      <c r="A749" s="292"/>
      <c r="B749" s="292"/>
      <c r="C749" s="153">
        <v>2</v>
      </c>
      <c r="D749" s="152" t="s">
        <v>1771</v>
      </c>
      <c r="E749" s="153" t="s">
        <v>1123</v>
      </c>
      <c r="F749" s="152" t="s">
        <v>4021</v>
      </c>
      <c r="K749" s="8"/>
      <c r="L749" s="8"/>
      <c r="M749" s="8"/>
      <c r="N749" s="8"/>
      <c r="O749" s="8"/>
      <c r="P749" s="8"/>
    </row>
    <row r="750" spans="1:16" ht="15" customHeight="1">
      <c r="A750" s="292"/>
      <c r="B750" s="292"/>
      <c r="C750" s="153">
        <v>9</v>
      </c>
      <c r="D750" s="152" t="s">
        <v>1770</v>
      </c>
      <c r="E750" s="153" t="s">
        <v>1123</v>
      </c>
      <c r="F750" s="152" t="s">
        <v>4022</v>
      </c>
      <c r="K750" s="8"/>
      <c r="L750" s="8"/>
      <c r="M750" s="8"/>
      <c r="N750" s="8"/>
      <c r="O750" s="8"/>
      <c r="P750" s="8"/>
    </row>
    <row r="751" spans="1:16" ht="15" customHeight="1">
      <c r="A751" s="292"/>
      <c r="B751" s="292"/>
      <c r="C751" s="153">
        <v>11</v>
      </c>
      <c r="D751" s="152" t="s">
        <v>1769</v>
      </c>
      <c r="E751" s="153" t="s">
        <v>669</v>
      </c>
      <c r="F751" s="152" t="s">
        <v>4023</v>
      </c>
      <c r="K751" s="8"/>
      <c r="L751" s="8"/>
      <c r="M751" s="8"/>
      <c r="N751" s="8"/>
      <c r="O751" s="8"/>
      <c r="P751" s="8"/>
    </row>
    <row r="752" spans="1:16" ht="15" customHeight="1">
      <c r="A752" s="292"/>
      <c r="B752" s="292"/>
      <c r="C752" s="153">
        <v>13</v>
      </c>
      <c r="D752" s="183" t="s">
        <v>1768</v>
      </c>
      <c r="E752" s="153" t="s">
        <v>2874</v>
      </c>
      <c r="F752" s="152" t="s">
        <v>4800</v>
      </c>
      <c r="K752" s="8"/>
      <c r="L752" s="8"/>
      <c r="M752" s="8"/>
      <c r="N752" s="8"/>
      <c r="O752" s="8"/>
      <c r="P752" s="8"/>
    </row>
    <row r="753" spans="1:16" ht="15" customHeight="1">
      <c r="A753" s="273"/>
      <c r="B753" s="273"/>
      <c r="C753" s="153">
        <v>14</v>
      </c>
      <c r="D753" s="183" t="s">
        <v>1767</v>
      </c>
      <c r="E753" s="153" t="s">
        <v>1123</v>
      </c>
      <c r="F753" s="211" t="s">
        <v>4895</v>
      </c>
      <c r="K753" s="8"/>
      <c r="L753" s="8"/>
      <c r="M753" s="8"/>
      <c r="N753" s="8"/>
      <c r="O753" s="8"/>
      <c r="P753" s="8"/>
    </row>
    <row r="754" spans="1:16" ht="15" customHeight="1">
      <c r="A754" s="274" t="s">
        <v>4024</v>
      </c>
      <c r="B754" s="274" t="s">
        <v>4448</v>
      </c>
      <c r="C754" s="151">
        <v>0</v>
      </c>
      <c r="D754" s="171" t="s">
        <v>3069</v>
      </c>
      <c r="E754" s="170" t="s">
        <v>669</v>
      </c>
      <c r="F754" s="171" t="s">
        <v>2923</v>
      </c>
      <c r="K754" s="8"/>
      <c r="L754" s="8"/>
      <c r="M754" s="8"/>
      <c r="N754" s="8"/>
      <c r="O754" s="8"/>
      <c r="P754" s="8"/>
    </row>
    <row r="755" spans="1:16" ht="15" customHeight="1">
      <c r="A755" s="299"/>
      <c r="B755" s="299"/>
      <c r="C755" s="151">
        <v>1</v>
      </c>
      <c r="D755" s="171" t="s">
        <v>1763</v>
      </c>
      <c r="E755" s="170" t="s">
        <v>2874</v>
      </c>
      <c r="F755" s="171" t="s">
        <v>4025</v>
      </c>
      <c r="K755" s="8"/>
      <c r="L755" s="8"/>
      <c r="M755" s="8"/>
      <c r="N755" s="8"/>
      <c r="O755" s="8"/>
      <c r="P755" s="8"/>
    </row>
    <row r="756" spans="1:16" ht="15" customHeight="1">
      <c r="A756" s="299"/>
      <c r="B756" s="299"/>
      <c r="C756" s="151">
        <v>9</v>
      </c>
      <c r="D756" s="171" t="s">
        <v>1761</v>
      </c>
      <c r="E756" s="170" t="s">
        <v>2874</v>
      </c>
      <c r="F756" s="171" t="s">
        <v>4026</v>
      </c>
      <c r="K756" s="8"/>
      <c r="L756" s="8"/>
      <c r="M756" s="8"/>
      <c r="N756" s="8"/>
      <c r="O756" s="8"/>
      <c r="P756" s="8"/>
    </row>
    <row r="757" spans="1:16" ht="15" customHeight="1">
      <c r="A757" s="299"/>
      <c r="B757" s="299"/>
      <c r="C757" s="151">
        <v>10</v>
      </c>
      <c r="D757" s="171" t="s">
        <v>1760</v>
      </c>
      <c r="E757" s="170" t="s">
        <v>669</v>
      </c>
      <c r="F757" s="171" t="s">
        <v>4027</v>
      </c>
      <c r="K757" s="8"/>
      <c r="L757" s="8"/>
      <c r="M757" s="8"/>
      <c r="N757" s="8"/>
      <c r="O757" s="8"/>
      <c r="P757" s="8"/>
    </row>
    <row r="758" spans="1:16" ht="15" customHeight="1">
      <c r="A758" s="275"/>
      <c r="B758" s="275"/>
      <c r="C758" s="151">
        <v>11</v>
      </c>
      <c r="D758" s="171" t="s">
        <v>1762</v>
      </c>
      <c r="E758" s="170" t="s">
        <v>2874</v>
      </c>
      <c r="F758" s="171" t="s">
        <v>4028</v>
      </c>
      <c r="K758" s="8"/>
      <c r="L758" s="8"/>
      <c r="M758" s="8"/>
      <c r="N758" s="8"/>
      <c r="O758" s="8"/>
      <c r="P758" s="8"/>
    </row>
    <row r="759" spans="1:16" ht="15" customHeight="1">
      <c r="A759" s="300" t="s">
        <v>4029</v>
      </c>
      <c r="B759" s="300" t="s">
        <v>4447</v>
      </c>
      <c r="C759" s="153">
        <v>0</v>
      </c>
      <c r="D759" s="152" t="s">
        <v>3068</v>
      </c>
      <c r="E759" s="153" t="s">
        <v>669</v>
      </c>
      <c r="F759" s="152" t="s">
        <v>2923</v>
      </c>
      <c r="K759" s="8"/>
      <c r="L759" s="8"/>
      <c r="M759" s="8"/>
      <c r="N759" s="8"/>
      <c r="O759" s="8"/>
      <c r="P759" s="8"/>
    </row>
    <row r="760" spans="1:16" ht="15" customHeight="1">
      <c r="A760" s="301"/>
      <c r="B760" s="301"/>
      <c r="C760" s="153">
        <v>1</v>
      </c>
      <c r="D760" s="152" t="s">
        <v>1756</v>
      </c>
      <c r="E760" s="153" t="s">
        <v>2874</v>
      </c>
      <c r="F760" s="152" t="s">
        <v>4030</v>
      </c>
      <c r="K760" s="8"/>
      <c r="L760" s="8"/>
      <c r="M760" s="8"/>
      <c r="N760" s="8"/>
      <c r="O760" s="8"/>
      <c r="P760" s="8"/>
    </row>
    <row r="761" spans="1:16" ht="15" customHeight="1">
      <c r="A761" s="301"/>
      <c r="B761" s="301"/>
      <c r="C761" s="153">
        <v>9</v>
      </c>
      <c r="D761" s="152" t="s">
        <v>1754</v>
      </c>
      <c r="E761" s="153" t="s">
        <v>1123</v>
      </c>
      <c r="F761" s="152" t="s">
        <v>4031</v>
      </c>
      <c r="K761" s="8"/>
      <c r="L761" s="8"/>
      <c r="M761" s="8"/>
      <c r="N761" s="8"/>
      <c r="O761" s="8"/>
      <c r="P761" s="8"/>
    </row>
    <row r="762" spans="1:16" ht="15" customHeight="1">
      <c r="A762" s="301"/>
      <c r="B762" s="301"/>
      <c r="C762" s="153">
        <v>10</v>
      </c>
      <c r="D762" s="152" t="s">
        <v>1753</v>
      </c>
      <c r="E762" s="153" t="s">
        <v>669</v>
      </c>
      <c r="F762" s="152" t="s">
        <v>4032</v>
      </c>
      <c r="K762" s="8"/>
      <c r="L762" s="8"/>
      <c r="M762" s="8"/>
      <c r="N762" s="8"/>
      <c r="O762" s="8"/>
      <c r="P762" s="8"/>
    </row>
    <row r="763" spans="1:16" ht="15" customHeight="1">
      <c r="A763" s="302"/>
      <c r="B763" s="302"/>
      <c r="C763" s="153">
        <v>11</v>
      </c>
      <c r="D763" s="152" t="s">
        <v>1755</v>
      </c>
      <c r="E763" s="153" t="s">
        <v>1123</v>
      </c>
      <c r="F763" s="152" t="s">
        <v>4033</v>
      </c>
      <c r="K763" s="8"/>
      <c r="L763" s="8"/>
      <c r="M763" s="8"/>
      <c r="N763" s="8"/>
      <c r="O763" s="8"/>
      <c r="P763" s="8"/>
    </row>
    <row r="764" spans="1:16" ht="15" customHeight="1">
      <c r="A764" s="274" t="s">
        <v>4037</v>
      </c>
      <c r="B764" s="274" t="s">
        <v>4439</v>
      </c>
      <c r="C764" s="151">
        <v>0</v>
      </c>
      <c r="D764" s="171" t="s">
        <v>3067</v>
      </c>
      <c r="E764" s="170" t="s">
        <v>669</v>
      </c>
      <c r="F764" s="171" t="s">
        <v>2923</v>
      </c>
      <c r="K764" s="8"/>
      <c r="L764" s="8"/>
      <c r="M764" s="8"/>
      <c r="N764" s="8"/>
      <c r="O764" s="8"/>
      <c r="P764" s="8"/>
    </row>
    <row r="765" spans="1:16" ht="15" customHeight="1">
      <c r="A765" s="299"/>
      <c r="B765" s="299"/>
      <c r="C765" s="151">
        <v>1</v>
      </c>
      <c r="D765" s="171" t="s">
        <v>1749</v>
      </c>
      <c r="E765" s="170" t="s">
        <v>2874</v>
      </c>
      <c r="F765" s="171" t="s">
        <v>4038</v>
      </c>
      <c r="K765" s="8"/>
      <c r="L765" s="8"/>
      <c r="M765" s="8"/>
      <c r="N765" s="8"/>
      <c r="O765" s="8"/>
      <c r="P765" s="8"/>
    </row>
    <row r="766" spans="1:16" ht="15" customHeight="1">
      <c r="A766" s="299"/>
      <c r="B766" s="299"/>
      <c r="C766" s="151">
        <v>5</v>
      </c>
      <c r="D766" s="171" t="s">
        <v>4034</v>
      </c>
      <c r="E766" s="170" t="s">
        <v>1123</v>
      </c>
      <c r="F766" s="171" t="s">
        <v>4750</v>
      </c>
      <c r="K766" s="8"/>
      <c r="L766" s="8"/>
      <c r="M766" s="8"/>
      <c r="N766" s="8"/>
      <c r="O766" s="8"/>
      <c r="P766" s="8"/>
    </row>
    <row r="767" spans="1:16" ht="15" customHeight="1">
      <c r="A767" s="299"/>
      <c r="B767" s="299"/>
      <c r="C767" s="151">
        <v>9</v>
      </c>
      <c r="D767" s="171" t="s">
        <v>1747</v>
      </c>
      <c r="E767" s="170" t="s">
        <v>2874</v>
      </c>
      <c r="F767" s="171" t="s">
        <v>4039</v>
      </c>
      <c r="K767" s="8"/>
      <c r="L767" s="8"/>
      <c r="M767" s="8"/>
      <c r="N767" s="8"/>
      <c r="O767" s="8"/>
      <c r="P767" s="8"/>
    </row>
    <row r="768" spans="1:16" ht="15" customHeight="1">
      <c r="A768" s="299"/>
      <c r="B768" s="299"/>
      <c r="C768" s="151">
        <v>10</v>
      </c>
      <c r="D768" s="171" t="s">
        <v>4035</v>
      </c>
      <c r="E768" s="170" t="s">
        <v>2874</v>
      </c>
      <c r="F768" s="171" t="s">
        <v>4828</v>
      </c>
      <c r="K768" s="8"/>
      <c r="L768" s="8"/>
      <c r="M768" s="8"/>
      <c r="N768" s="8"/>
      <c r="O768" s="8"/>
      <c r="P768" s="8"/>
    </row>
    <row r="769" spans="1:16" ht="15" customHeight="1">
      <c r="A769" s="299"/>
      <c r="B769" s="299"/>
      <c r="C769" s="151">
        <v>11</v>
      </c>
      <c r="D769" s="171" t="s">
        <v>1745</v>
      </c>
      <c r="E769" s="170" t="s">
        <v>669</v>
      </c>
      <c r="F769" s="171" t="s">
        <v>4040</v>
      </c>
      <c r="K769" s="8"/>
      <c r="L769" s="8"/>
      <c r="M769" s="8"/>
      <c r="N769" s="8"/>
      <c r="O769" s="8"/>
      <c r="P769" s="8"/>
    </row>
    <row r="770" spans="1:16" ht="15" customHeight="1">
      <c r="A770" s="306"/>
      <c r="B770" s="275"/>
      <c r="C770" s="151">
        <v>14</v>
      </c>
      <c r="D770" s="217" t="s">
        <v>4036</v>
      </c>
      <c r="E770" s="170" t="s">
        <v>669</v>
      </c>
      <c r="F770" s="217" t="s">
        <v>2926</v>
      </c>
      <c r="K770" s="8"/>
      <c r="L770" s="8"/>
      <c r="M770" s="8"/>
      <c r="N770" s="8"/>
      <c r="O770" s="8"/>
      <c r="P770" s="8"/>
    </row>
    <row r="771" spans="1:16" ht="15" customHeight="1">
      <c r="A771" s="300" t="s">
        <v>4424</v>
      </c>
      <c r="B771" s="300" t="s">
        <v>4382</v>
      </c>
      <c r="C771" s="153">
        <v>0</v>
      </c>
      <c r="D771" s="152" t="s">
        <v>3066</v>
      </c>
      <c r="E771" s="153" t="s">
        <v>669</v>
      </c>
      <c r="F771" s="152" t="s">
        <v>2923</v>
      </c>
      <c r="K771" s="8"/>
      <c r="L771" s="8"/>
      <c r="M771" s="8"/>
      <c r="N771" s="8"/>
      <c r="O771" s="8"/>
      <c r="P771" s="8"/>
    </row>
    <row r="772" spans="1:16" ht="15" customHeight="1">
      <c r="A772" s="301"/>
      <c r="B772" s="301"/>
      <c r="C772" s="153">
        <v>1</v>
      </c>
      <c r="D772" s="152" t="s">
        <v>1740</v>
      </c>
      <c r="E772" s="153" t="s">
        <v>1123</v>
      </c>
      <c r="F772" s="152" t="s">
        <v>4425</v>
      </c>
      <c r="K772" s="8"/>
      <c r="L772" s="8"/>
      <c r="M772" s="8"/>
      <c r="N772" s="8"/>
      <c r="O772" s="8"/>
      <c r="P772" s="8"/>
    </row>
    <row r="773" spans="1:16" ht="15" customHeight="1">
      <c r="A773" s="301"/>
      <c r="B773" s="301"/>
      <c r="C773" s="153">
        <v>5</v>
      </c>
      <c r="D773" s="152" t="s">
        <v>4871</v>
      </c>
      <c r="E773" s="153" t="s">
        <v>1123</v>
      </c>
      <c r="F773" s="152" t="s">
        <v>4874</v>
      </c>
      <c r="K773" s="8"/>
      <c r="L773" s="8"/>
      <c r="M773" s="8"/>
      <c r="N773" s="8"/>
      <c r="O773" s="8"/>
      <c r="P773" s="8"/>
    </row>
    <row r="774" spans="1:16" ht="15" customHeight="1">
      <c r="A774" s="301"/>
      <c r="B774" s="301"/>
      <c r="C774" s="153">
        <v>9</v>
      </c>
      <c r="D774" s="152" t="s">
        <v>1738</v>
      </c>
      <c r="E774" s="153" t="s">
        <v>1123</v>
      </c>
      <c r="F774" s="152" t="s">
        <v>4863</v>
      </c>
      <c r="K774" s="8"/>
      <c r="L774" s="8"/>
      <c r="M774" s="8"/>
      <c r="N774" s="8"/>
      <c r="O774" s="8"/>
      <c r="P774" s="8"/>
    </row>
    <row r="775" spans="1:16" ht="15" customHeight="1">
      <c r="A775" s="301"/>
      <c r="B775" s="301"/>
      <c r="C775" s="153">
        <v>10</v>
      </c>
      <c r="D775" s="152" t="s">
        <v>4041</v>
      </c>
      <c r="E775" s="153" t="s">
        <v>2874</v>
      </c>
      <c r="F775" s="152" t="s">
        <v>4825</v>
      </c>
      <c r="K775" s="8"/>
      <c r="L775" s="8"/>
      <c r="M775" s="8"/>
      <c r="N775" s="8"/>
      <c r="O775" s="8"/>
      <c r="P775" s="8"/>
    </row>
    <row r="776" spans="1:16" ht="15" customHeight="1">
      <c r="A776" s="301"/>
      <c r="B776" s="301"/>
      <c r="C776" s="153">
        <v>11</v>
      </c>
      <c r="D776" s="152" t="s">
        <v>1736</v>
      </c>
      <c r="E776" s="153" t="s">
        <v>669</v>
      </c>
      <c r="F776" s="152" t="s">
        <v>4465</v>
      </c>
      <c r="K776" s="8"/>
      <c r="L776" s="8"/>
      <c r="M776" s="8"/>
      <c r="N776" s="8"/>
      <c r="O776" s="8"/>
      <c r="P776" s="8"/>
    </row>
    <row r="777" spans="1:16" ht="15" customHeight="1">
      <c r="A777" s="307"/>
      <c r="B777" s="302"/>
      <c r="C777" s="153">
        <v>14</v>
      </c>
      <c r="D777" s="214" t="s">
        <v>1735</v>
      </c>
      <c r="E777" s="153" t="s">
        <v>669</v>
      </c>
      <c r="F777" s="214" t="s">
        <v>2925</v>
      </c>
      <c r="K777" s="8"/>
      <c r="L777" s="8"/>
      <c r="M777" s="8"/>
      <c r="N777" s="8"/>
      <c r="O777" s="8"/>
      <c r="P777" s="8"/>
    </row>
    <row r="778" spans="1:16" ht="15" customHeight="1">
      <c r="A778" s="274" t="s">
        <v>4044</v>
      </c>
      <c r="B778" s="274" t="s">
        <v>4042</v>
      </c>
      <c r="C778" s="151">
        <v>0</v>
      </c>
      <c r="D778" s="171" t="s">
        <v>3065</v>
      </c>
      <c r="E778" s="170" t="s">
        <v>669</v>
      </c>
      <c r="F778" s="171" t="s">
        <v>2920</v>
      </c>
      <c r="K778" s="8"/>
      <c r="L778" s="8"/>
      <c r="M778" s="8"/>
      <c r="N778" s="8"/>
      <c r="O778" s="8"/>
      <c r="P778" s="8"/>
    </row>
    <row r="779" spans="1:16" ht="15" customHeight="1">
      <c r="A779" s="299"/>
      <c r="B779" s="299"/>
      <c r="C779" s="151">
        <v>1</v>
      </c>
      <c r="D779" s="171" t="s">
        <v>1731</v>
      </c>
      <c r="E779" s="170" t="s">
        <v>1123</v>
      </c>
      <c r="F779" s="171" t="s">
        <v>4045</v>
      </c>
      <c r="K779" s="8"/>
      <c r="L779" s="8"/>
      <c r="M779" s="8"/>
      <c r="N779" s="8"/>
      <c r="O779" s="8"/>
      <c r="P779" s="8"/>
    </row>
    <row r="780" spans="1:16" ht="15" customHeight="1">
      <c r="A780" s="299"/>
      <c r="B780" s="299"/>
      <c r="C780" s="151">
        <v>4</v>
      </c>
      <c r="D780" s="171" t="s">
        <v>1730</v>
      </c>
      <c r="E780" s="170" t="s">
        <v>2874</v>
      </c>
      <c r="F780" s="171" t="s">
        <v>4046</v>
      </c>
      <c r="K780" s="8"/>
      <c r="L780" s="8"/>
      <c r="M780" s="8"/>
      <c r="N780" s="8"/>
      <c r="O780" s="8"/>
      <c r="P780" s="8"/>
    </row>
    <row r="781" spans="1:16" ht="15" customHeight="1">
      <c r="A781" s="275"/>
      <c r="B781" s="275"/>
      <c r="C781" s="151">
        <v>9</v>
      </c>
      <c r="D781" s="175" t="s">
        <v>4043</v>
      </c>
      <c r="E781" s="170" t="s">
        <v>2874</v>
      </c>
      <c r="F781" s="171" t="s">
        <v>4047</v>
      </c>
      <c r="K781" s="8"/>
      <c r="L781" s="8"/>
      <c r="M781" s="8"/>
      <c r="N781" s="8"/>
      <c r="O781" s="8"/>
      <c r="P781" s="8"/>
    </row>
    <row r="782" spans="1:16" ht="15" customHeight="1">
      <c r="A782" s="300" t="s">
        <v>4050</v>
      </c>
      <c r="B782" s="300" t="s">
        <v>4979</v>
      </c>
      <c r="C782" s="153">
        <v>0</v>
      </c>
      <c r="D782" s="152" t="s">
        <v>3064</v>
      </c>
      <c r="E782" s="153" t="s">
        <v>669</v>
      </c>
      <c r="F782" s="152" t="s">
        <v>2920</v>
      </c>
      <c r="K782" s="8"/>
      <c r="L782" s="8"/>
      <c r="M782" s="8"/>
      <c r="N782" s="8"/>
      <c r="O782" s="8"/>
      <c r="P782" s="8"/>
    </row>
    <row r="783" spans="1:16" ht="15" customHeight="1">
      <c r="A783" s="301"/>
      <c r="B783" s="301"/>
      <c r="C783" s="153">
        <v>1</v>
      </c>
      <c r="D783" s="152" t="s">
        <v>1726</v>
      </c>
      <c r="E783" s="153" t="s">
        <v>1123</v>
      </c>
      <c r="F783" s="152" t="s">
        <v>4051</v>
      </c>
      <c r="K783" s="8"/>
      <c r="L783" s="8"/>
      <c r="M783" s="8"/>
      <c r="N783" s="8"/>
      <c r="O783" s="8"/>
      <c r="P783" s="8"/>
    </row>
    <row r="784" spans="1:16" ht="15" customHeight="1">
      <c r="A784" s="301"/>
      <c r="B784" s="301"/>
      <c r="C784" s="153">
        <v>4</v>
      </c>
      <c r="D784" s="152" t="s">
        <v>1725</v>
      </c>
      <c r="E784" s="153" t="s">
        <v>669</v>
      </c>
      <c r="F784" s="152" t="s">
        <v>4052</v>
      </c>
      <c r="K784" s="8"/>
      <c r="L784" s="8"/>
      <c r="M784" s="8"/>
      <c r="N784" s="8"/>
      <c r="O784" s="8"/>
      <c r="P784" s="8"/>
    </row>
    <row r="785" spans="1:16" ht="15" customHeight="1">
      <c r="A785" s="301"/>
      <c r="B785" s="301"/>
      <c r="C785" s="153">
        <v>9</v>
      </c>
      <c r="D785" s="152" t="s">
        <v>4048</v>
      </c>
      <c r="E785" s="153" t="s">
        <v>1123</v>
      </c>
      <c r="F785" s="152" t="s">
        <v>4053</v>
      </c>
      <c r="K785" s="8"/>
      <c r="L785" s="8"/>
      <c r="M785" s="8"/>
      <c r="N785" s="8"/>
      <c r="O785" s="8"/>
      <c r="P785" s="8"/>
    </row>
    <row r="786" spans="1:16" ht="15" customHeight="1">
      <c r="A786" s="301"/>
      <c r="B786" s="301"/>
      <c r="C786" s="153">
        <v>11</v>
      </c>
      <c r="D786" s="152" t="s">
        <v>4967</v>
      </c>
      <c r="E786" s="153" t="s">
        <v>2874</v>
      </c>
      <c r="F786" s="152" t="s">
        <v>4973</v>
      </c>
      <c r="K786" s="8"/>
      <c r="L786" s="8"/>
      <c r="M786" s="8"/>
      <c r="N786" s="8"/>
      <c r="O786" s="8"/>
      <c r="P786" s="8"/>
    </row>
    <row r="787" spans="1:16" ht="15" customHeight="1">
      <c r="A787" s="302"/>
      <c r="B787" s="302"/>
      <c r="C787" s="182">
        <v>14</v>
      </c>
      <c r="D787" s="183" t="s">
        <v>4049</v>
      </c>
      <c r="E787" s="182" t="s">
        <v>2874</v>
      </c>
      <c r="F787" s="211" t="s">
        <v>4896</v>
      </c>
      <c r="K787" s="8"/>
      <c r="L787" s="8"/>
      <c r="M787" s="8"/>
      <c r="N787" s="8"/>
      <c r="O787" s="8"/>
      <c r="P787" s="8"/>
    </row>
    <row r="788" spans="1:16" ht="15" customHeight="1">
      <c r="A788" s="274" t="s">
        <v>4054</v>
      </c>
      <c r="B788" s="274" t="s">
        <v>4980</v>
      </c>
      <c r="C788" s="151">
        <v>0</v>
      </c>
      <c r="D788" s="171" t="s">
        <v>3063</v>
      </c>
      <c r="E788" s="170" t="s">
        <v>669</v>
      </c>
      <c r="F788" s="171" t="s">
        <v>2920</v>
      </c>
      <c r="K788" s="8"/>
      <c r="L788" s="8"/>
      <c r="M788" s="8"/>
      <c r="N788" s="8"/>
      <c r="O788" s="8"/>
      <c r="P788" s="8"/>
    </row>
    <row r="789" spans="1:16" ht="15" customHeight="1">
      <c r="A789" s="299"/>
      <c r="B789" s="299"/>
      <c r="C789" s="151">
        <v>1</v>
      </c>
      <c r="D789" s="171" t="s">
        <v>1720</v>
      </c>
      <c r="E789" s="170" t="s">
        <v>2874</v>
      </c>
      <c r="F789" s="171" t="s">
        <v>4055</v>
      </c>
      <c r="K789" s="8"/>
      <c r="L789" s="8"/>
      <c r="M789" s="8"/>
      <c r="N789" s="8"/>
      <c r="O789" s="8"/>
      <c r="P789" s="8"/>
    </row>
    <row r="790" spans="1:16" ht="15" customHeight="1">
      <c r="A790" s="299"/>
      <c r="B790" s="299"/>
      <c r="C790" s="151">
        <v>4</v>
      </c>
      <c r="D790" s="171" t="s">
        <v>1719</v>
      </c>
      <c r="E790" s="170" t="s">
        <v>669</v>
      </c>
      <c r="F790" s="171" t="s">
        <v>4056</v>
      </c>
      <c r="K790" s="8"/>
      <c r="L790" s="8"/>
      <c r="M790" s="8"/>
      <c r="N790" s="8"/>
      <c r="O790" s="8"/>
      <c r="P790" s="8"/>
    </row>
    <row r="791" spans="1:16" ht="15" customHeight="1">
      <c r="A791" s="299"/>
      <c r="B791" s="299"/>
      <c r="C791" s="151">
        <v>11</v>
      </c>
      <c r="D791" s="171" t="s">
        <v>4968</v>
      </c>
      <c r="E791" s="170" t="s">
        <v>669</v>
      </c>
      <c r="F791" s="171" t="s">
        <v>4974</v>
      </c>
      <c r="K791" s="8"/>
      <c r="L791" s="8"/>
      <c r="M791" s="8"/>
      <c r="N791" s="8"/>
      <c r="O791" s="8"/>
      <c r="P791" s="8"/>
    </row>
    <row r="792" spans="1:16" ht="15" customHeight="1">
      <c r="A792" s="299"/>
      <c r="B792" s="299"/>
      <c r="C792" s="151">
        <v>12</v>
      </c>
      <c r="D792" s="171" t="s">
        <v>1718</v>
      </c>
      <c r="E792" s="170" t="s">
        <v>669</v>
      </c>
      <c r="F792" s="171" t="s">
        <v>4057</v>
      </c>
      <c r="K792" s="8"/>
      <c r="L792" s="8"/>
      <c r="M792" s="8"/>
      <c r="N792" s="8"/>
      <c r="O792" s="8"/>
      <c r="P792" s="8"/>
    </row>
    <row r="793" spans="1:16" ht="15" customHeight="1">
      <c r="A793" s="275"/>
      <c r="B793" s="275"/>
      <c r="C793" s="151">
        <v>14</v>
      </c>
      <c r="D793" s="175" t="s">
        <v>1717</v>
      </c>
      <c r="E793" s="170" t="s">
        <v>1123</v>
      </c>
      <c r="F793" s="213" t="s">
        <v>4897</v>
      </c>
      <c r="K793" s="8"/>
      <c r="L793" s="8"/>
      <c r="M793" s="8"/>
      <c r="N793" s="8"/>
      <c r="O793" s="8"/>
      <c r="P793" s="8"/>
    </row>
    <row r="794" spans="1:16" ht="15" customHeight="1">
      <c r="A794" s="300" t="s">
        <v>4058</v>
      </c>
      <c r="B794" s="300" t="s">
        <v>4987</v>
      </c>
      <c r="C794" s="153">
        <v>0</v>
      </c>
      <c r="D794" s="152" t="s">
        <v>3062</v>
      </c>
      <c r="E794" s="153" t="s">
        <v>669</v>
      </c>
      <c r="F794" s="152" t="s">
        <v>2920</v>
      </c>
      <c r="K794" s="8"/>
      <c r="L794" s="8"/>
      <c r="M794" s="8"/>
      <c r="N794" s="8"/>
      <c r="O794" s="8"/>
      <c r="P794" s="8"/>
    </row>
    <row r="795" spans="1:16" ht="15" customHeight="1">
      <c r="A795" s="301"/>
      <c r="B795" s="301"/>
      <c r="C795" s="153">
        <v>1</v>
      </c>
      <c r="D795" s="152" t="s">
        <v>1714</v>
      </c>
      <c r="E795" s="153" t="s">
        <v>669</v>
      </c>
      <c r="F795" s="152" t="s">
        <v>4059</v>
      </c>
      <c r="K795" s="8"/>
      <c r="L795" s="8"/>
      <c r="M795" s="8"/>
      <c r="N795" s="8"/>
      <c r="O795" s="8"/>
      <c r="P795" s="8"/>
    </row>
    <row r="796" spans="1:16" ht="15" customHeight="1">
      <c r="A796" s="301"/>
      <c r="B796" s="301"/>
      <c r="C796" s="153">
        <v>4</v>
      </c>
      <c r="D796" s="152" t="s">
        <v>1713</v>
      </c>
      <c r="E796" s="153" t="s">
        <v>1123</v>
      </c>
      <c r="F796" s="152" t="s">
        <v>4060</v>
      </c>
      <c r="K796" s="8"/>
      <c r="L796" s="8"/>
      <c r="M796" s="8"/>
      <c r="N796" s="8"/>
      <c r="O796" s="8"/>
      <c r="P796" s="8"/>
    </row>
    <row r="797" spans="1:16" ht="15" customHeight="1">
      <c r="A797" s="301"/>
      <c r="B797" s="301"/>
      <c r="C797" s="153">
        <v>11</v>
      </c>
      <c r="D797" s="152" t="s">
        <v>4969</v>
      </c>
      <c r="E797" s="153" t="s">
        <v>669</v>
      </c>
      <c r="F797" s="152" t="s">
        <v>4975</v>
      </c>
      <c r="K797" s="8"/>
      <c r="L797" s="8"/>
      <c r="M797" s="8"/>
      <c r="N797" s="8"/>
      <c r="O797" s="8"/>
      <c r="P797" s="8"/>
    </row>
    <row r="798" spans="1:16" ht="15" customHeight="1">
      <c r="A798" s="301"/>
      <c r="B798" s="301"/>
      <c r="C798" s="153">
        <v>12</v>
      </c>
      <c r="D798" s="152" t="s">
        <v>1712</v>
      </c>
      <c r="E798" s="153" t="s">
        <v>669</v>
      </c>
      <c r="F798" s="152" t="s">
        <v>4061</v>
      </c>
      <c r="K798" s="8"/>
      <c r="L798" s="8"/>
      <c r="M798" s="8"/>
      <c r="N798" s="8"/>
      <c r="O798" s="8"/>
      <c r="P798" s="8"/>
    </row>
    <row r="799" spans="1:16" ht="15" customHeight="1">
      <c r="A799" s="302"/>
      <c r="B799" s="302"/>
      <c r="C799" s="153">
        <v>14</v>
      </c>
      <c r="D799" s="183" t="s">
        <v>1711</v>
      </c>
      <c r="E799" s="153" t="s">
        <v>1123</v>
      </c>
      <c r="F799" s="211" t="s">
        <v>4898</v>
      </c>
      <c r="K799" s="8"/>
      <c r="L799" s="8"/>
      <c r="M799" s="8"/>
      <c r="N799" s="8"/>
      <c r="O799" s="8"/>
      <c r="P799" s="8"/>
    </row>
    <row r="800" spans="1:16" ht="15" customHeight="1">
      <c r="A800" s="293" t="s">
        <v>4065</v>
      </c>
      <c r="B800" s="293" t="s">
        <v>4064</v>
      </c>
      <c r="C800" s="151">
        <v>0</v>
      </c>
      <c r="D800" s="171" t="s">
        <v>3061</v>
      </c>
      <c r="E800" s="170" t="s">
        <v>669</v>
      </c>
      <c r="F800" s="171" t="s">
        <v>2920</v>
      </c>
      <c r="K800" s="8"/>
      <c r="L800" s="8"/>
      <c r="M800" s="8"/>
      <c r="N800" s="8"/>
      <c r="O800" s="8"/>
      <c r="P800" s="8"/>
    </row>
    <row r="801" spans="1:16" ht="15" customHeight="1">
      <c r="A801" s="294"/>
      <c r="B801" s="294"/>
      <c r="C801" s="151">
        <v>1</v>
      </c>
      <c r="D801" s="171" t="s">
        <v>1707</v>
      </c>
      <c r="E801" s="170" t="s">
        <v>669</v>
      </c>
      <c r="F801" s="171" t="s">
        <v>4066</v>
      </c>
      <c r="K801" s="8"/>
      <c r="L801" s="8"/>
      <c r="M801" s="8"/>
      <c r="N801" s="8"/>
      <c r="O801" s="8"/>
      <c r="P801" s="8"/>
    </row>
    <row r="802" spans="1:16" ht="15" customHeight="1">
      <c r="A802" s="294"/>
      <c r="B802" s="294"/>
      <c r="C802" s="151">
        <v>4</v>
      </c>
      <c r="D802" s="171" t="s">
        <v>1705</v>
      </c>
      <c r="E802" s="170" t="s">
        <v>669</v>
      </c>
      <c r="F802" s="171" t="s">
        <v>4067</v>
      </c>
      <c r="K802" s="8"/>
      <c r="L802" s="8"/>
      <c r="M802" s="8"/>
      <c r="N802" s="8"/>
      <c r="O802" s="8"/>
      <c r="P802" s="8"/>
    </row>
    <row r="803" spans="1:16" ht="15" customHeight="1">
      <c r="A803" s="294"/>
      <c r="B803" s="294"/>
      <c r="C803" s="151">
        <v>5</v>
      </c>
      <c r="D803" s="171" t="s">
        <v>4062</v>
      </c>
      <c r="E803" s="170" t="s">
        <v>1123</v>
      </c>
      <c r="F803" s="171" t="s">
        <v>4751</v>
      </c>
      <c r="K803" s="8"/>
      <c r="L803" s="8"/>
      <c r="M803" s="8"/>
      <c r="N803" s="8"/>
      <c r="O803" s="8"/>
      <c r="P803" s="8"/>
    </row>
    <row r="804" spans="1:16" ht="15" customHeight="1">
      <c r="A804" s="294"/>
      <c r="B804" s="294"/>
      <c r="C804" s="151">
        <v>6</v>
      </c>
      <c r="D804" s="171" t="s">
        <v>4063</v>
      </c>
      <c r="E804" s="170" t="s">
        <v>1123</v>
      </c>
      <c r="F804" s="171" t="s">
        <v>4957</v>
      </c>
      <c r="K804" s="8"/>
      <c r="L804" s="8"/>
      <c r="M804" s="8"/>
      <c r="N804" s="8"/>
      <c r="O804" s="8"/>
      <c r="P804" s="8"/>
    </row>
    <row r="805" spans="1:16" ht="15" customHeight="1">
      <c r="A805" s="294"/>
      <c r="B805" s="294"/>
      <c r="C805" s="151">
        <v>9</v>
      </c>
      <c r="D805" s="175" t="s">
        <v>1703</v>
      </c>
      <c r="E805" s="170" t="s">
        <v>2874</v>
      </c>
      <c r="F805" s="171" t="s">
        <v>4385</v>
      </c>
      <c r="K805" s="8"/>
      <c r="L805" s="8"/>
      <c r="M805" s="8"/>
      <c r="N805" s="8"/>
      <c r="O805" s="8"/>
      <c r="P805" s="8"/>
    </row>
    <row r="806" spans="1:16" ht="15" customHeight="1">
      <c r="A806" s="294"/>
      <c r="B806" s="294"/>
      <c r="C806" s="151">
        <v>11</v>
      </c>
      <c r="D806" s="171" t="s">
        <v>1702</v>
      </c>
      <c r="E806" s="170" t="s">
        <v>669</v>
      </c>
      <c r="F806" s="171" t="s">
        <v>4068</v>
      </c>
      <c r="K806" s="8"/>
      <c r="L806" s="8"/>
      <c r="M806" s="8"/>
      <c r="N806" s="8"/>
      <c r="O806" s="8"/>
      <c r="P806" s="8"/>
    </row>
    <row r="807" spans="1:16" ht="15" customHeight="1">
      <c r="A807" s="295"/>
      <c r="B807" s="295"/>
      <c r="C807" s="151">
        <v>12</v>
      </c>
      <c r="D807" s="175" t="s">
        <v>3006</v>
      </c>
      <c r="E807" s="174" t="s">
        <v>669</v>
      </c>
      <c r="F807" s="171" t="s">
        <v>4791</v>
      </c>
      <c r="K807" s="8"/>
      <c r="L807" s="8"/>
      <c r="M807" s="8"/>
      <c r="N807" s="8"/>
      <c r="O807" s="8"/>
      <c r="P807" s="8"/>
    </row>
    <row r="808" spans="1:16" ht="15" customHeight="1">
      <c r="A808" s="272" t="s">
        <v>1701</v>
      </c>
      <c r="B808" s="272" t="s">
        <v>4069</v>
      </c>
      <c r="C808" s="153">
        <v>0</v>
      </c>
      <c r="D808" s="152" t="s">
        <v>3060</v>
      </c>
      <c r="E808" s="153" t="s">
        <v>669</v>
      </c>
      <c r="F808" s="152" t="s">
        <v>4924</v>
      </c>
      <c r="K808" s="8"/>
      <c r="L808" s="8"/>
      <c r="M808" s="8"/>
      <c r="N808" s="8"/>
      <c r="O808" s="8"/>
      <c r="P808" s="8"/>
    </row>
    <row r="809" spans="1:16" ht="15" customHeight="1">
      <c r="A809" s="292"/>
      <c r="B809" s="292"/>
      <c r="C809" s="153">
        <v>1</v>
      </c>
      <c r="D809" s="152" t="s">
        <v>1698</v>
      </c>
      <c r="E809" s="153" t="s">
        <v>2874</v>
      </c>
      <c r="F809" s="152" t="s">
        <v>4417</v>
      </c>
      <c r="K809" s="8"/>
      <c r="L809" s="8"/>
      <c r="M809" s="8"/>
      <c r="N809" s="8"/>
      <c r="O809" s="8"/>
      <c r="P809" s="8"/>
    </row>
    <row r="810" spans="1:16" ht="15" customHeight="1">
      <c r="A810" s="292"/>
      <c r="B810" s="292"/>
      <c r="C810" s="153">
        <v>5</v>
      </c>
      <c r="D810" s="152" t="s">
        <v>4870</v>
      </c>
      <c r="E810" s="153" t="s">
        <v>2874</v>
      </c>
      <c r="F810" s="152" t="s">
        <v>4869</v>
      </c>
      <c r="K810" s="8"/>
      <c r="L810" s="8"/>
      <c r="M810" s="8"/>
      <c r="N810" s="8"/>
      <c r="O810" s="8"/>
      <c r="P810" s="8"/>
    </row>
    <row r="811" spans="1:16" ht="15" customHeight="1">
      <c r="A811" s="292"/>
      <c r="B811" s="292"/>
      <c r="C811" s="153">
        <v>6</v>
      </c>
      <c r="D811" s="183" t="s">
        <v>1697</v>
      </c>
      <c r="E811" s="153" t="s">
        <v>2874</v>
      </c>
      <c r="F811" s="152" t="s">
        <v>4760</v>
      </c>
      <c r="K811" s="8"/>
      <c r="L811" s="8"/>
      <c r="M811" s="8"/>
      <c r="N811" s="8"/>
      <c r="O811" s="8"/>
      <c r="P811" s="8"/>
    </row>
    <row r="812" spans="1:16" ht="15" customHeight="1">
      <c r="A812" s="292"/>
      <c r="B812" s="292"/>
      <c r="C812" s="153">
        <v>7</v>
      </c>
      <c r="D812" s="152" t="s">
        <v>1691</v>
      </c>
      <c r="E812" s="153" t="s">
        <v>2874</v>
      </c>
      <c r="F812" s="152" t="s">
        <v>4893</v>
      </c>
      <c r="K812" s="8"/>
      <c r="L812" s="8"/>
      <c r="M812" s="8"/>
      <c r="N812" s="8"/>
      <c r="O812" s="8"/>
      <c r="P812" s="8"/>
    </row>
    <row r="813" spans="1:16" ht="15" customHeight="1">
      <c r="A813" s="292"/>
      <c r="B813" s="292"/>
      <c r="C813" s="153">
        <v>9</v>
      </c>
      <c r="D813" s="183" t="s">
        <v>1695</v>
      </c>
      <c r="E813" s="153" t="s">
        <v>1123</v>
      </c>
      <c r="F813" s="152" t="s">
        <v>4866</v>
      </c>
      <c r="K813" s="8"/>
      <c r="L813" s="8"/>
      <c r="M813" s="8"/>
      <c r="N813" s="8"/>
      <c r="O813" s="8"/>
      <c r="P813" s="8"/>
    </row>
    <row r="814" spans="1:16" ht="15" customHeight="1">
      <c r="A814" s="292"/>
      <c r="B814" s="292"/>
      <c r="C814" s="153">
        <v>10</v>
      </c>
      <c r="D814" s="152" t="s">
        <v>1694</v>
      </c>
      <c r="E814" s="153" t="s">
        <v>669</v>
      </c>
      <c r="F814" s="152" t="s">
        <v>4833</v>
      </c>
      <c r="K814" s="8"/>
      <c r="L814" s="8"/>
      <c r="M814" s="8"/>
      <c r="N814" s="8"/>
      <c r="O814" s="8"/>
      <c r="P814" s="8"/>
    </row>
    <row r="815" spans="1:16" ht="15" customHeight="1">
      <c r="A815" s="292"/>
      <c r="B815" s="292"/>
      <c r="C815" s="153">
        <v>11</v>
      </c>
      <c r="D815" s="152" t="s">
        <v>1693</v>
      </c>
      <c r="E815" s="153" t="s">
        <v>669</v>
      </c>
      <c r="F815" s="152" t="s">
        <v>4466</v>
      </c>
      <c r="K815" s="8"/>
      <c r="L815" s="8"/>
      <c r="M815" s="8"/>
      <c r="N815" s="8"/>
      <c r="O815" s="8"/>
      <c r="P815" s="8"/>
    </row>
    <row r="816" spans="1:16" ht="15" customHeight="1">
      <c r="A816" s="273"/>
      <c r="B816" s="273"/>
      <c r="C816" s="153">
        <v>13</v>
      </c>
      <c r="D816" s="183" t="s">
        <v>1692</v>
      </c>
      <c r="E816" s="182" t="s">
        <v>2157</v>
      </c>
      <c r="F816" s="152" t="s">
        <v>4801</v>
      </c>
      <c r="K816" s="8"/>
      <c r="L816" s="8"/>
      <c r="M816" s="8"/>
      <c r="N816" s="8"/>
      <c r="O816" s="8"/>
      <c r="P816" s="8"/>
    </row>
    <row r="817" spans="1:16" ht="15" customHeight="1">
      <c r="A817" s="274" t="s">
        <v>1690</v>
      </c>
      <c r="B817" s="274" t="s">
        <v>4075</v>
      </c>
      <c r="C817" s="184">
        <v>0</v>
      </c>
      <c r="D817" s="185" t="s">
        <v>4070</v>
      </c>
      <c r="E817" s="184" t="s">
        <v>669</v>
      </c>
      <c r="F817" s="212" t="s">
        <v>2923</v>
      </c>
      <c r="K817" s="8"/>
      <c r="L817" s="8"/>
      <c r="M817" s="8"/>
      <c r="N817" s="8"/>
      <c r="O817" s="8"/>
      <c r="P817" s="8"/>
    </row>
    <row r="818" spans="1:16" ht="32.25" customHeight="1">
      <c r="A818" s="299"/>
      <c r="B818" s="299"/>
      <c r="C818" s="184">
        <v>1</v>
      </c>
      <c r="D818" s="185" t="s">
        <v>4071</v>
      </c>
      <c r="E818" s="184" t="s">
        <v>1123</v>
      </c>
      <c r="F818" s="185" t="s">
        <v>4917</v>
      </c>
      <c r="K818" s="8"/>
      <c r="L818" s="8"/>
      <c r="M818" s="8"/>
      <c r="N818" s="8"/>
      <c r="O818" s="8"/>
      <c r="P818" s="8"/>
    </row>
    <row r="819" spans="1:16" ht="15" customHeight="1">
      <c r="A819" s="299"/>
      <c r="B819" s="299"/>
      <c r="C819" s="184">
        <v>6</v>
      </c>
      <c r="D819" s="185" t="s">
        <v>4072</v>
      </c>
      <c r="E819" s="184" t="s">
        <v>2874</v>
      </c>
      <c r="F819" s="185" t="s">
        <v>4486</v>
      </c>
      <c r="K819" s="8"/>
      <c r="L819" s="8"/>
      <c r="M819" s="8"/>
      <c r="N819" s="8"/>
      <c r="O819" s="8"/>
      <c r="P819" s="8"/>
    </row>
    <row r="820" spans="1:16" ht="15" customHeight="1">
      <c r="A820" s="299"/>
      <c r="B820" s="299"/>
      <c r="C820" s="184">
        <v>12</v>
      </c>
      <c r="D820" s="185" t="s">
        <v>4073</v>
      </c>
      <c r="E820" s="184" t="s">
        <v>669</v>
      </c>
      <c r="F820" s="185" t="s">
        <v>4792</v>
      </c>
      <c r="K820" s="8"/>
      <c r="L820" s="8"/>
      <c r="M820" s="8"/>
      <c r="N820" s="8"/>
      <c r="O820" s="8"/>
      <c r="P820" s="8"/>
    </row>
    <row r="821" spans="1:16" ht="15" customHeight="1">
      <c r="A821" s="299"/>
      <c r="B821" s="299"/>
      <c r="C821" s="184">
        <v>13</v>
      </c>
      <c r="D821" s="185" t="s">
        <v>4074</v>
      </c>
      <c r="E821" s="184" t="s">
        <v>1123</v>
      </c>
      <c r="F821" s="185" t="s">
        <v>4806</v>
      </c>
      <c r="K821" s="8"/>
      <c r="L821" s="8"/>
      <c r="M821" s="8"/>
      <c r="N821" s="8"/>
      <c r="O821" s="8"/>
      <c r="P821" s="8"/>
    </row>
    <row r="822" spans="1:16" ht="15" customHeight="1">
      <c r="A822" s="275"/>
      <c r="B822" s="275"/>
      <c r="C822" s="184">
        <v>14</v>
      </c>
      <c r="D822" s="185" t="s">
        <v>4076</v>
      </c>
      <c r="E822" s="184" t="s">
        <v>1123</v>
      </c>
      <c r="F822" s="212" t="s">
        <v>4905</v>
      </c>
      <c r="K822" s="8"/>
      <c r="L822" s="8"/>
      <c r="M822" s="8"/>
      <c r="N822" s="8"/>
      <c r="O822" s="8"/>
      <c r="P822" s="8"/>
    </row>
    <row r="823" spans="1:16" ht="15" customHeight="1">
      <c r="A823" s="187" t="s">
        <v>1682</v>
      </c>
      <c r="B823" s="205" t="s">
        <v>270</v>
      </c>
      <c r="C823" s="193" t="s">
        <v>2852</v>
      </c>
      <c r="D823" s="196" t="s">
        <v>270</v>
      </c>
      <c r="E823" s="193" t="s">
        <v>505</v>
      </c>
      <c r="F823" s="196" t="s">
        <v>3059</v>
      </c>
      <c r="K823" s="8"/>
      <c r="L823" s="8"/>
      <c r="M823" s="8"/>
      <c r="N823" s="8"/>
      <c r="O823" s="8"/>
      <c r="P823" s="8"/>
    </row>
    <row r="824" spans="1:16" ht="15" customHeight="1">
      <c r="A824" s="155" t="s">
        <v>1681</v>
      </c>
      <c r="B824" s="154"/>
      <c r="C824" s="159"/>
      <c r="D824" s="154"/>
      <c r="E824" s="155"/>
      <c r="F824" s="158"/>
      <c r="K824" s="8"/>
      <c r="L824" s="8"/>
      <c r="M824" s="8"/>
      <c r="N824" s="8"/>
      <c r="O824" s="8"/>
      <c r="P824" s="8"/>
    </row>
    <row r="825" spans="1:16" ht="15" customHeight="1">
      <c r="A825" s="285" t="s">
        <v>4415</v>
      </c>
      <c r="B825" s="285" t="s">
        <v>4699</v>
      </c>
      <c r="C825" s="174">
        <v>0</v>
      </c>
      <c r="D825" s="175" t="s">
        <v>3055</v>
      </c>
      <c r="E825" s="174" t="s">
        <v>669</v>
      </c>
      <c r="F825" s="175" t="s">
        <v>2923</v>
      </c>
      <c r="K825" s="8"/>
      <c r="L825" s="8"/>
      <c r="M825" s="8"/>
      <c r="N825" s="8"/>
      <c r="O825" s="8"/>
      <c r="P825" s="8"/>
    </row>
    <row r="826" spans="1:16" ht="15" customHeight="1">
      <c r="A826" s="285"/>
      <c r="B826" s="285"/>
      <c r="C826" s="174">
        <v>1</v>
      </c>
      <c r="D826" s="175" t="s">
        <v>4077</v>
      </c>
      <c r="E826" s="174" t="s">
        <v>2874</v>
      </c>
      <c r="F826" s="223" t="s">
        <v>4418</v>
      </c>
      <c r="K826" s="8"/>
      <c r="L826" s="8"/>
      <c r="M826" s="8"/>
      <c r="N826" s="8"/>
      <c r="O826" s="8"/>
      <c r="P826" s="8"/>
    </row>
    <row r="827" spans="1:16" ht="15" customHeight="1">
      <c r="A827" s="285"/>
      <c r="B827" s="285"/>
      <c r="C827" s="174">
        <v>2</v>
      </c>
      <c r="D827" s="175" t="s">
        <v>1676</v>
      </c>
      <c r="E827" s="174" t="s">
        <v>669</v>
      </c>
      <c r="F827" s="175" t="s">
        <v>4674</v>
      </c>
      <c r="K827" s="8"/>
      <c r="L827" s="8"/>
      <c r="M827" s="8"/>
      <c r="N827" s="8"/>
      <c r="O827" s="8"/>
      <c r="P827" s="8"/>
    </row>
    <row r="828" spans="1:16" ht="15" customHeight="1">
      <c r="A828" s="285"/>
      <c r="B828" s="285"/>
      <c r="C828" s="174">
        <v>3</v>
      </c>
      <c r="D828" s="175" t="s">
        <v>1675</v>
      </c>
      <c r="E828" s="174" t="s">
        <v>669</v>
      </c>
      <c r="F828" s="175" t="s">
        <v>4882</v>
      </c>
      <c r="K828" s="8"/>
      <c r="L828" s="8"/>
      <c r="M828" s="8"/>
      <c r="N828" s="8"/>
      <c r="O828" s="8"/>
      <c r="P828" s="8"/>
    </row>
    <row r="829" spans="1:16" ht="15" customHeight="1">
      <c r="A829" s="285"/>
      <c r="B829" s="285"/>
      <c r="C829" s="174">
        <v>4</v>
      </c>
      <c r="D829" s="175" t="s">
        <v>1674</v>
      </c>
      <c r="E829" s="174" t="s">
        <v>1123</v>
      </c>
      <c r="F829" s="175" t="s">
        <v>4713</v>
      </c>
      <c r="K829" s="8"/>
      <c r="L829" s="8"/>
      <c r="M829" s="8"/>
      <c r="N829" s="8"/>
      <c r="O829" s="8"/>
      <c r="P829" s="8"/>
    </row>
    <row r="830" spans="1:16" ht="15" customHeight="1">
      <c r="A830" s="285"/>
      <c r="B830" s="285"/>
      <c r="C830" s="174">
        <v>5</v>
      </c>
      <c r="D830" s="175" t="s">
        <v>1673</v>
      </c>
      <c r="E830" s="174" t="s">
        <v>1123</v>
      </c>
      <c r="F830" s="175" t="s">
        <v>4757</v>
      </c>
      <c r="K830" s="8"/>
      <c r="L830" s="8"/>
      <c r="M830" s="8"/>
      <c r="N830" s="8"/>
      <c r="O830" s="8"/>
      <c r="P830" s="8"/>
    </row>
    <row r="831" spans="1:16" ht="15" customHeight="1">
      <c r="A831" s="285"/>
      <c r="B831" s="285"/>
      <c r="C831" s="174">
        <v>6</v>
      </c>
      <c r="D831" s="175" t="s">
        <v>4078</v>
      </c>
      <c r="E831" s="174" t="s">
        <v>1123</v>
      </c>
      <c r="F831" s="175" t="s">
        <v>4771</v>
      </c>
      <c r="K831" s="8"/>
      <c r="L831" s="8"/>
      <c r="M831" s="8"/>
      <c r="N831" s="8"/>
      <c r="O831" s="8"/>
      <c r="P831" s="8"/>
    </row>
    <row r="832" spans="1:16" ht="15" customHeight="1">
      <c r="A832" s="285"/>
      <c r="B832" s="285"/>
      <c r="C832" s="174">
        <v>9</v>
      </c>
      <c r="D832" s="175" t="s">
        <v>1671</v>
      </c>
      <c r="E832" s="174" t="s">
        <v>2874</v>
      </c>
      <c r="F832" s="175" t="s">
        <v>4416</v>
      </c>
      <c r="K832" s="8"/>
      <c r="L832" s="8"/>
      <c r="M832" s="8"/>
      <c r="N832" s="8"/>
      <c r="O832" s="8"/>
      <c r="P832" s="8"/>
    </row>
    <row r="833" spans="1:16" ht="15" customHeight="1">
      <c r="A833" s="285"/>
      <c r="B833" s="285"/>
      <c r="C833" s="174">
        <v>11</v>
      </c>
      <c r="D833" s="175" t="s">
        <v>4079</v>
      </c>
      <c r="E833" s="174" t="s">
        <v>669</v>
      </c>
      <c r="F833" s="175" t="s">
        <v>4482</v>
      </c>
      <c r="K833" s="8"/>
      <c r="L833" s="8"/>
      <c r="M833" s="8"/>
      <c r="N833" s="8"/>
      <c r="O833" s="8"/>
      <c r="P833" s="8"/>
    </row>
    <row r="834" spans="1:16" ht="15" customHeight="1">
      <c r="A834" s="285"/>
      <c r="B834" s="285"/>
      <c r="C834" s="174">
        <v>12</v>
      </c>
      <c r="D834" s="175" t="s">
        <v>4080</v>
      </c>
      <c r="E834" s="174" t="s">
        <v>669</v>
      </c>
      <c r="F834" s="175" t="s">
        <v>4790</v>
      </c>
      <c r="K834" s="8"/>
      <c r="L834" s="8"/>
      <c r="M834" s="8"/>
      <c r="N834" s="8"/>
      <c r="O834" s="8"/>
      <c r="P834" s="8"/>
    </row>
    <row r="835" spans="1:16" ht="15" customHeight="1">
      <c r="A835" s="284" t="s">
        <v>4413</v>
      </c>
      <c r="B835" s="284" t="s">
        <v>4700</v>
      </c>
      <c r="C835" s="182">
        <v>0</v>
      </c>
      <c r="D835" s="183" t="s">
        <v>3054</v>
      </c>
      <c r="E835" s="182" t="s">
        <v>669</v>
      </c>
      <c r="F835" s="183" t="s">
        <v>2923</v>
      </c>
      <c r="K835" s="8"/>
      <c r="L835" s="8"/>
      <c r="M835" s="8"/>
      <c r="N835" s="8"/>
      <c r="O835" s="8"/>
      <c r="P835" s="8"/>
    </row>
    <row r="836" spans="1:16" ht="15" customHeight="1">
      <c r="A836" s="284"/>
      <c r="B836" s="284"/>
      <c r="C836" s="182">
        <v>1</v>
      </c>
      <c r="D836" s="183" t="s">
        <v>1665</v>
      </c>
      <c r="E836" s="182" t="s">
        <v>1123</v>
      </c>
      <c r="F836" s="183" t="s">
        <v>4420</v>
      </c>
      <c r="K836" s="8"/>
      <c r="L836" s="8"/>
      <c r="M836" s="8"/>
      <c r="N836" s="8"/>
      <c r="O836" s="8"/>
      <c r="P836" s="8"/>
    </row>
    <row r="837" spans="1:16" ht="15" customHeight="1">
      <c r="A837" s="284"/>
      <c r="B837" s="284"/>
      <c r="C837" s="182">
        <v>2</v>
      </c>
      <c r="D837" s="183" t="s">
        <v>1664</v>
      </c>
      <c r="E837" s="182" t="s">
        <v>669</v>
      </c>
      <c r="F837" s="183" t="s">
        <v>4682</v>
      </c>
      <c r="K837" s="8"/>
      <c r="L837" s="8"/>
      <c r="M837" s="8"/>
      <c r="N837" s="8"/>
      <c r="O837" s="8"/>
      <c r="P837" s="8"/>
    </row>
    <row r="838" spans="1:16" ht="15" customHeight="1">
      <c r="A838" s="284"/>
      <c r="B838" s="284"/>
      <c r="C838" s="182">
        <v>3</v>
      </c>
      <c r="D838" s="183" t="s">
        <v>1663</v>
      </c>
      <c r="E838" s="182" t="s">
        <v>669</v>
      </c>
      <c r="F838" s="183" t="s">
        <v>4883</v>
      </c>
      <c r="K838" s="8"/>
      <c r="L838" s="8"/>
      <c r="M838" s="8"/>
      <c r="N838" s="8"/>
      <c r="O838" s="8"/>
      <c r="P838" s="8"/>
    </row>
    <row r="839" spans="1:16" ht="15" customHeight="1">
      <c r="A839" s="284"/>
      <c r="B839" s="284"/>
      <c r="C839" s="182">
        <v>4</v>
      </c>
      <c r="D839" s="183" t="s">
        <v>1662</v>
      </c>
      <c r="E839" s="182" t="s">
        <v>1123</v>
      </c>
      <c r="F839" s="183" t="s">
        <v>4714</v>
      </c>
      <c r="K839" s="8"/>
      <c r="L839" s="8"/>
      <c r="M839" s="8"/>
      <c r="N839" s="8"/>
      <c r="O839" s="8"/>
      <c r="P839" s="8"/>
    </row>
    <row r="840" spans="1:16" ht="15" customHeight="1">
      <c r="A840" s="284"/>
      <c r="B840" s="284"/>
      <c r="C840" s="182">
        <v>5</v>
      </c>
      <c r="D840" s="183" t="s">
        <v>1661</v>
      </c>
      <c r="E840" s="182" t="s">
        <v>2874</v>
      </c>
      <c r="F840" s="183" t="s">
        <v>4741</v>
      </c>
      <c r="K840" s="8"/>
      <c r="L840" s="8"/>
      <c r="M840" s="8"/>
      <c r="N840" s="8"/>
      <c r="O840" s="8"/>
      <c r="P840" s="8"/>
    </row>
    <row r="841" spans="1:16" ht="15" customHeight="1">
      <c r="A841" s="284"/>
      <c r="B841" s="284"/>
      <c r="C841" s="182">
        <v>6</v>
      </c>
      <c r="D841" s="183" t="s">
        <v>1660</v>
      </c>
      <c r="E841" s="182" t="s">
        <v>1123</v>
      </c>
      <c r="F841" s="183" t="s">
        <v>4772</v>
      </c>
      <c r="K841" s="8"/>
      <c r="L841" s="8"/>
      <c r="M841" s="8"/>
      <c r="N841" s="8"/>
      <c r="O841" s="8"/>
      <c r="P841" s="8"/>
    </row>
    <row r="842" spans="1:16" ht="15" customHeight="1">
      <c r="A842" s="284"/>
      <c r="B842" s="284"/>
      <c r="C842" s="182">
        <v>9</v>
      </c>
      <c r="D842" s="183" t="s">
        <v>1659</v>
      </c>
      <c r="E842" s="182" t="s">
        <v>1123</v>
      </c>
      <c r="F842" s="183" t="s">
        <v>4414</v>
      </c>
      <c r="K842" s="8"/>
      <c r="L842" s="8"/>
      <c r="M842" s="8"/>
      <c r="N842" s="8"/>
      <c r="O842" s="8"/>
      <c r="P842" s="8"/>
    </row>
    <row r="843" spans="1:16" ht="15" customHeight="1">
      <c r="A843" s="284"/>
      <c r="B843" s="284"/>
      <c r="C843" s="182">
        <v>11</v>
      </c>
      <c r="D843" s="183" t="s">
        <v>1658</v>
      </c>
      <c r="E843" s="182" t="s">
        <v>669</v>
      </c>
      <c r="F843" s="183" t="s">
        <v>4467</v>
      </c>
      <c r="K843" s="8"/>
      <c r="L843" s="8"/>
      <c r="M843" s="8"/>
      <c r="N843" s="8"/>
      <c r="O843" s="8"/>
      <c r="P843" s="8"/>
    </row>
    <row r="844" spans="1:16" ht="15" customHeight="1">
      <c r="A844" s="284"/>
      <c r="B844" s="284"/>
      <c r="C844" s="182">
        <v>12</v>
      </c>
      <c r="D844" s="183" t="s">
        <v>4081</v>
      </c>
      <c r="E844" s="182" t="s">
        <v>669</v>
      </c>
      <c r="F844" s="183" t="s">
        <v>4793</v>
      </c>
      <c r="K844" s="8"/>
      <c r="L844" s="8"/>
      <c r="M844" s="8"/>
      <c r="N844" s="8"/>
      <c r="O844" s="8"/>
      <c r="P844" s="8"/>
    </row>
    <row r="845" spans="1:16" ht="15" customHeight="1">
      <c r="A845" s="285" t="s">
        <v>4411</v>
      </c>
      <c r="B845" s="285" t="s">
        <v>4701</v>
      </c>
      <c r="C845" s="174">
        <v>0</v>
      </c>
      <c r="D845" s="175" t="s">
        <v>3053</v>
      </c>
      <c r="E845" s="174" t="s">
        <v>669</v>
      </c>
      <c r="F845" s="175" t="s">
        <v>2920</v>
      </c>
      <c r="K845" s="8"/>
      <c r="L845" s="8"/>
      <c r="M845" s="8"/>
      <c r="N845" s="8"/>
      <c r="O845" s="8"/>
      <c r="P845" s="8"/>
    </row>
    <row r="846" spans="1:16" ht="15" customHeight="1">
      <c r="A846" s="285"/>
      <c r="B846" s="285"/>
      <c r="C846" s="174">
        <v>1</v>
      </c>
      <c r="D846" s="175" t="s">
        <v>1653</v>
      </c>
      <c r="E846" s="174" t="s">
        <v>2874</v>
      </c>
      <c r="F846" s="175" t="s">
        <v>4421</v>
      </c>
      <c r="K846" s="8"/>
      <c r="L846" s="8"/>
      <c r="M846" s="8"/>
      <c r="N846" s="8"/>
      <c r="O846" s="8"/>
      <c r="P846" s="8"/>
    </row>
    <row r="847" spans="1:16" ht="15" customHeight="1">
      <c r="A847" s="285"/>
      <c r="B847" s="285"/>
      <c r="C847" s="174">
        <v>2</v>
      </c>
      <c r="D847" s="175" t="s">
        <v>1652</v>
      </c>
      <c r="E847" s="174" t="s">
        <v>669</v>
      </c>
      <c r="F847" s="175" t="s">
        <v>4681</v>
      </c>
      <c r="K847" s="8"/>
      <c r="L847" s="8"/>
      <c r="M847" s="8"/>
      <c r="N847" s="8"/>
      <c r="O847" s="8"/>
      <c r="P847" s="8"/>
    </row>
    <row r="848" spans="1:16" ht="15" customHeight="1">
      <c r="A848" s="285"/>
      <c r="B848" s="285"/>
      <c r="C848" s="174">
        <v>3</v>
      </c>
      <c r="D848" s="175" t="s">
        <v>1651</v>
      </c>
      <c r="E848" s="174" t="s">
        <v>669</v>
      </c>
      <c r="F848" s="175" t="s">
        <v>4884</v>
      </c>
      <c r="K848" s="8"/>
      <c r="L848" s="8"/>
      <c r="M848" s="8"/>
      <c r="N848" s="8"/>
      <c r="O848" s="8"/>
      <c r="P848" s="8"/>
    </row>
    <row r="849" spans="1:16" ht="15" customHeight="1">
      <c r="A849" s="285"/>
      <c r="B849" s="285"/>
      <c r="C849" s="174">
        <v>4</v>
      </c>
      <c r="D849" s="175" t="s">
        <v>1650</v>
      </c>
      <c r="E849" s="174" t="s">
        <v>2874</v>
      </c>
      <c r="F849" s="175" t="s">
        <v>4843</v>
      </c>
      <c r="K849" s="8"/>
      <c r="L849" s="8"/>
      <c r="M849" s="8"/>
      <c r="N849" s="8"/>
      <c r="O849" s="8"/>
      <c r="P849" s="8"/>
    </row>
    <row r="850" spans="1:16" ht="15" customHeight="1">
      <c r="A850" s="285"/>
      <c r="B850" s="285"/>
      <c r="C850" s="174">
        <v>5</v>
      </c>
      <c r="D850" s="175" t="s">
        <v>1649</v>
      </c>
      <c r="E850" s="174" t="s">
        <v>1123</v>
      </c>
      <c r="F850" s="175" t="s">
        <v>4758</v>
      </c>
      <c r="K850" s="8"/>
      <c r="L850" s="8"/>
      <c r="M850" s="8"/>
      <c r="N850" s="8"/>
      <c r="O850" s="8"/>
      <c r="P850" s="8"/>
    </row>
    <row r="851" spans="1:16" ht="15" customHeight="1">
      <c r="A851" s="285"/>
      <c r="B851" s="285"/>
      <c r="C851" s="174">
        <v>6</v>
      </c>
      <c r="D851" s="175" t="s">
        <v>1648</v>
      </c>
      <c r="E851" s="174" t="s">
        <v>1123</v>
      </c>
      <c r="F851" s="175" t="s">
        <v>4773</v>
      </c>
      <c r="K851" s="8"/>
      <c r="L851" s="8"/>
      <c r="M851" s="8"/>
      <c r="N851" s="8"/>
      <c r="O851" s="8"/>
      <c r="P851" s="8"/>
    </row>
    <row r="852" spans="1:16" ht="15" customHeight="1">
      <c r="A852" s="285"/>
      <c r="B852" s="285"/>
      <c r="C852" s="174">
        <v>9</v>
      </c>
      <c r="D852" s="175" t="s">
        <v>4082</v>
      </c>
      <c r="E852" s="174" t="s">
        <v>1123</v>
      </c>
      <c r="F852" s="213" t="s">
        <v>4412</v>
      </c>
      <c r="K852" s="8"/>
      <c r="L852" s="8"/>
      <c r="M852" s="8"/>
      <c r="N852" s="8"/>
      <c r="O852" s="8"/>
      <c r="P852" s="8"/>
    </row>
    <row r="853" spans="1:16" ht="15" customHeight="1">
      <c r="A853" s="285"/>
      <c r="B853" s="285"/>
      <c r="C853" s="174">
        <v>10</v>
      </c>
      <c r="D853" s="175" t="s">
        <v>4083</v>
      </c>
      <c r="E853" s="174" t="s">
        <v>2874</v>
      </c>
      <c r="F853" s="175" t="s">
        <v>4826</v>
      </c>
      <c r="K853" s="8"/>
      <c r="L853" s="8"/>
      <c r="M853" s="8"/>
      <c r="N853" s="8"/>
      <c r="O853" s="8"/>
      <c r="P853" s="8"/>
    </row>
    <row r="854" spans="1:16" ht="15" customHeight="1">
      <c r="A854" s="285"/>
      <c r="B854" s="285"/>
      <c r="C854" s="174">
        <v>11</v>
      </c>
      <c r="D854" s="175" t="s">
        <v>4084</v>
      </c>
      <c r="E854" s="184" t="s">
        <v>669</v>
      </c>
      <c r="F854" s="185" t="s">
        <v>4468</v>
      </c>
      <c r="K854" s="8"/>
      <c r="L854" s="8"/>
      <c r="M854" s="8"/>
      <c r="N854" s="8"/>
      <c r="O854" s="8"/>
      <c r="P854" s="8"/>
    </row>
    <row r="855" spans="1:16" ht="15" customHeight="1">
      <c r="A855" s="285"/>
      <c r="B855" s="285"/>
      <c r="C855" s="174">
        <v>12</v>
      </c>
      <c r="D855" s="175" t="s">
        <v>4085</v>
      </c>
      <c r="E855" s="174" t="s">
        <v>2874</v>
      </c>
      <c r="F855" s="175" t="s">
        <v>4857</v>
      </c>
      <c r="K855" s="8"/>
      <c r="L855" s="8"/>
      <c r="M855" s="8"/>
      <c r="N855" s="8"/>
      <c r="O855" s="8"/>
      <c r="P855" s="8"/>
    </row>
    <row r="856" spans="1:16" ht="15" customHeight="1">
      <c r="A856" s="284" t="s">
        <v>4409</v>
      </c>
      <c r="B856" s="284" t="s">
        <v>4702</v>
      </c>
      <c r="C856" s="182">
        <v>0</v>
      </c>
      <c r="D856" s="183" t="s">
        <v>3052</v>
      </c>
      <c r="E856" s="182" t="s">
        <v>669</v>
      </c>
      <c r="F856" s="183" t="s">
        <v>2920</v>
      </c>
      <c r="K856" s="8"/>
      <c r="L856" s="8"/>
      <c r="M856" s="8"/>
      <c r="N856" s="8"/>
      <c r="O856" s="8"/>
      <c r="P856" s="8"/>
    </row>
    <row r="857" spans="1:16" ht="15" customHeight="1">
      <c r="A857" s="284"/>
      <c r="B857" s="284"/>
      <c r="C857" s="182">
        <v>1</v>
      </c>
      <c r="D857" s="183" t="s">
        <v>1640</v>
      </c>
      <c r="E857" s="182" t="s">
        <v>1123</v>
      </c>
      <c r="F857" s="183" t="s">
        <v>4422</v>
      </c>
      <c r="K857" s="8"/>
      <c r="L857" s="8"/>
      <c r="M857" s="8"/>
      <c r="N857" s="8"/>
      <c r="O857" s="8"/>
      <c r="P857" s="8"/>
    </row>
    <row r="858" spans="1:16" ht="15" customHeight="1">
      <c r="A858" s="284"/>
      <c r="B858" s="284"/>
      <c r="C858" s="182">
        <v>2</v>
      </c>
      <c r="D858" s="183" t="s">
        <v>1639</v>
      </c>
      <c r="E858" s="182" t="s">
        <v>669</v>
      </c>
      <c r="F858" s="183" t="s">
        <v>4680</v>
      </c>
      <c r="K858" s="8"/>
      <c r="L858" s="8"/>
      <c r="M858" s="8"/>
      <c r="N858" s="8"/>
      <c r="O858" s="8"/>
      <c r="P858" s="8"/>
    </row>
    <row r="859" spans="1:16" ht="15" customHeight="1">
      <c r="A859" s="284"/>
      <c r="B859" s="284"/>
      <c r="C859" s="182">
        <v>3</v>
      </c>
      <c r="D859" s="183" t="s">
        <v>4088</v>
      </c>
      <c r="E859" s="182" t="s">
        <v>669</v>
      </c>
      <c r="F859" s="183" t="s">
        <v>4885</v>
      </c>
      <c r="K859" s="8"/>
      <c r="L859" s="8"/>
      <c r="M859" s="8"/>
      <c r="N859" s="8"/>
      <c r="O859" s="8"/>
      <c r="P859" s="8"/>
    </row>
    <row r="860" spans="1:16" ht="15" customHeight="1">
      <c r="A860" s="284"/>
      <c r="B860" s="284"/>
      <c r="C860" s="182">
        <v>4</v>
      </c>
      <c r="D860" s="183" t="s">
        <v>1637</v>
      </c>
      <c r="E860" s="182" t="s">
        <v>669</v>
      </c>
      <c r="F860" s="183" t="s">
        <v>4729</v>
      </c>
      <c r="K860" s="8"/>
      <c r="L860" s="8"/>
      <c r="M860" s="8"/>
      <c r="N860" s="8"/>
      <c r="O860" s="8"/>
      <c r="P860" s="8"/>
    </row>
    <row r="861" spans="1:16" ht="15" customHeight="1">
      <c r="A861" s="284"/>
      <c r="B861" s="284"/>
      <c r="C861" s="182">
        <v>5</v>
      </c>
      <c r="D861" s="183" t="s">
        <v>1636</v>
      </c>
      <c r="E861" s="182" t="s">
        <v>2874</v>
      </c>
      <c r="F861" s="183" t="s">
        <v>4742</v>
      </c>
      <c r="K861" s="8"/>
      <c r="L861" s="8"/>
      <c r="M861" s="8"/>
      <c r="N861" s="8"/>
      <c r="O861" s="8"/>
      <c r="P861" s="8"/>
    </row>
    <row r="862" spans="1:16" ht="15" customHeight="1">
      <c r="A862" s="284"/>
      <c r="B862" s="284"/>
      <c r="C862" s="182">
        <v>6</v>
      </c>
      <c r="D862" s="183" t="s">
        <v>1635</v>
      </c>
      <c r="E862" s="182" t="s">
        <v>1123</v>
      </c>
      <c r="F862" s="183" t="s">
        <v>4774</v>
      </c>
      <c r="K862" s="8"/>
      <c r="L862" s="8"/>
      <c r="M862" s="8"/>
      <c r="N862" s="8"/>
      <c r="O862" s="8"/>
      <c r="P862" s="8"/>
    </row>
    <row r="863" spans="1:16" ht="15" customHeight="1">
      <c r="A863" s="284"/>
      <c r="B863" s="284"/>
      <c r="C863" s="182">
        <v>7</v>
      </c>
      <c r="D863" s="183" t="s">
        <v>1630</v>
      </c>
      <c r="E863" s="182" t="s">
        <v>2874</v>
      </c>
      <c r="F863" s="183" t="s">
        <v>4850</v>
      </c>
      <c r="K863" s="8"/>
      <c r="L863" s="8"/>
      <c r="M863" s="8"/>
      <c r="N863" s="8"/>
      <c r="O863" s="8"/>
      <c r="P863" s="8"/>
    </row>
    <row r="864" spans="1:16" ht="15" customHeight="1">
      <c r="A864" s="284"/>
      <c r="B864" s="284"/>
      <c r="C864" s="182">
        <v>9</v>
      </c>
      <c r="D864" s="183" t="s">
        <v>4086</v>
      </c>
      <c r="E864" s="182" t="s">
        <v>2874</v>
      </c>
      <c r="F864" s="224" t="s">
        <v>4410</v>
      </c>
      <c r="K864" s="8"/>
      <c r="L864" s="8"/>
      <c r="M864" s="8"/>
      <c r="N864" s="8"/>
      <c r="O864" s="8"/>
      <c r="P864" s="8"/>
    </row>
    <row r="865" spans="1:16" ht="15" customHeight="1">
      <c r="A865" s="284"/>
      <c r="B865" s="284"/>
      <c r="C865" s="182">
        <v>10</v>
      </c>
      <c r="D865" s="183" t="s">
        <v>1633</v>
      </c>
      <c r="E865" s="182" t="s">
        <v>2874</v>
      </c>
      <c r="F865" s="183" t="s">
        <v>4824</v>
      </c>
      <c r="K865" s="8"/>
      <c r="L865" s="8"/>
      <c r="M865" s="8"/>
      <c r="N865" s="8"/>
      <c r="O865" s="8"/>
      <c r="P865" s="8"/>
    </row>
    <row r="866" spans="1:16" ht="15" customHeight="1">
      <c r="A866" s="284"/>
      <c r="B866" s="284"/>
      <c r="C866" s="182">
        <v>11</v>
      </c>
      <c r="D866" s="183" t="s">
        <v>1632</v>
      </c>
      <c r="E866" s="180" t="s">
        <v>669</v>
      </c>
      <c r="F866" s="181" t="s">
        <v>4815</v>
      </c>
      <c r="K866" s="8"/>
      <c r="L866" s="8"/>
      <c r="M866" s="8"/>
      <c r="N866" s="8"/>
      <c r="O866" s="8"/>
      <c r="P866" s="8"/>
    </row>
    <row r="867" spans="1:16" ht="15" customHeight="1">
      <c r="A867" s="284"/>
      <c r="B867" s="284"/>
      <c r="C867" s="182">
        <v>12</v>
      </c>
      <c r="D867" s="183" t="s">
        <v>4087</v>
      </c>
      <c r="E867" s="182" t="s">
        <v>1123</v>
      </c>
      <c r="F867" s="183" t="s">
        <v>4864</v>
      </c>
      <c r="K867" s="8"/>
      <c r="L867" s="8"/>
      <c r="M867" s="8"/>
      <c r="N867" s="8"/>
      <c r="O867" s="8"/>
      <c r="P867" s="8"/>
    </row>
    <row r="868" spans="1:16" ht="15" customHeight="1">
      <c r="A868" s="293" t="s">
        <v>4407</v>
      </c>
      <c r="B868" s="293" t="s">
        <v>4951</v>
      </c>
      <c r="C868" s="174">
        <v>0</v>
      </c>
      <c r="D868" s="175" t="s">
        <v>3051</v>
      </c>
      <c r="E868" s="174" t="s">
        <v>669</v>
      </c>
      <c r="F868" s="175" t="s">
        <v>2920</v>
      </c>
      <c r="K868" s="8"/>
      <c r="L868" s="8"/>
      <c r="M868" s="8"/>
      <c r="N868" s="8"/>
      <c r="O868" s="8"/>
      <c r="P868" s="8"/>
    </row>
    <row r="869" spans="1:16" ht="15" customHeight="1">
      <c r="A869" s="294"/>
      <c r="B869" s="294"/>
      <c r="C869" s="174">
        <v>1</v>
      </c>
      <c r="D869" s="175" t="s">
        <v>1626</v>
      </c>
      <c r="E869" s="174" t="s">
        <v>669</v>
      </c>
      <c r="F869" s="175" t="s">
        <v>4423</v>
      </c>
      <c r="K869" s="8"/>
      <c r="L869" s="8"/>
      <c r="M869" s="8"/>
      <c r="N869" s="8"/>
      <c r="O869" s="8"/>
      <c r="P869" s="8"/>
    </row>
    <row r="870" spans="1:16" ht="15" customHeight="1">
      <c r="A870" s="294"/>
      <c r="B870" s="294"/>
      <c r="C870" s="174">
        <v>2</v>
      </c>
      <c r="D870" s="175" t="s">
        <v>1625</v>
      </c>
      <c r="E870" s="174" t="s">
        <v>669</v>
      </c>
      <c r="F870" s="175" t="s">
        <v>4679</v>
      </c>
      <c r="K870" s="8"/>
      <c r="L870" s="8"/>
      <c r="M870" s="8"/>
      <c r="N870" s="8"/>
      <c r="O870" s="8"/>
      <c r="P870" s="8"/>
    </row>
    <row r="871" spans="1:16" ht="15" customHeight="1">
      <c r="A871" s="294"/>
      <c r="B871" s="294"/>
      <c r="C871" s="174">
        <v>3</v>
      </c>
      <c r="D871" s="175" t="s">
        <v>1624</v>
      </c>
      <c r="E871" s="174" t="s">
        <v>669</v>
      </c>
      <c r="F871" s="175" t="s">
        <v>4887</v>
      </c>
      <c r="K871" s="8"/>
      <c r="L871" s="8"/>
      <c r="M871" s="8"/>
      <c r="N871" s="8"/>
      <c r="O871" s="8"/>
      <c r="P871" s="8"/>
    </row>
    <row r="872" spans="1:16" ht="15" customHeight="1">
      <c r="A872" s="294"/>
      <c r="B872" s="294"/>
      <c r="C872" s="174">
        <v>4</v>
      </c>
      <c r="D872" s="175" t="s">
        <v>1623</v>
      </c>
      <c r="E872" s="174" t="s">
        <v>669</v>
      </c>
      <c r="F872" s="175" t="s">
        <v>4733</v>
      </c>
      <c r="K872" s="8"/>
      <c r="L872" s="8"/>
      <c r="M872" s="8"/>
      <c r="N872" s="8"/>
      <c r="O872" s="8"/>
      <c r="P872" s="8"/>
    </row>
    <row r="873" spans="1:16" ht="15" customHeight="1">
      <c r="A873" s="294"/>
      <c r="B873" s="294"/>
      <c r="C873" s="174">
        <v>5</v>
      </c>
      <c r="D873" s="175" t="s">
        <v>1622</v>
      </c>
      <c r="E873" s="174" t="s">
        <v>1123</v>
      </c>
      <c r="F873" s="175" t="s">
        <v>4759</v>
      </c>
      <c r="K873" s="8"/>
      <c r="L873" s="8"/>
      <c r="M873" s="8"/>
      <c r="N873" s="8"/>
      <c r="O873" s="8"/>
      <c r="P873" s="8"/>
    </row>
    <row r="874" spans="1:16" ht="15" customHeight="1">
      <c r="A874" s="294"/>
      <c r="B874" s="294"/>
      <c r="C874" s="174">
        <v>6</v>
      </c>
      <c r="D874" s="175" t="s">
        <v>4089</v>
      </c>
      <c r="E874" s="174" t="s">
        <v>1123</v>
      </c>
      <c r="F874" s="175" t="s">
        <v>4775</v>
      </c>
      <c r="K874" s="8"/>
      <c r="L874" s="8"/>
      <c r="M874" s="8"/>
      <c r="N874" s="8"/>
      <c r="O874" s="8"/>
      <c r="P874" s="8"/>
    </row>
    <row r="875" spans="1:16" ht="15" customHeight="1">
      <c r="A875" s="294"/>
      <c r="B875" s="294"/>
      <c r="C875" s="174">
        <v>7</v>
      </c>
      <c r="D875" s="175" t="s">
        <v>4094</v>
      </c>
      <c r="E875" s="174" t="s">
        <v>2874</v>
      </c>
      <c r="F875" s="175" t="s">
        <v>4851</v>
      </c>
      <c r="K875" s="8"/>
      <c r="L875" s="8"/>
      <c r="M875" s="8"/>
      <c r="N875" s="8"/>
      <c r="O875" s="8"/>
      <c r="P875" s="8"/>
    </row>
    <row r="876" spans="1:16" ht="15" customHeight="1">
      <c r="A876" s="294"/>
      <c r="B876" s="294"/>
      <c r="C876" s="174">
        <v>9</v>
      </c>
      <c r="D876" s="175" t="s">
        <v>4090</v>
      </c>
      <c r="E876" s="174" t="s">
        <v>1123</v>
      </c>
      <c r="F876" s="213" t="s">
        <v>4408</v>
      </c>
      <c r="K876" s="8"/>
      <c r="L876" s="8"/>
      <c r="M876" s="8"/>
      <c r="N876" s="8"/>
      <c r="O876" s="8"/>
      <c r="P876" s="8"/>
    </row>
    <row r="877" spans="1:16" ht="15" customHeight="1">
      <c r="A877" s="294"/>
      <c r="B877" s="294"/>
      <c r="C877" s="174">
        <v>10</v>
      </c>
      <c r="D877" s="175" t="s">
        <v>4091</v>
      </c>
      <c r="E877" s="174" t="s">
        <v>669</v>
      </c>
      <c r="F877" s="175" t="s">
        <v>4839</v>
      </c>
      <c r="K877" s="8"/>
      <c r="L877" s="8"/>
      <c r="M877" s="8"/>
      <c r="N877" s="8"/>
      <c r="O877" s="8"/>
      <c r="P877" s="8"/>
    </row>
    <row r="878" spans="1:16" ht="15" customHeight="1">
      <c r="A878" s="294"/>
      <c r="B878" s="294"/>
      <c r="C878" s="174">
        <v>11</v>
      </c>
      <c r="D878" s="175" t="s">
        <v>4092</v>
      </c>
      <c r="E878" s="174" t="s">
        <v>669</v>
      </c>
      <c r="F878" s="175" t="s">
        <v>4816</v>
      </c>
      <c r="K878" s="8"/>
      <c r="L878" s="8"/>
      <c r="M878" s="8"/>
      <c r="N878" s="8"/>
      <c r="O878" s="8"/>
      <c r="P878" s="8"/>
    </row>
    <row r="879" spans="1:16" ht="15" customHeight="1">
      <c r="A879" s="294"/>
      <c r="B879" s="294"/>
      <c r="C879" s="174">
        <v>12</v>
      </c>
      <c r="D879" s="175" t="s">
        <v>4093</v>
      </c>
      <c r="E879" s="174" t="s">
        <v>669</v>
      </c>
      <c r="F879" s="175" t="s">
        <v>4794</v>
      </c>
      <c r="K879" s="8"/>
      <c r="L879" s="8"/>
      <c r="M879" s="8"/>
      <c r="N879" s="8"/>
      <c r="O879" s="8"/>
      <c r="P879" s="8"/>
    </row>
    <row r="880" spans="1:16" ht="15" customHeight="1">
      <c r="A880" s="295"/>
      <c r="B880" s="295"/>
      <c r="C880" s="218">
        <v>14</v>
      </c>
      <c r="D880" s="217" t="s">
        <v>4952</v>
      </c>
      <c r="E880" s="218" t="s">
        <v>669</v>
      </c>
      <c r="F880" s="217" t="s">
        <v>4956</v>
      </c>
      <c r="K880" s="8"/>
      <c r="L880" s="8"/>
      <c r="M880" s="8"/>
      <c r="N880" s="8"/>
      <c r="O880" s="8"/>
      <c r="P880" s="8"/>
    </row>
    <row r="881" spans="1:16" ht="15" customHeight="1">
      <c r="A881" s="284" t="s">
        <v>4405</v>
      </c>
      <c r="B881" s="284" t="s">
        <v>4095</v>
      </c>
      <c r="C881" s="182">
        <v>0</v>
      </c>
      <c r="D881" s="183" t="s">
        <v>3050</v>
      </c>
      <c r="E881" s="182" t="s">
        <v>669</v>
      </c>
      <c r="F881" s="183" t="s">
        <v>2920</v>
      </c>
      <c r="K881" s="8"/>
      <c r="L881" s="8"/>
      <c r="M881" s="8"/>
      <c r="N881" s="8"/>
      <c r="O881" s="8"/>
      <c r="P881" s="8"/>
    </row>
    <row r="882" spans="1:16" ht="15" customHeight="1">
      <c r="A882" s="284"/>
      <c r="B882" s="284"/>
      <c r="C882" s="182">
        <v>1</v>
      </c>
      <c r="D882" s="183" t="s">
        <v>1611</v>
      </c>
      <c r="E882" s="182" t="s">
        <v>1123</v>
      </c>
      <c r="F882" s="183" t="s">
        <v>4432</v>
      </c>
      <c r="K882" s="8"/>
      <c r="L882" s="8"/>
      <c r="M882" s="8"/>
      <c r="N882" s="8"/>
      <c r="O882" s="8"/>
      <c r="P882" s="8"/>
    </row>
    <row r="883" spans="1:16" ht="15" customHeight="1">
      <c r="A883" s="284"/>
      <c r="B883" s="284"/>
      <c r="C883" s="182">
        <v>2</v>
      </c>
      <c r="D883" s="183" t="s">
        <v>1610</v>
      </c>
      <c r="E883" s="182" t="s">
        <v>669</v>
      </c>
      <c r="F883" s="183" t="s">
        <v>4678</v>
      </c>
      <c r="K883" s="8"/>
      <c r="L883" s="8"/>
      <c r="M883" s="8"/>
      <c r="N883" s="8"/>
      <c r="O883" s="8"/>
      <c r="P883" s="8"/>
    </row>
    <row r="884" spans="1:16" ht="15" customHeight="1">
      <c r="A884" s="284"/>
      <c r="B884" s="284"/>
      <c r="C884" s="182">
        <v>3</v>
      </c>
      <c r="D884" s="183" t="s">
        <v>1609</v>
      </c>
      <c r="E884" s="182" t="s">
        <v>2874</v>
      </c>
      <c r="F884" s="183" t="s">
        <v>3135</v>
      </c>
      <c r="K884" s="8"/>
      <c r="L884" s="8"/>
      <c r="M884" s="8"/>
      <c r="N884" s="8"/>
      <c r="O884" s="8"/>
      <c r="P884" s="8"/>
    </row>
    <row r="885" spans="1:16" ht="15" customHeight="1">
      <c r="A885" s="284"/>
      <c r="B885" s="284"/>
      <c r="C885" s="182">
        <v>4</v>
      </c>
      <c r="D885" s="183" t="s">
        <v>1608</v>
      </c>
      <c r="E885" s="182" t="s">
        <v>669</v>
      </c>
      <c r="F885" s="183" t="s">
        <v>4738</v>
      </c>
      <c r="K885" s="8"/>
      <c r="L885" s="8"/>
      <c r="M885" s="8"/>
      <c r="N885" s="8"/>
      <c r="O885" s="8"/>
      <c r="P885" s="8"/>
    </row>
    <row r="886" spans="1:16" ht="15" customHeight="1">
      <c r="A886" s="284"/>
      <c r="B886" s="284"/>
      <c r="C886" s="182">
        <v>5</v>
      </c>
      <c r="D886" s="183" t="s">
        <v>1607</v>
      </c>
      <c r="E886" s="182" t="s">
        <v>1123</v>
      </c>
      <c r="F886" s="183" t="s">
        <v>4747</v>
      </c>
      <c r="K886" s="8"/>
      <c r="L886" s="8"/>
      <c r="M886" s="8"/>
      <c r="N886" s="8"/>
      <c r="O886" s="8"/>
      <c r="P886" s="8"/>
    </row>
    <row r="887" spans="1:16" ht="15" customHeight="1">
      <c r="A887" s="284"/>
      <c r="B887" s="284"/>
      <c r="C887" s="182">
        <v>6</v>
      </c>
      <c r="D887" s="183" t="s">
        <v>1606</v>
      </c>
      <c r="E887" s="182" t="s">
        <v>1123</v>
      </c>
      <c r="F887" s="183" t="s">
        <v>4776</v>
      </c>
      <c r="K887" s="8"/>
      <c r="L887" s="8"/>
      <c r="M887" s="8"/>
      <c r="N887" s="8"/>
      <c r="O887" s="8"/>
      <c r="P887" s="8"/>
    </row>
    <row r="888" spans="1:16" ht="15" customHeight="1">
      <c r="A888" s="284"/>
      <c r="B888" s="284"/>
      <c r="C888" s="182">
        <v>7</v>
      </c>
      <c r="D888" s="183" t="s">
        <v>4096</v>
      </c>
      <c r="E888" s="182" t="s">
        <v>2874</v>
      </c>
      <c r="F888" s="183" t="s">
        <v>4853</v>
      </c>
      <c r="K888" s="8"/>
      <c r="L888" s="8"/>
      <c r="M888" s="8"/>
      <c r="N888" s="8"/>
      <c r="O888" s="8"/>
      <c r="P888" s="8"/>
    </row>
    <row r="889" spans="1:16" ht="15" customHeight="1">
      <c r="A889" s="284"/>
      <c r="B889" s="284"/>
      <c r="C889" s="182">
        <v>9</v>
      </c>
      <c r="D889" s="183" t="s">
        <v>4097</v>
      </c>
      <c r="E889" s="182" t="s">
        <v>2874</v>
      </c>
      <c r="F889" s="224" t="s">
        <v>4406</v>
      </c>
      <c r="K889" s="8"/>
      <c r="L889" s="8"/>
      <c r="M889" s="8"/>
      <c r="N889" s="8"/>
      <c r="O889" s="8"/>
      <c r="P889" s="8"/>
    </row>
    <row r="890" spans="1:16" ht="15" customHeight="1">
      <c r="A890" s="284"/>
      <c r="B890" s="284"/>
      <c r="C890" s="182">
        <v>10</v>
      </c>
      <c r="D890" s="183" t="s">
        <v>4098</v>
      </c>
      <c r="E890" s="182" t="s">
        <v>669</v>
      </c>
      <c r="F890" s="183" t="s">
        <v>4840</v>
      </c>
      <c r="K890" s="8"/>
      <c r="L890" s="8"/>
      <c r="M890" s="8"/>
      <c r="N890" s="8"/>
      <c r="O890" s="8"/>
      <c r="P890" s="8"/>
    </row>
    <row r="891" spans="1:16" ht="15" customHeight="1">
      <c r="A891" s="284"/>
      <c r="B891" s="284"/>
      <c r="C891" s="182">
        <v>11</v>
      </c>
      <c r="D891" s="183" t="s">
        <v>4099</v>
      </c>
      <c r="E891" s="182" t="s">
        <v>669</v>
      </c>
      <c r="F891" s="183" t="s">
        <v>4469</v>
      </c>
      <c r="K891" s="8"/>
      <c r="L891" s="8"/>
      <c r="M891" s="8"/>
      <c r="N891" s="8"/>
      <c r="O891" s="8"/>
      <c r="P891" s="8"/>
    </row>
    <row r="892" spans="1:16" ht="15" customHeight="1">
      <c r="A892" s="284"/>
      <c r="B892" s="284"/>
      <c r="C892" s="182">
        <v>12</v>
      </c>
      <c r="D892" s="183" t="s">
        <v>4100</v>
      </c>
      <c r="E892" s="182" t="s">
        <v>669</v>
      </c>
      <c r="F892" s="183" t="s">
        <v>4795</v>
      </c>
      <c r="K892" s="8"/>
      <c r="L892" s="8"/>
      <c r="M892" s="8"/>
      <c r="N892" s="8"/>
      <c r="O892" s="8"/>
      <c r="P892" s="8"/>
    </row>
    <row r="893" spans="1:16" ht="15" customHeight="1">
      <c r="A893" s="284"/>
      <c r="B893" s="284"/>
      <c r="C893" s="182">
        <v>14</v>
      </c>
      <c r="D893" s="183" t="s">
        <v>4101</v>
      </c>
      <c r="E893" s="182" t="s">
        <v>669</v>
      </c>
      <c r="F893" s="183" t="s">
        <v>4814</v>
      </c>
      <c r="K893" s="8"/>
      <c r="L893" s="8"/>
      <c r="M893" s="8"/>
      <c r="N893" s="8"/>
      <c r="O893" s="8"/>
      <c r="P893" s="8"/>
    </row>
    <row r="894" spans="1:16" ht="15" customHeight="1">
      <c r="A894" s="285" t="s">
        <v>4404</v>
      </c>
      <c r="B894" s="285" t="s">
        <v>5003</v>
      </c>
      <c r="C894" s="174">
        <v>0</v>
      </c>
      <c r="D894" s="175" t="s">
        <v>3049</v>
      </c>
      <c r="E894" s="174" t="s">
        <v>669</v>
      </c>
      <c r="F894" s="175" t="s">
        <v>2920</v>
      </c>
      <c r="K894" s="8"/>
      <c r="L894" s="8"/>
      <c r="M894" s="8"/>
      <c r="N894" s="8"/>
      <c r="O894" s="8"/>
      <c r="P894" s="8"/>
    </row>
    <row r="895" spans="1:16" ht="15" customHeight="1">
      <c r="A895" s="285"/>
      <c r="B895" s="285"/>
      <c r="C895" s="174">
        <v>1</v>
      </c>
      <c r="D895" s="175" t="s">
        <v>1596</v>
      </c>
      <c r="E895" s="174" t="s">
        <v>1123</v>
      </c>
      <c r="F895" s="223" t="s">
        <v>4426</v>
      </c>
      <c r="K895" s="8"/>
      <c r="L895" s="8"/>
      <c r="M895" s="8"/>
      <c r="N895" s="8"/>
      <c r="O895" s="8"/>
      <c r="P895" s="8"/>
    </row>
    <row r="896" spans="1:16" ht="15" customHeight="1">
      <c r="A896" s="285"/>
      <c r="B896" s="285"/>
      <c r="C896" s="174">
        <v>2</v>
      </c>
      <c r="D896" s="175" t="s">
        <v>1595</v>
      </c>
      <c r="E896" s="174" t="s">
        <v>669</v>
      </c>
      <c r="F896" s="223" t="s">
        <v>4677</v>
      </c>
      <c r="K896" s="8"/>
      <c r="L896" s="8"/>
      <c r="M896" s="8"/>
      <c r="N896" s="8"/>
      <c r="O896" s="8"/>
      <c r="P896" s="8"/>
    </row>
    <row r="897" spans="1:16" ht="15" customHeight="1">
      <c r="A897" s="285"/>
      <c r="B897" s="285"/>
      <c r="C897" s="174">
        <v>3</v>
      </c>
      <c r="D897" s="175" t="s">
        <v>1594</v>
      </c>
      <c r="E897" s="174" t="s">
        <v>2874</v>
      </c>
      <c r="F897" s="223" t="s">
        <v>4889</v>
      </c>
      <c r="K897" s="8"/>
      <c r="L897" s="8"/>
      <c r="M897" s="8"/>
      <c r="N897" s="8"/>
      <c r="O897" s="8"/>
      <c r="P897" s="8"/>
    </row>
    <row r="898" spans="1:16" ht="15" customHeight="1">
      <c r="A898" s="285"/>
      <c r="B898" s="285"/>
      <c r="C898" s="174">
        <v>4</v>
      </c>
      <c r="D898" s="175" t="s">
        <v>1593</v>
      </c>
      <c r="E898" s="174" t="s">
        <v>2874</v>
      </c>
      <c r="F898" s="223" t="s">
        <v>4725</v>
      </c>
      <c r="K898" s="8"/>
      <c r="L898" s="8"/>
      <c r="M898" s="8"/>
      <c r="N898" s="8"/>
      <c r="O898" s="8"/>
      <c r="P898" s="8"/>
    </row>
    <row r="899" spans="1:16" ht="15" customHeight="1">
      <c r="A899" s="285"/>
      <c r="B899" s="285"/>
      <c r="C899" s="174">
        <v>6</v>
      </c>
      <c r="D899" s="175" t="s">
        <v>1592</v>
      </c>
      <c r="E899" s="174" t="s">
        <v>1123</v>
      </c>
      <c r="F899" s="223" t="s">
        <v>4777</v>
      </c>
      <c r="K899" s="8"/>
      <c r="L899" s="8"/>
      <c r="M899" s="8"/>
      <c r="N899" s="8"/>
      <c r="O899" s="8"/>
      <c r="P899" s="8"/>
    </row>
    <row r="900" spans="1:16" ht="15" customHeight="1">
      <c r="A900" s="285"/>
      <c r="B900" s="285"/>
      <c r="C900" s="174">
        <v>7</v>
      </c>
      <c r="D900" s="175" t="s">
        <v>4102</v>
      </c>
      <c r="E900" s="174" t="s">
        <v>2874</v>
      </c>
      <c r="F900" s="175" t="s">
        <v>4854</v>
      </c>
      <c r="K900" s="8"/>
      <c r="L900" s="8"/>
      <c r="M900" s="8"/>
      <c r="N900" s="8"/>
      <c r="O900" s="8"/>
      <c r="P900" s="8"/>
    </row>
    <row r="901" spans="1:16" ht="15" customHeight="1">
      <c r="A901" s="285"/>
      <c r="B901" s="285"/>
      <c r="C901" s="174">
        <v>9</v>
      </c>
      <c r="D901" s="175" t="s">
        <v>1591</v>
      </c>
      <c r="E901" s="174" t="s">
        <v>2874</v>
      </c>
      <c r="F901" s="175" t="s">
        <v>4403</v>
      </c>
      <c r="K901" s="8"/>
      <c r="L901" s="8"/>
      <c r="M901" s="8"/>
      <c r="N901" s="8"/>
      <c r="O901" s="8"/>
      <c r="P901" s="8"/>
    </row>
    <row r="902" spans="1:16" ht="15" customHeight="1">
      <c r="A902" s="285"/>
      <c r="B902" s="285"/>
      <c r="C902" s="174">
        <v>10</v>
      </c>
      <c r="D902" s="175" t="s">
        <v>1590</v>
      </c>
      <c r="E902" s="174" t="s">
        <v>2874</v>
      </c>
      <c r="F902" s="175" t="s">
        <v>4829</v>
      </c>
      <c r="K902" s="8"/>
      <c r="L902" s="8"/>
      <c r="M902" s="8"/>
      <c r="N902" s="8"/>
      <c r="O902" s="8"/>
      <c r="P902" s="8"/>
    </row>
    <row r="903" spans="1:16" ht="15" customHeight="1">
      <c r="A903" s="285"/>
      <c r="B903" s="285"/>
      <c r="C903" s="174">
        <v>11</v>
      </c>
      <c r="D903" s="175" t="s">
        <v>1589</v>
      </c>
      <c r="E903" s="174" t="s">
        <v>669</v>
      </c>
      <c r="F903" s="175" t="s">
        <v>4483</v>
      </c>
      <c r="K903" s="8"/>
      <c r="L903" s="8"/>
      <c r="M903" s="8"/>
      <c r="N903" s="8"/>
      <c r="O903" s="8"/>
      <c r="P903" s="8"/>
    </row>
    <row r="904" spans="1:16" ht="15" customHeight="1">
      <c r="A904" s="285"/>
      <c r="B904" s="285"/>
      <c r="C904" s="174">
        <v>12</v>
      </c>
      <c r="D904" s="175" t="s">
        <v>1588</v>
      </c>
      <c r="E904" s="174" t="s">
        <v>669</v>
      </c>
      <c r="F904" s="175" t="s">
        <v>4796</v>
      </c>
      <c r="K904" s="8"/>
      <c r="L904" s="8"/>
      <c r="M904" s="8"/>
      <c r="N904" s="8"/>
      <c r="O904" s="8"/>
      <c r="P904" s="8"/>
    </row>
    <row r="905" spans="1:16" ht="15" customHeight="1">
      <c r="A905" s="284" t="s">
        <v>1586</v>
      </c>
      <c r="B905" s="284" t="s">
        <v>4703</v>
      </c>
      <c r="C905" s="182">
        <v>0</v>
      </c>
      <c r="D905" s="183" t="s">
        <v>3048</v>
      </c>
      <c r="E905" s="182" t="s">
        <v>669</v>
      </c>
      <c r="F905" s="183" t="s">
        <v>2920</v>
      </c>
      <c r="K905" s="8"/>
      <c r="L905" s="8"/>
      <c r="M905" s="8"/>
      <c r="N905" s="8"/>
      <c r="O905" s="8"/>
      <c r="P905" s="8"/>
    </row>
    <row r="906" spans="1:16" ht="15" customHeight="1">
      <c r="A906" s="284"/>
      <c r="B906" s="284"/>
      <c r="C906" s="182">
        <v>1</v>
      </c>
      <c r="D906" s="183" t="s">
        <v>1583</v>
      </c>
      <c r="E906" s="182" t="s">
        <v>2874</v>
      </c>
      <c r="F906" s="216" t="s">
        <v>4436</v>
      </c>
      <c r="K906" s="8"/>
      <c r="L906" s="8"/>
      <c r="M906" s="8"/>
      <c r="N906" s="8"/>
      <c r="O906" s="8"/>
      <c r="P906" s="8"/>
    </row>
    <row r="907" spans="1:16" ht="15" customHeight="1">
      <c r="A907" s="284"/>
      <c r="B907" s="284"/>
      <c r="C907" s="182">
        <v>2</v>
      </c>
      <c r="D907" s="183" t="s">
        <v>1582</v>
      </c>
      <c r="E907" s="182" t="s">
        <v>669</v>
      </c>
      <c r="F907" s="183" t="s">
        <v>4676</v>
      </c>
      <c r="K907" s="8"/>
      <c r="L907" s="8"/>
      <c r="M907" s="8"/>
      <c r="N907" s="8"/>
      <c r="O907" s="8"/>
      <c r="P907" s="8"/>
    </row>
    <row r="908" spans="1:16" ht="15" customHeight="1">
      <c r="A908" s="284"/>
      <c r="B908" s="284"/>
      <c r="C908" s="182">
        <v>3</v>
      </c>
      <c r="D908" s="183" t="s">
        <v>4103</v>
      </c>
      <c r="E908" s="182" t="s">
        <v>1123</v>
      </c>
      <c r="F908" s="183" t="s">
        <v>4876</v>
      </c>
      <c r="K908" s="8"/>
      <c r="L908" s="8"/>
      <c r="M908" s="8"/>
      <c r="N908" s="8"/>
      <c r="O908" s="8"/>
      <c r="P908" s="8"/>
    </row>
    <row r="909" spans="1:16" ht="15" customHeight="1">
      <c r="A909" s="284"/>
      <c r="B909" s="284"/>
      <c r="C909" s="182">
        <v>4</v>
      </c>
      <c r="D909" s="183" t="s">
        <v>1580</v>
      </c>
      <c r="E909" s="182" t="s">
        <v>1123</v>
      </c>
      <c r="F909" s="183" t="s">
        <v>4715</v>
      </c>
      <c r="K909" s="8"/>
      <c r="L909" s="8"/>
      <c r="M909" s="8"/>
      <c r="N909" s="8"/>
      <c r="O909" s="8"/>
      <c r="P909" s="8"/>
    </row>
    <row r="910" spans="1:16" ht="15" customHeight="1">
      <c r="A910" s="284"/>
      <c r="B910" s="284"/>
      <c r="C910" s="182">
        <v>6</v>
      </c>
      <c r="D910" s="183" t="s">
        <v>1579</v>
      </c>
      <c r="E910" s="182" t="s">
        <v>1123</v>
      </c>
      <c r="F910" s="183" t="s">
        <v>4778</v>
      </c>
      <c r="K910" s="8"/>
      <c r="L910" s="8"/>
      <c r="M910" s="8"/>
      <c r="N910" s="8"/>
      <c r="O910" s="8"/>
      <c r="P910" s="8"/>
    </row>
    <row r="911" spans="1:16" ht="15" customHeight="1">
      <c r="A911" s="284"/>
      <c r="B911" s="284"/>
      <c r="C911" s="182">
        <v>9</v>
      </c>
      <c r="D911" s="183" t="s">
        <v>1578</v>
      </c>
      <c r="E911" s="182" t="s">
        <v>1123</v>
      </c>
      <c r="F911" s="183" t="s">
        <v>4402</v>
      </c>
      <c r="K911" s="8"/>
      <c r="L911" s="8"/>
      <c r="M911" s="8"/>
      <c r="N911" s="8"/>
      <c r="O911" s="8"/>
      <c r="P911" s="8"/>
    </row>
    <row r="912" spans="1:16" ht="15" customHeight="1">
      <c r="A912" s="284"/>
      <c r="B912" s="284"/>
      <c r="C912" s="182">
        <v>10</v>
      </c>
      <c r="D912" s="183" t="s">
        <v>1577</v>
      </c>
      <c r="E912" s="182" t="s">
        <v>669</v>
      </c>
      <c r="F912" s="183" t="s">
        <v>4834</v>
      </c>
      <c r="K912" s="8"/>
      <c r="L912" s="8"/>
      <c r="M912" s="8"/>
      <c r="N912" s="8"/>
      <c r="O912" s="8"/>
      <c r="P912" s="8"/>
    </row>
    <row r="913" spans="1:16" ht="15" customHeight="1">
      <c r="A913" s="284"/>
      <c r="B913" s="284"/>
      <c r="C913" s="182">
        <v>11</v>
      </c>
      <c r="D913" s="183" t="s">
        <v>1576</v>
      </c>
      <c r="E913" s="182" t="s">
        <v>669</v>
      </c>
      <c r="F913" s="183" t="s">
        <v>4470</v>
      </c>
      <c r="K913" s="8"/>
      <c r="L913" s="8"/>
      <c r="M913" s="8"/>
      <c r="N913" s="8"/>
      <c r="O913" s="8"/>
      <c r="P913" s="8"/>
    </row>
    <row r="914" spans="1:16" ht="15" customHeight="1">
      <c r="A914" s="284"/>
      <c r="B914" s="284"/>
      <c r="C914" s="182">
        <v>12</v>
      </c>
      <c r="D914" s="183" t="s">
        <v>4104</v>
      </c>
      <c r="E914" s="182" t="s">
        <v>669</v>
      </c>
      <c r="F914" s="183" t="s">
        <v>4787</v>
      </c>
      <c r="K914" s="8"/>
      <c r="L914" s="8"/>
      <c r="M914" s="8"/>
      <c r="N914" s="8"/>
      <c r="O914" s="8"/>
      <c r="P914" s="8"/>
    </row>
    <row r="915" spans="1:16" ht="15" customHeight="1">
      <c r="A915" s="285" t="s">
        <v>1574</v>
      </c>
      <c r="B915" s="285" t="s">
        <v>4105</v>
      </c>
      <c r="C915" s="174">
        <v>0</v>
      </c>
      <c r="D915" s="175" t="s">
        <v>3047</v>
      </c>
      <c r="E915" s="174" t="s">
        <v>669</v>
      </c>
      <c r="F915" s="213" t="s">
        <v>2923</v>
      </c>
      <c r="K915" s="8"/>
      <c r="L915" s="8"/>
      <c r="M915" s="8"/>
      <c r="N915" s="8"/>
      <c r="O915" s="8"/>
      <c r="P915" s="8"/>
    </row>
    <row r="916" spans="1:16" ht="15" customHeight="1">
      <c r="A916" s="285"/>
      <c r="B916" s="285"/>
      <c r="C916" s="174">
        <v>1</v>
      </c>
      <c r="D916" s="175" t="s">
        <v>1572</v>
      </c>
      <c r="E916" s="174" t="s">
        <v>2874</v>
      </c>
      <c r="F916" s="223" t="s">
        <v>4673</v>
      </c>
      <c r="K916" s="8"/>
      <c r="L916" s="8"/>
      <c r="M916" s="8"/>
      <c r="N916" s="8"/>
      <c r="O916" s="8"/>
      <c r="P916" s="8"/>
    </row>
    <row r="917" spans="1:16" ht="15" customHeight="1">
      <c r="A917" s="285"/>
      <c r="B917" s="285"/>
      <c r="C917" s="174">
        <v>2</v>
      </c>
      <c r="D917" s="175" t="s">
        <v>1571</v>
      </c>
      <c r="E917" s="174" t="s">
        <v>2874</v>
      </c>
      <c r="F917" s="175" t="s">
        <v>4675</v>
      </c>
      <c r="K917" s="8"/>
      <c r="L917" s="8"/>
      <c r="M917" s="8"/>
      <c r="N917" s="8"/>
      <c r="O917" s="8"/>
      <c r="P917" s="8"/>
    </row>
    <row r="918" spans="1:16" ht="15" customHeight="1">
      <c r="A918" s="285"/>
      <c r="B918" s="285"/>
      <c r="C918" s="174">
        <v>3</v>
      </c>
      <c r="D918" s="175" t="s">
        <v>1570</v>
      </c>
      <c r="E918" s="174" t="s">
        <v>2874</v>
      </c>
      <c r="F918" s="175" t="s">
        <v>4921</v>
      </c>
      <c r="K918" s="8"/>
      <c r="L918" s="8"/>
      <c r="M918" s="8"/>
      <c r="N918" s="8"/>
      <c r="O918" s="8"/>
      <c r="P918" s="8"/>
    </row>
    <row r="919" spans="1:16" ht="15" customHeight="1">
      <c r="A919" s="285"/>
      <c r="B919" s="285"/>
      <c r="C919" s="174">
        <v>4</v>
      </c>
      <c r="D919" s="175" t="s">
        <v>1569</v>
      </c>
      <c r="E919" s="174" t="s">
        <v>2874</v>
      </c>
      <c r="F919" s="175" t="s">
        <v>4726</v>
      </c>
      <c r="K919" s="8"/>
      <c r="L919" s="8"/>
      <c r="M919" s="8"/>
      <c r="N919" s="8"/>
      <c r="O919" s="8"/>
      <c r="P919" s="8"/>
    </row>
    <row r="920" spans="1:16" ht="15" customHeight="1">
      <c r="A920" s="285"/>
      <c r="B920" s="285"/>
      <c r="C920" s="174">
        <v>6</v>
      </c>
      <c r="D920" s="175" t="s">
        <v>1568</v>
      </c>
      <c r="E920" s="174" t="s">
        <v>1123</v>
      </c>
      <c r="F920" s="175" t="s">
        <v>4779</v>
      </c>
      <c r="K920" s="8"/>
      <c r="L920" s="8"/>
      <c r="M920" s="8"/>
      <c r="N920" s="8"/>
      <c r="O920" s="8"/>
      <c r="P920" s="8"/>
    </row>
    <row r="921" spans="1:16" ht="15" customHeight="1">
      <c r="A921" s="285"/>
      <c r="B921" s="285"/>
      <c r="C921" s="174">
        <v>9</v>
      </c>
      <c r="D921" s="175" t="s">
        <v>1567</v>
      </c>
      <c r="E921" s="174" t="s">
        <v>2874</v>
      </c>
      <c r="F921" s="175" t="s">
        <v>4401</v>
      </c>
      <c r="K921" s="8"/>
      <c r="L921" s="8"/>
      <c r="M921" s="8"/>
      <c r="N921" s="8"/>
      <c r="O921" s="8"/>
      <c r="P921" s="8"/>
    </row>
    <row r="922" spans="1:16" ht="15" customHeight="1">
      <c r="A922" s="285"/>
      <c r="B922" s="285"/>
      <c r="C922" s="174">
        <v>10</v>
      </c>
      <c r="D922" s="175" t="s">
        <v>4106</v>
      </c>
      <c r="E922" s="174" t="s">
        <v>669</v>
      </c>
      <c r="F922" s="175" t="s">
        <v>4835</v>
      </c>
      <c r="K922" s="8"/>
      <c r="L922" s="8"/>
      <c r="M922" s="8"/>
      <c r="N922" s="8"/>
      <c r="O922" s="8"/>
      <c r="P922" s="8"/>
    </row>
    <row r="923" spans="1:16" ht="15" customHeight="1">
      <c r="A923" s="285"/>
      <c r="B923" s="285"/>
      <c r="C923" s="174">
        <v>11</v>
      </c>
      <c r="D923" s="175" t="s">
        <v>4107</v>
      </c>
      <c r="E923" s="174" t="s">
        <v>669</v>
      </c>
      <c r="F923" s="175" t="s">
        <v>4484</v>
      </c>
      <c r="K923" s="8"/>
      <c r="L923" s="8"/>
      <c r="M923" s="8"/>
      <c r="N923" s="8"/>
      <c r="O923" s="8"/>
      <c r="P923" s="8"/>
    </row>
    <row r="924" spans="1:16" ht="15" customHeight="1">
      <c r="A924" s="285"/>
      <c r="B924" s="285"/>
      <c r="C924" s="174">
        <v>13</v>
      </c>
      <c r="D924" s="175" t="s">
        <v>4108</v>
      </c>
      <c r="E924" s="174" t="s">
        <v>2874</v>
      </c>
      <c r="F924" s="175" t="s">
        <v>4804</v>
      </c>
      <c r="K924" s="8"/>
      <c r="L924" s="8"/>
      <c r="M924" s="8"/>
      <c r="N924" s="8"/>
      <c r="O924" s="8"/>
      <c r="P924" s="8"/>
    </row>
    <row r="925" spans="1:16" ht="15" customHeight="1">
      <c r="A925" s="284" t="s">
        <v>4399</v>
      </c>
      <c r="B925" s="284" t="s">
        <v>4817</v>
      </c>
      <c r="C925" s="182">
        <v>0</v>
      </c>
      <c r="D925" s="183" t="s">
        <v>3046</v>
      </c>
      <c r="E925" s="182" t="s">
        <v>669</v>
      </c>
      <c r="F925" s="183" t="s">
        <v>2920</v>
      </c>
      <c r="K925" s="8"/>
      <c r="L925" s="8"/>
      <c r="M925" s="8"/>
      <c r="N925" s="8"/>
      <c r="O925" s="8"/>
      <c r="P925" s="8"/>
    </row>
    <row r="926" spans="1:16" ht="15" customHeight="1">
      <c r="A926" s="284"/>
      <c r="B926" s="284"/>
      <c r="C926" s="182">
        <v>1</v>
      </c>
      <c r="D926" s="183" t="s">
        <v>1562</v>
      </c>
      <c r="E926" s="182" t="s">
        <v>2157</v>
      </c>
      <c r="F926" s="183" t="s">
        <v>4451</v>
      </c>
      <c r="K926" s="8"/>
      <c r="L926" s="8"/>
      <c r="M926" s="8"/>
      <c r="N926" s="8"/>
      <c r="O926" s="8"/>
      <c r="P926" s="8"/>
    </row>
    <row r="927" spans="1:16" ht="15" customHeight="1">
      <c r="A927" s="284"/>
      <c r="B927" s="284"/>
      <c r="C927" s="182">
        <v>2</v>
      </c>
      <c r="D927" s="183" t="s">
        <v>1561</v>
      </c>
      <c r="E927" s="182" t="s">
        <v>2874</v>
      </c>
      <c r="F927" s="183" t="s">
        <v>4818</v>
      </c>
      <c r="K927" s="8"/>
      <c r="L927" s="8"/>
      <c r="M927" s="8"/>
      <c r="N927" s="8"/>
      <c r="O927" s="8"/>
      <c r="P927" s="8"/>
    </row>
    <row r="928" spans="1:16" ht="15" customHeight="1">
      <c r="A928" s="284"/>
      <c r="B928" s="284"/>
      <c r="C928" s="182">
        <v>3</v>
      </c>
      <c r="D928" s="183" t="s">
        <v>1560</v>
      </c>
      <c r="E928" s="182" t="s">
        <v>2874</v>
      </c>
      <c r="F928" s="183" t="s">
        <v>4922</v>
      </c>
      <c r="K928" s="8"/>
      <c r="L928" s="8"/>
      <c r="M928" s="8"/>
      <c r="N928" s="8"/>
      <c r="O928" s="8"/>
      <c r="P928" s="8"/>
    </row>
    <row r="929" spans="1:16" ht="15" customHeight="1">
      <c r="A929" s="284"/>
      <c r="B929" s="284"/>
      <c r="C929" s="182">
        <v>4</v>
      </c>
      <c r="D929" s="183" t="s">
        <v>1559</v>
      </c>
      <c r="E929" s="182" t="s">
        <v>2874</v>
      </c>
      <c r="F929" s="183" t="s">
        <v>4844</v>
      </c>
      <c r="K929" s="8"/>
      <c r="L929" s="8"/>
      <c r="M929" s="8"/>
      <c r="N929" s="8"/>
      <c r="O929" s="8"/>
      <c r="P929" s="8"/>
    </row>
    <row r="930" spans="1:16" ht="15" customHeight="1">
      <c r="A930" s="284"/>
      <c r="B930" s="284"/>
      <c r="C930" s="182">
        <v>5</v>
      </c>
      <c r="D930" s="183" t="s">
        <v>1558</v>
      </c>
      <c r="E930" s="182" t="s">
        <v>2874</v>
      </c>
      <c r="F930" s="183" t="s">
        <v>4487</v>
      </c>
      <c r="K930" s="8"/>
      <c r="L930" s="8"/>
      <c r="M930" s="8"/>
      <c r="N930" s="8"/>
      <c r="O930" s="8"/>
      <c r="P930" s="8"/>
    </row>
    <row r="931" spans="1:16" ht="15" customHeight="1">
      <c r="A931" s="284"/>
      <c r="B931" s="284"/>
      <c r="C931" s="182">
        <v>6</v>
      </c>
      <c r="D931" s="183" t="s">
        <v>4109</v>
      </c>
      <c r="E931" s="182" t="s">
        <v>1123</v>
      </c>
      <c r="F931" s="183" t="s">
        <v>4781</v>
      </c>
      <c r="K931" s="8"/>
      <c r="L931" s="8"/>
      <c r="M931" s="8"/>
      <c r="N931" s="8"/>
      <c r="O931" s="8"/>
      <c r="P931" s="8"/>
    </row>
    <row r="932" spans="1:16" ht="15" customHeight="1">
      <c r="A932" s="284"/>
      <c r="B932" s="284"/>
      <c r="C932" s="182">
        <v>9</v>
      </c>
      <c r="D932" s="183" t="s">
        <v>4110</v>
      </c>
      <c r="E932" s="182" t="s">
        <v>1123</v>
      </c>
      <c r="F932" s="183" t="s">
        <v>4400</v>
      </c>
      <c r="K932" s="8"/>
      <c r="L932" s="8"/>
      <c r="M932" s="8"/>
      <c r="N932" s="8"/>
      <c r="O932" s="8"/>
      <c r="P932" s="8"/>
    </row>
    <row r="933" spans="1:16" ht="15" customHeight="1">
      <c r="A933" s="284"/>
      <c r="B933" s="284"/>
      <c r="C933" s="182">
        <v>10</v>
      </c>
      <c r="D933" s="183" t="s">
        <v>4111</v>
      </c>
      <c r="E933" s="182" t="s">
        <v>669</v>
      </c>
      <c r="F933" s="183" t="s">
        <v>4838</v>
      </c>
      <c r="K933" s="8"/>
      <c r="L933" s="8"/>
      <c r="M933" s="8"/>
      <c r="N933" s="8"/>
      <c r="O933" s="8"/>
      <c r="P933" s="8"/>
    </row>
    <row r="934" spans="1:16" ht="15" customHeight="1">
      <c r="A934" s="284"/>
      <c r="B934" s="284"/>
      <c r="C934" s="182">
        <v>11</v>
      </c>
      <c r="D934" s="183" t="s">
        <v>4112</v>
      </c>
      <c r="E934" s="182" t="s">
        <v>669</v>
      </c>
      <c r="F934" s="183" t="s">
        <v>4471</v>
      </c>
      <c r="K934" s="8"/>
      <c r="L934" s="8"/>
      <c r="M934" s="8"/>
      <c r="N934" s="8"/>
      <c r="O934" s="8"/>
      <c r="P934" s="8"/>
    </row>
    <row r="935" spans="1:16" ht="15" customHeight="1">
      <c r="A935" s="284"/>
      <c r="B935" s="284"/>
      <c r="C935" s="182">
        <v>13</v>
      </c>
      <c r="D935" s="183" t="s">
        <v>4113</v>
      </c>
      <c r="E935" s="182" t="s">
        <v>1123</v>
      </c>
      <c r="F935" s="183" t="s">
        <v>4807</v>
      </c>
      <c r="K935" s="8"/>
      <c r="L935" s="8"/>
      <c r="M935" s="8"/>
      <c r="N935" s="8"/>
      <c r="O935" s="8"/>
      <c r="P935" s="8"/>
    </row>
    <row r="936" spans="1:16" ht="15" customHeight="1">
      <c r="A936" s="286" t="s">
        <v>1553</v>
      </c>
      <c r="B936" s="286" t="s">
        <v>4115</v>
      </c>
      <c r="C936" s="174">
        <v>0</v>
      </c>
      <c r="D936" s="175" t="s">
        <v>4114</v>
      </c>
      <c r="E936" s="174" t="s">
        <v>669</v>
      </c>
      <c r="F936" s="175" t="s">
        <v>2920</v>
      </c>
      <c r="K936" s="8"/>
      <c r="L936" s="8"/>
      <c r="M936" s="8"/>
      <c r="N936" s="8"/>
      <c r="O936" s="8"/>
      <c r="P936" s="8"/>
    </row>
    <row r="937" spans="1:16" ht="15" customHeight="1">
      <c r="A937" s="286"/>
      <c r="B937" s="286"/>
      <c r="C937" s="174">
        <v>1</v>
      </c>
      <c r="D937" s="175" t="s">
        <v>1550</v>
      </c>
      <c r="E937" s="174" t="s">
        <v>2874</v>
      </c>
      <c r="F937" s="223" t="s">
        <v>4455</v>
      </c>
      <c r="K937" s="8"/>
      <c r="L937" s="8"/>
      <c r="M937" s="8"/>
      <c r="N937" s="8"/>
      <c r="O937" s="8"/>
      <c r="P937" s="8"/>
    </row>
    <row r="938" spans="1:16" ht="15" customHeight="1">
      <c r="A938" s="286"/>
      <c r="B938" s="286"/>
      <c r="C938" s="174">
        <v>2</v>
      </c>
      <c r="D938" s="175" t="s">
        <v>1549</v>
      </c>
      <c r="E938" s="174" t="s">
        <v>2874</v>
      </c>
      <c r="F938" s="175" t="s">
        <v>4820</v>
      </c>
      <c r="K938" s="8"/>
      <c r="L938" s="8"/>
      <c r="M938" s="8"/>
      <c r="N938" s="8"/>
      <c r="O938" s="8"/>
      <c r="P938" s="8"/>
    </row>
    <row r="939" spans="1:16" ht="15" customHeight="1">
      <c r="A939" s="286"/>
      <c r="B939" s="286"/>
      <c r="C939" s="174">
        <v>3</v>
      </c>
      <c r="D939" s="175" t="s">
        <v>1548</v>
      </c>
      <c r="E939" s="174" t="s">
        <v>2874</v>
      </c>
      <c r="F939" s="175" t="s">
        <v>4923</v>
      </c>
      <c r="K939" s="8"/>
      <c r="L939" s="8"/>
      <c r="M939" s="8"/>
      <c r="N939" s="8"/>
      <c r="O939" s="8"/>
      <c r="P939" s="8"/>
    </row>
    <row r="940" spans="1:16" ht="15" customHeight="1">
      <c r="A940" s="286"/>
      <c r="B940" s="286"/>
      <c r="C940" s="174">
        <v>4</v>
      </c>
      <c r="D940" s="175" t="s">
        <v>1547</v>
      </c>
      <c r="E940" s="174" t="s">
        <v>1123</v>
      </c>
      <c r="F940" s="175" t="s">
        <v>4716</v>
      </c>
      <c r="K940" s="8"/>
      <c r="L940" s="8"/>
      <c r="M940" s="8"/>
      <c r="N940" s="8"/>
      <c r="O940" s="8"/>
      <c r="P940" s="8"/>
    </row>
    <row r="941" spans="1:16" ht="15" customHeight="1">
      <c r="A941" s="286"/>
      <c r="B941" s="286"/>
      <c r="C941" s="174">
        <v>5</v>
      </c>
      <c r="D941" s="175" t="s">
        <v>1546</v>
      </c>
      <c r="E941" s="174" t="s">
        <v>1123</v>
      </c>
      <c r="F941" s="175" t="s">
        <v>4958</v>
      </c>
      <c r="K941" s="8"/>
      <c r="L941" s="8"/>
      <c r="M941" s="8"/>
      <c r="N941" s="8"/>
      <c r="O941" s="8"/>
      <c r="P941" s="8"/>
    </row>
    <row r="942" spans="1:16" ht="15" customHeight="1">
      <c r="A942" s="286"/>
      <c r="B942" s="286"/>
      <c r="C942" s="174">
        <v>6</v>
      </c>
      <c r="D942" s="175" t="s">
        <v>1545</v>
      </c>
      <c r="E942" s="174" t="s">
        <v>2874</v>
      </c>
      <c r="F942" s="175" t="s">
        <v>4780</v>
      </c>
      <c r="K942" s="8"/>
      <c r="L942" s="8"/>
      <c r="M942" s="8"/>
      <c r="N942" s="8"/>
      <c r="O942" s="8"/>
      <c r="P942" s="8"/>
    </row>
    <row r="943" spans="1:16" ht="15" customHeight="1">
      <c r="A943" s="286"/>
      <c r="B943" s="286"/>
      <c r="C943" s="174">
        <v>9</v>
      </c>
      <c r="D943" s="175" t="s">
        <v>1544</v>
      </c>
      <c r="E943" s="174" t="s">
        <v>1123</v>
      </c>
      <c r="F943" s="175" t="s">
        <v>4394</v>
      </c>
      <c r="K943" s="8"/>
      <c r="L943" s="8"/>
      <c r="M943" s="8"/>
      <c r="N943" s="8"/>
      <c r="O943" s="8"/>
      <c r="P943" s="8"/>
    </row>
    <row r="944" spans="1:16" ht="15" customHeight="1">
      <c r="A944" s="286"/>
      <c r="B944" s="286"/>
      <c r="C944" s="174">
        <v>10</v>
      </c>
      <c r="D944" s="175" t="s">
        <v>1543</v>
      </c>
      <c r="E944" s="174" t="s">
        <v>669</v>
      </c>
      <c r="F944" s="175" t="s">
        <v>4841</v>
      </c>
      <c r="K944" s="8"/>
      <c r="L944" s="8"/>
      <c r="M944" s="8"/>
      <c r="N944" s="8"/>
      <c r="O944" s="8"/>
      <c r="P944" s="8"/>
    </row>
    <row r="945" spans="1:16" ht="15" customHeight="1">
      <c r="A945" s="286"/>
      <c r="B945" s="286"/>
      <c r="C945" s="174">
        <v>11</v>
      </c>
      <c r="D945" s="175" t="s">
        <v>4116</v>
      </c>
      <c r="E945" s="174" t="s">
        <v>669</v>
      </c>
      <c r="F945" s="175" t="s">
        <v>4485</v>
      </c>
      <c r="K945" s="8"/>
      <c r="L945" s="8"/>
      <c r="M945" s="8"/>
      <c r="N945" s="8"/>
      <c r="O945" s="8"/>
      <c r="P945" s="8"/>
    </row>
    <row r="946" spans="1:16" ht="15" customHeight="1">
      <c r="A946" s="286"/>
      <c r="B946" s="286"/>
      <c r="C946" s="174">
        <v>12</v>
      </c>
      <c r="D946" s="175" t="s">
        <v>4117</v>
      </c>
      <c r="E946" s="174" t="s">
        <v>669</v>
      </c>
      <c r="F946" s="175" t="s">
        <v>4797</v>
      </c>
      <c r="K946" s="8"/>
      <c r="L946" s="8"/>
      <c r="M946" s="8"/>
      <c r="N946" s="8"/>
      <c r="O946" s="8"/>
      <c r="P946" s="8"/>
    </row>
    <row r="947" spans="1:16" ht="15" customHeight="1">
      <c r="A947" s="286"/>
      <c r="B947" s="286"/>
      <c r="C947" s="174">
        <v>13</v>
      </c>
      <c r="D947" s="175" t="s">
        <v>4118</v>
      </c>
      <c r="E947" s="174" t="s">
        <v>2874</v>
      </c>
      <c r="F947" s="175" t="s">
        <v>4799</v>
      </c>
      <c r="K947" s="8"/>
      <c r="L947" s="8"/>
      <c r="M947" s="8"/>
      <c r="N947" s="8"/>
      <c r="O947" s="8"/>
      <c r="P947" s="8"/>
    </row>
    <row r="948" spans="1:16" ht="15" customHeight="1">
      <c r="A948" s="286"/>
      <c r="B948" s="286"/>
      <c r="C948" s="174">
        <v>14</v>
      </c>
      <c r="D948" s="175" t="s">
        <v>4119</v>
      </c>
      <c r="E948" s="174" t="s">
        <v>1123</v>
      </c>
      <c r="F948" s="175" t="s">
        <v>4856</v>
      </c>
      <c r="K948" s="8"/>
      <c r="L948" s="8"/>
      <c r="M948" s="8"/>
      <c r="N948" s="8"/>
      <c r="O948" s="8"/>
      <c r="P948" s="8"/>
    </row>
    <row r="949" spans="1:16" ht="15" customHeight="1">
      <c r="A949" s="284" t="s">
        <v>1538</v>
      </c>
      <c r="B949" s="284" t="s">
        <v>4120</v>
      </c>
      <c r="C949" s="182">
        <v>0</v>
      </c>
      <c r="D949" s="183" t="s">
        <v>3045</v>
      </c>
      <c r="E949" s="182" t="s">
        <v>669</v>
      </c>
      <c r="F949" s="183" t="s">
        <v>2920</v>
      </c>
      <c r="K949" s="8"/>
      <c r="L949" s="8"/>
      <c r="M949" s="8"/>
      <c r="N949" s="8"/>
      <c r="O949" s="8"/>
      <c r="P949" s="8"/>
    </row>
    <row r="950" spans="1:16" ht="15" customHeight="1">
      <c r="A950" s="284"/>
      <c r="B950" s="284"/>
      <c r="C950" s="182">
        <v>1</v>
      </c>
      <c r="D950" s="183" t="s">
        <v>1535</v>
      </c>
      <c r="E950" s="182" t="s">
        <v>1123</v>
      </c>
      <c r="F950" s="183" t="s">
        <v>4672</v>
      </c>
      <c r="K950" s="8"/>
      <c r="L950" s="8"/>
      <c r="M950" s="8"/>
      <c r="N950" s="8"/>
      <c r="O950" s="8"/>
      <c r="P950" s="8"/>
    </row>
    <row r="951" spans="1:16" ht="15" customHeight="1">
      <c r="A951" s="284"/>
      <c r="B951" s="284"/>
      <c r="C951" s="182">
        <v>2</v>
      </c>
      <c r="D951" s="183" t="s">
        <v>1534</v>
      </c>
      <c r="E951" s="182" t="s">
        <v>2874</v>
      </c>
      <c r="F951" s="183" t="s">
        <v>4821</v>
      </c>
      <c r="K951" s="8"/>
      <c r="L951" s="8"/>
      <c r="M951" s="8"/>
      <c r="N951" s="8"/>
      <c r="O951" s="8"/>
      <c r="P951" s="8"/>
    </row>
    <row r="952" spans="1:16" ht="15" customHeight="1">
      <c r="A952" s="284"/>
      <c r="B952" s="284"/>
      <c r="C952" s="182">
        <v>3</v>
      </c>
      <c r="D952" s="211" t="s">
        <v>1533</v>
      </c>
      <c r="E952" s="182" t="s">
        <v>2874</v>
      </c>
      <c r="F952" s="183" t="s">
        <v>4930</v>
      </c>
      <c r="K952" s="8"/>
      <c r="L952" s="8"/>
      <c r="M952" s="8"/>
      <c r="N952" s="8"/>
      <c r="O952" s="8"/>
      <c r="P952" s="8"/>
    </row>
    <row r="953" spans="1:16" ht="15" customHeight="1">
      <c r="A953" s="284"/>
      <c r="B953" s="284"/>
      <c r="C953" s="182">
        <v>5</v>
      </c>
      <c r="D953" s="183" t="s">
        <v>1532</v>
      </c>
      <c r="E953" s="182" t="s">
        <v>2874</v>
      </c>
      <c r="F953" s="183" t="s">
        <v>4761</v>
      </c>
      <c r="K953" s="8"/>
      <c r="L953" s="8"/>
      <c r="M953" s="8"/>
      <c r="N953" s="8"/>
      <c r="O953" s="8"/>
      <c r="P953" s="8"/>
    </row>
    <row r="954" spans="1:16" ht="15" customHeight="1">
      <c r="A954" s="284"/>
      <c r="B954" s="284"/>
      <c r="C954" s="182">
        <v>6</v>
      </c>
      <c r="D954" s="183" t="s">
        <v>1531</v>
      </c>
      <c r="E954" s="182" t="s">
        <v>1123</v>
      </c>
      <c r="F954" s="183" t="s">
        <v>4782</v>
      </c>
      <c r="K954" s="8"/>
      <c r="L954" s="8"/>
      <c r="M954" s="8"/>
      <c r="N954" s="8"/>
      <c r="O954" s="8"/>
      <c r="P954" s="8"/>
    </row>
    <row r="955" spans="1:16" ht="15" customHeight="1">
      <c r="A955" s="284"/>
      <c r="B955" s="284"/>
      <c r="C955" s="182">
        <v>9</v>
      </c>
      <c r="D955" s="183" t="s">
        <v>1530</v>
      </c>
      <c r="E955" s="182" t="s">
        <v>2874</v>
      </c>
      <c r="F955" s="224" t="s">
        <v>4391</v>
      </c>
      <c r="K955" s="8"/>
      <c r="L955" s="8"/>
      <c r="M955" s="8"/>
      <c r="N955" s="8"/>
      <c r="O955" s="8"/>
      <c r="P955" s="8"/>
    </row>
    <row r="956" spans="1:16" ht="15" customHeight="1">
      <c r="A956" s="284"/>
      <c r="B956" s="284"/>
      <c r="C956" s="182">
        <v>10</v>
      </c>
      <c r="D956" s="183" t="s">
        <v>4121</v>
      </c>
      <c r="E956" s="182" t="s">
        <v>2874</v>
      </c>
      <c r="F956" s="183" t="s">
        <v>4830</v>
      </c>
      <c r="K956" s="8"/>
      <c r="L956" s="8"/>
      <c r="M956" s="8"/>
      <c r="N956" s="8"/>
      <c r="O956" s="8"/>
      <c r="P956" s="8"/>
    </row>
    <row r="957" spans="1:16" ht="15" customHeight="1">
      <c r="A957" s="284"/>
      <c r="B957" s="284"/>
      <c r="C957" s="182">
        <v>11</v>
      </c>
      <c r="D957" s="183" t="s">
        <v>1528</v>
      </c>
      <c r="E957" s="182" t="s">
        <v>669</v>
      </c>
      <c r="F957" s="183" t="s">
        <v>4472</v>
      </c>
      <c r="K957" s="8"/>
      <c r="L957" s="8"/>
      <c r="M957" s="8"/>
      <c r="N957" s="8"/>
      <c r="O957" s="8"/>
      <c r="P957" s="8"/>
    </row>
    <row r="958" spans="1:16" ht="15" customHeight="1">
      <c r="A958" s="284"/>
      <c r="B958" s="284"/>
      <c r="C958" s="182">
        <v>12</v>
      </c>
      <c r="D958" s="183" t="s">
        <v>1527</v>
      </c>
      <c r="E958" s="182" t="s">
        <v>669</v>
      </c>
      <c r="F958" s="183" t="s">
        <v>4798</v>
      </c>
      <c r="K958" s="8"/>
      <c r="L958" s="8"/>
      <c r="M958" s="8"/>
      <c r="N958" s="8"/>
      <c r="O958" s="8"/>
      <c r="P958" s="8"/>
    </row>
    <row r="959" spans="1:16" ht="15" customHeight="1">
      <c r="A959" s="284"/>
      <c r="B959" s="284"/>
      <c r="C959" s="182">
        <v>13</v>
      </c>
      <c r="D959" s="183" t="s">
        <v>1526</v>
      </c>
      <c r="E959" s="182" t="s">
        <v>1123</v>
      </c>
      <c r="F959" s="183" t="s">
        <v>4808</v>
      </c>
      <c r="K959" s="8"/>
      <c r="L959" s="8"/>
      <c r="M959" s="8"/>
      <c r="N959" s="8"/>
      <c r="O959" s="8"/>
      <c r="P959" s="8"/>
    </row>
    <row r="960" spans="1:16" ht="15" customHeight="1">
      <c r="A960" s="230" t="s">
        <v>1525</v>
      </c>
      <c r="B960" s="231" t="s">
        <v>518</v>
      </c>
      <c r="C960" s="151" t="s">
        <v>2852</v>
      </c>
      <c r="D960" s="171" t="s">
        <v>518</v>
      </c>
      <c r="E960" s="170" t="s">
        <v>505</v>
      </c>
      <c r="F960" s="171" t="s">
        <v>3044</v>
      </c>
      <c r="K960" s="8"/>
      <c r="L960" s="8"/>
      <c r="M960" s="8"/>
      <c r="N960" s="8"/>
      <c r="O960" s="8"/>
      <c r="P960" s="8"/>
    </row>
    <row r="961" spans="1:16" ht="15" customHeight="1">
      <c r="A961" s="155" t="s">
        <v>1523</v>
      </c>
      <c r="B961" s="154"/>
      <c r="C961" s="159"/>
      <c r="D961" s="154"/>
      <c r="E961" s="155"/>
      <c r="F961" s="158"/>
      <c r="K961" s="8"/>
      <c r="L961" s="8"/>
      <c r="M961" s="8"/>
      <c r="N961" s="8"/>
      <c r="O961" s="8"/>
      <c r="P961" s="8"/>
    </row>
    <row r="962" spans="1:16" ht="15" customHeight="1">
      <c r="A962" s="293" t="s">
        <v>4177</v>
      </c>
      <c r="B962" s="293" t="s">
        <v>4124</v>
      </c>
      <c r="C962" s="151">
        <v>0</v>
      </c>
      <c r="D962" s="171" t="s">
        <v>3043</v>
      </c>
      <c r="E962" s="170" t="s">
        <v>669</v>
      </c>
      <c r="F962" s="171" t="s">
        <v>2923</v>
      </c>
      <c r="K962" s="8"/>
      <c r="L962" s="8"/>
      <c r="M962" s="8"/>
      <c r="N962" s="8"/>
      <c r="O962" s="8"/>
      <c r="P962" s="8"/>
    </row>
    <row r="963" spans="1:16" ht="15" customHeight="1">
      <c r="A963" s="294"/>
      <c r="B963" s="294"/>
      <c r="C963" s="151">
        <v>1</v>
      </c>
      <c r="D963" s="175" t="s">
        <v>1519</v>
      </c>
      <c r="E963" s="170" t="s">
        <v>2874</v>
      </c>
      <c r="F963" s="171" t="s">
        <v>4419</v>
      </c>
      <c r="K963" s="8"/>
      <c r="L963" s="8"/>
      <c r="M963" s="8"/>
      <c r="N963" s="8"/>
      <c r="O963" s="8"/>
      <c r="P963" s="8"/>
    </row>
    <row r="964" spans="1:16" ht="15" customHeight="1">
      <c r="A964" s="294"/>
      <c r="B964" s="294"/>
      <c r="C964" s="151">
        <v>2</v>
      </c>
      <c r="D964" s="171" t="s">
        <v>1518</v>
      </c>
      <c r="E964" s="170" t="s">
        <v>1123</v>
      </c>
      <c r="F964" s="171" t="s">
        <v>3041</v>
      </c>
      <c r="K964" s="8"/>
      <c r="L964" s="8"/>
      <c r="M964" s="8"/>
      <c r="N964" s="8"/>
      <c r="O964" s="8"/>
      <c r="P964" s="8"/>
    </row>
    <row r="965" spans="1:16" ht="15" customHeight="1">
      <c r="A965" s="294"/>
      <c r="B965" s="294"/>
      <c r="C965" s="151">
        <v>3</v>
      </c>
      <c r="D965" s="171" t="s">
        <v>1517</v>
      </c>
      <c r="E965" s="170" t="s">
        <v>2874</v>
      </c>
      <c r="F965" s="171" t="s">
        <v>3042</v>
      </c>
      <c r="K965" s="8"/>
      <c r="L965" s="8"/>
      <c r="M965" s="8"/>
      <c r="N965" s="8"/>
      <c r="O965" s="8"/>
      <c r="P965" s="8"/>
    </row>
    <row r="966" spans="1:16" ht="15" customHeight="1">
      <c r="A966" s="294"/>
      <c r="B966" s="294"/>
      <c r="C966" s="151">
        <v>4</v>
      </c>
      <c r="D966" s="171" t="s">
        <v>1516</v>
      </c>
      <c r="E966" s="170" t="s">
        <v>2874</v>
      </c>
      <c r="F966" s="171" t="s">
        <v>4959</v>
      </c>
      <c r="K966" s="8"/>
      <c r="L966" s="8"/>
      <c r="M966" s="8"/>
      <c r="N966" s="8"/>
      <c r="O966" s="8"/>
      <c r="P966" s="8"/>
    </row>
    <row r="967" spans="1:16" ht="15" customHeight="1">
      <c r="A967" s="294"/>
      <c r="B967" s="294"/>
      <c r="C967" s="151">
        <v>5</v>
      </c>
      <c r="D967" s="175" t="s">
        <v>1515</v>
      </c>
      <c r="E967" s="170" t="s">
        <v>669</v>
      </c>
      <c r="F967" s="171" t="s">
        <v>4732</v>
      </c>
      <c r="K967" s="8"/>
      <c r="L967" s="8"/>
      <c r="M967" s="8"/>
      <c r="N967" s="8"/>
      <c r="O967" s="8"/>
      <c r="P967" s="8"/>
    </row>
    <row r="968" spans="1:16" ht="15" customHeight="1">
      <c r="A968" s="294"/>
      <c r="B968" s="294"/>
      <c r="C968" s="151">
        <v>9</v>
      </c>
      <c r="D968" s="171" t="s">
        <v>1514</v>
      </c>
      <c r="E968" s="170" t="s">
        <v>1123</v>
      </c>
      <c r="F968" s="171" t="s">
        <v>4178</v>
      </c>
      <c r="K968" s="8"/>
      <c r="L968" s="8"/>
      <c r="M968" s="8"/>
      <c r="N968" s="8"/>
      <c r="O968" s="8"/>
      <c r="P968" s="8"/>
    </row>
    <row r="969" spans="1:16" ht="15" customHeight="1">
      <c r="A969" s="294"/>
      <c r="B969" s="294"/>
      <c r="C969" s="151">
        <v>10</v>
      </c>
      <c r="D969" s="171" t="s">
        <v>1513</v>
      </c>
      <c r="E969" s="170" t="s">
        <v>669</v>
      </c>
      <c r="F969" s="171" t="s">
        <v>4180</v>
      </c>
      <c r="K969" s="8"/>
      <c r="L969" s="8"/>
      <c r="M969" s="8"/>
      <c r="N969" s="8"/>
      <c r="O969" s="8"/>
      <c r="P969" s="8"/>
    </row>
    <row r="970" spans="1:16" ht="15" customHeight="1">
      <c r="A970" s="295"/>
      <c r="B970" s="295"/>
      <c r="C970" s="151">
        <v>12</v>
      </c>
      <c r="D970" s="171" t="s">
        <v>4125</v>
      </c>
      <c r="E970" s="170" t="s">
        <v>669</v>
      </c>
      <c r="F970" s="171" t="s">
        <v>4179</v>
      </c>
      <c r="K970" s="8"/>
      <c r="L970" s="8"/>
      <c r="M970" s="8"/>
      <c r="N970" s="8"/>
      <c r="O970" s="8"/>
      <c r="P970" s="8"/>
    </row>
    <row r="971" spans="1:16" ht="15" customHeight="1">
      <c r="A971" s="272" t="s">
        <v>4181</v>
      </c>
      <c r="B971" s="272" t="s">
        <v>4126</v>
      </c>
      <c r="C971" s="153">
        <v>0</v>
      </c>
      <c r="D971" s="152" t="s">
        <v>3040</v>
      </c>
      <c r="E971" s="153" t="s">
        <v>669</v>
      </c>
      <c r="F971" s="152" t="s">
        <v>2923</v>
      </c>
      <c r="K971" s="8"/>
      <c r="L971" s="8"/>
      <c r="M971" s="8"/>
      <c r="N971" s="8"/>
      <c r="O971" s="8"/>
      <c r="P971" s="8"/>
    </row>
    <row r="972" spans="1:16" ht="15" customHeight="1">
      <c r="A972" s="292"/>
      <c r="B972" s="292"/>
      <c r="C972" s="153">
        <v>1</v>
      </c>
      <c r="D972" s="183" t="s">
        <v>1508</v>
      </c>
      <c r="E972" s="153" t="s">
        <v>669</v>
      </c>
      <c r="F972" s="152" t="s">
        <v>4182</v>
      </c>
      <c r="K972" s="8"/>
      <c r="L972" s="8"/>
      <c r="M972" s="8"/>
      <c r="N972" s="8"/>
      <c r="O972" s="8"/>
      <c r="P972" s="8"/>
    </row>
    <row r="973" spans="1:16" ht="15" customHeight="1">
      <c r="A973" s="292"/>
      <c r="B973" s="292"/>
      <c r="C973" s="153">
        <v>2</v>
      </c>
      <c r="D973" s="152" t="s">
        <v>1507</v>
      </c>
      <c r="E973" s="153" t="s">
        <v>669</v>
      </c>
      <c r="F973" s="152" t="s">
        <v>4183</v>
      </c>
      <c r="K973" s="8"/>
      <c r="L973" s="8"/>
      <c r="M973" s="8"/>
      <c r="N973" s="8"/>
      <c r="O973" s="8"/>
      <c r="P973" s="8"/>
    </row>
    <row r="974" spans="1:16" ht="15" customHeight="1">
      <c r="A974" s="292"/>
      <c r="B974" s="292"/>
      <c r="C974" s="153">
        <v>3</v>
      </c>
      <c r="D974" s="152" t="s">
        <v>1506</v>
      </c>
      <c r="E974" s="153" t="s">
        <v>2874</v>
      </c>
      <c r="F974" s="152" t="s">
        <v>3039</v>
      </c>
      <c r="K974" s="8"/>
      <c r="L974" s="8"/>
      <c r="M974" s="8"/>
      <c r="N974" s="8"/>
      <c r="O974" s="8"/>
      <c r="P974" s="8"/>
    </row>
    <row r="975" spans="1:16" ht="15" customHeight="1">
      <c r="A975" s="292"/>
      <c r="B975" s="292"/>
      <c r="C975" s="153">
        <v>4</v>
      </c>
      <c r="D975" s="152" t="s">
        <v>1505</v>
      </c>
      <c r="E975" s="153" t="s">
        <v>2874</v>
      </c>
      <c r="F975" s="152" t="s">
        <v>3038</v>
      </c>
      <c r="K975" s="8"/>
      <c r="L975" s="8"/>
      <c r="M975" s="8"/>
      <c r="N975" s="8"/>
      <c r="O975" s="8"/>
      <c r="P975" s="8"/>
    </row>
    <row r="976" spans="1:16" ht="15" customHeight="1">
      <c r="A976" s="292"/>
      <c r="B976" s="292"/>
      <c r="C976" s="153">
        <v>5</v>
      </c>
      <c r="D976" s="183" t="s">
        <v>1504</v>
      </c>
      <c r="E976" s="153" t="s">
        <v>1123</v>
      </c>
      <c r="F976" s="152" t="s">
        <v>4752</v>
      </c>
      <c r="K976" s="8"/>
      <c r="L976" s="8"/>
      <c r="M976" s="8"/>
      <c r="N976" s="8"/>
      <c r="O976" s="8"/>
      <c r="P976" s="8"/>
    </row>
    <row r="977" spans="1:16" ht="15" customHeight="1">
      <c r="A977" s="292"/>
      <c r="B977" s="292"/>
      <c r="C977" s="153">
        <v>9</v>
      </c>
      <c r="D977" s="152" t="s">
        <v>1503</v>
      </c>
      <c r="E977" s="153" t="s">
        <v>2874</v>
      </c>
      <c r="F977" s="152" t="s">
        <v>4184</v>
      </c>
      <c r="K977" s="8"/>
      <c r="L977" s="8"/>
      <c r="M977" s="8"/>
      <c r="N977" s="8"/>
      <c r="O977" s="8"/>
      <c r="P977" s="8"/>
    </row>
    <row r="978" spans="1:16" ht="15" customHeight="1">
      <c r="A978" s="292"/>
      <c r="B978" s="292"/>
      <c r="C978" s="153">
        <v>10</v>
      </c>
      <c r="D978" s="152" t="s">
        <v>1502</v>
      </c>
      <c r="E978" s="153" t="s">
        <v>2874</v>
      </c>
      <c r="F978" s="152" t="s">
        <v>4185</v>
      </c>
      <c r="K978" s="8"/>
      <c r="L978" s="8"/>
      <c r="M978" s="8"/>
      <c r="N978" s="8"/>
      <c r="O978" s="8"/>
      <c r="P978" s="8"/>
    </row>
    <row r="979" spans="1:16" ht="15" customHeight="1">
      <c r="A979" s="273"/>
      <c r="B979" s="273"/>
      <c r="C979" s="153">
        <v>12</v>
      </c>
      <c r="D979" s="183" t="s">
        <v>1501</v>
      </c>
      <c r="E979" s="153" t="s">
        <v>669</v>
      </c>
      <c r="F979" s="152" t="s">
        <v>4186</v>
      </c>
      <c r="K979" s="8"/>
      <c r="L979" s="8"/>
      <c r="M979" s="8"/>
      <c r="N979" s="8"/>
      <c r="O979" s="8"/>
      <c r="P979" s="8"/>
    </row>
    <row r="980" spans="1:16" ht="15" customHeight="1">
      <c r="A980" s="293" t="s">
        <v>4187</v>
      </c>
      <c r="B980" s="293" t="s">
        <v>4128</v>
      </c>
      <c r="C980" s="151">
        <v>0</v>
      </c>
      <c r="D980" s="171" t="s">
        <v>3037</v>
      </c>
      <c r="E980" s="170" t="s">
        <v>669</v>
      </c>
      <c r="F980" s="171" t="s">
        <v>2923</v>
      </c>
      <c r="K980" s="8"/>
      <c r="L980" s="8"/>
      <c r="M980" s="8"/>
      <c r="N980" s="8"/>
      <c r="O980" s="8"/>
      <c r="P980" s="8"/>
    </row>
    <row r="981" spans="1:16" ht="15" customHeight="1">
      <c r="A981" s="294"/>
      <c r="B981" s="294"/>
      <c r="C981" s="151">
        <v>1</v>
      </c>
      <c r="D981" s="171" t="s">
        <v>4127</v>
      </c>
      <c r="E981" s="170" t="s">
        <v>2874</v>
      </c>
      <c r="F981" s="171" t="s">
        <v>4188</v>
      </c>
      <c r="K981" s="8"/>
      <c r="L981" s="8"/>
      <c r="M981" s="8"/>
      <c r="N981" s="8"/>
      <c r="O981" s="8"/>
      <c r="P981" s="8"/>
    </row>
    <row r="982" spans="1:16" ht="15" customHeight="1">
      <c r="A982" s="294"/>
      <c r="B982" s="294"/>
      <c r="C982" s="151">
        <v>2</v>
      </c>
      <c r="D982" s="171" t="s">
        <v>1496</v>
      </c>
      <c r="E982" s="170" t="s">
        <v>669</v>
      </c>
      <c r="F982" s="171" t="s">
        <v>3034</v>
      </c>
      <c r="K982" s="8"/>
      <c r="L982" s="8"/>
      <c r="M982" s="8"/>
      <c r="N982" s="8"/>
      <c r="O982" s="8"/>
      <c r="P982" s="8"/>
    </row>
    <row r="983" spans="1:16" ht="15" customHeight="1">
      <c r="A983" s="294"/>
      <c r="B983" s="294"/>
      <c r="C983" s="151">
        <v>3</v>
      </c>
      <c r="D983" s="171" t="s">
        <v>1495</v>
      </c>
      <c r="E983" s="170" t="s">
        <v>2874</v>
      </c>
      <c r="F983" s="171" t="s">
        <v>3036</v>
      </c>
      <c r="K983" s="8"/>
      <c r="L983" s="8"/>
      <c r="M983" s="8"/>
      <c r="N983" s="8"/>
      <c r="O983" s="8"/>
      <c r="P983" s="8"/>
    </row>
    <row r="984" spans="1:16" ht="15" customHeight="1">
      <c r="A984" s="294"/>
      <c r="B984" s="294"/>
      <c r="C984" s="151">
        <v>4</v>
      </c>
      <c r="D984" s="171" t="s">
        <v>1494</v>
      </c>
      <c r="E984" s="170" t="s">
        <v>2874</v>
      </c>
      <c r="F984" s="171" t="s">
        <v>3035</v>
      </c>
      <c r="K984" s="8"/>
      <c r="L984" s="8"/>
      <c r="M984" s="8"/>
      <c r="N984" s="8"/>
      <c r="O984" s="8"/>
      <c r="P984" s="8"/>
    </row>
    <row r="985" spans="1:16" ht="15" customHeight="1">
      <c r="A985" s="294"/>
      <c r="B985" s="294"/>
      <c r="C985" s="151">
        <v>5</v>
      </c>
      <c r="D985" s="175" t="s">
        <v>1493</v>
      </c>
      <c r="E985" s="170" t="s">
        <v>1123</v>
      </c>
      <c r="F985" s="171" t="s">
        <v>4753</v>
      </c>
      <c r="K985" s="8"/>
      <c r="L985" s="8"/>
      <c r="M985" s="8"/>
      <c r="N985" s="8"/>
      <c r="O985" s="8"/>
      <c r="P985" s="8"/>
    </row>
    <row r="986" spans="1:16" ht="15" customHeight="1">
      <c r="A986" s="294"/>
      <c r="B986" s="294"/>
      <c r="C986" s="151">
        <v>9</v>
      </c>
      <c r="D986" s="175" t="s">
        <v>1492</v>
      </c>
      <c r="E986" s="170" t="s">
        <v>1123</v>
      </c>
      <c r="F986" s="171" t="s">
        <v>4189</v>
      </c>
      <c r="K986" s="8"/>
      <c r="L986" s="8"/>
      <c r="M986" s="8"/>
      <c r="N986" s="8"/>
      <c r="O986" s="8"/>
      <c r="P986" s="8"/>
    </row>
    <row r="987" spans="1:16" ht="15" customHeight="1">
      <c r="A987" s="294"/>
      <c r="B987" s="294"/>
      <c r="C987" s="151">
        <v>10</v>
      </c>
      <c r="D987" s="171" t="s">
        <v>1491</v>
      </c>
      <c r="E987" s="170" t="s">
        <v>1123</v>
      </c>
      <c r="F987" s="171" t="s">
        <v>4190</v>
      </c>
      <c r="K987" s="8"/>
      <c r="L987" s="8"/>
      <c r="M987" s="8"/>
      <c r="N987" s="8"/>
      <c r="O987" s="8"/>
      <c r="P987" s="8"/>
    </row>
    <row r="988" spans="1:16" ht="15" customHeight="1">
      <c r="A988" s="295"/>
      <c r="B988" s="295"/>
      <c r="C988" s="151">
        <v>12</v>
      </c>
      <c r="D988" s="171" t="s">
        <v>4129</v>
      </c>
      <c r="E988" s="170" t="s">
        <v>669</v>
      </c>
      <c r="F988" s="171" t="s">
        <v>4191</v>
      </c>
      <c r="K988" s="8"/>
      <c r="L988" s="8"/>
      <c r="M988" s="8"/>
      <c r="N988" s="8"/>
      <c r="O988" s="8"/>
      <c r="P988" s="8"/>
    </row>
    <row r="989" spans="1:16" ht="15" customHeight="1">
      <c r="A989" s="272" t="s">
        <v>4192</v>
      </c>
      <c r="B989" s="272" t="s">
        <v>4130</v>
      </c>
      <c r="C989" s="153">
        <v>0</v>
      </c>
      <c r="D989" s="152" t="s">
        <v>3033</v>
      </c>
      <c r="E989" s="153" t="s">
        <v>669</v>
      </c>
      <c r="F989" s="152" t="s">
        <v>2923</v>
      </c>
      <c r="K989" s="8"/>
      <c r="L989" s="8"/>
      <c r="M989" s="8"/>
      <c r="N989" s="8"/>
      <c r="O989" s="8"/>
      <c r="P989" s="8"/>
    </row>
    <row r="990" spans="1:16" ht="15" customHeight="1">
      <c r="A990" s="292"/>
      <c r="B990" s="292"/>
      <c r="C990" s="153">
        <v>1</v>
      </c>
      <c r="D990" s="152" t="s">
        <v>4131</v>
      </c>
      <c r="E990" s="153" t="s">
        <v>1123</v>
      </c>
      <c r="F990" s="152" t="s">
        <v>4193</v>
      </c>
      <c r="K990" s="8"/>
      <c r="L990" s="8"/>
      <c r="M990" s="8"/>
      <c r="N990" s="8"/>
      <c r="O990" s="8"/>
      <c r="P990" s="8"/>
    </row>
    <row r="991" spans="1:16" ht="15" customHeight="1">
      <c r="A991" s="292"/>
      <c r="B991" s="292"/>
      <c r="C991" s="180">
        <v>2</v>
      </c>
      <c r="D991" s="181" t="s">
        <v>4132</v>
      </c>
      <c r="E991" s="180" t="s">
        <v>669</v>
      </c>
      <c r="F991" s="181" t="s">
        <v>4133</v>
      </c>
      <c r="K991" s="8"/>
      <c r="L991" s="8"/>
      <c r="M991" s="8"/>
      <c r="N991" s="8"/>
      <c r="O991" s="8"/>
      <c r="P991" s="8"/>
    </row>
    <row r="992" spans="1:16" ht="15" customHeight="1">
      <c r="A992" s="292"/>
      <c r="B992" s="292"/>
      <c r="C992" s="153">
        <v>3</v>
      </c>
      <c r="D992" s="152" t="s">
        <v>1484</v>
      </c>
      <c r="E992" s="153" t="s">
        <v>2874</v>
      </c>
      <c r="F992" s="152" t="s">
        <v>3032</v>
      </c>
      <c r="K992" s="8"/>
      <c r="L992" s="8"/>
      <c r="M992" s="8"/>
      <c r="N992" s="8"/>
      <c r="O992" s="8"/>
      <c r="P992" s="8"/>
    </row>
    <row r="993" spans="1:16" ht="15" customHeight="1">
      <c r="A993" s="292"/>
      <c r="B993" s="292"/>
      <c r="C993" s="153">
        <v>4</v>
      </c>
      <c r="D993" s="152" t="s">
        <v>1483</v>
      </c>
      <c r="E993" s="153" t="s">
        <v>2874</v>
      </c>
      <c r="F993" s="152" t="s">
        <v>3031</v>
      </c>
      <c r="K993" s="8"/>
      <c r="L993" s="8"/>
      <c r="M993" s="8"/>
      <c r="N993" s="8"/>
      <c r="O993" s="8"/>
      <c r="P993" s="8"/>
    </row>
    <row r="994" spans="1:16" ht="15" customHeight="1">
      <c r="A994" s="292"/>
      <c r="B994" s="292"/>
      <c r="C994" s="153">
        <v>5</v>
      </c>
      <c r="D994" s="183" t="s">
        <v>1482</v>
      </c>
      <c r="E994" s="153" t="s">
        <v>2874</v>
      </c>
      <c r="F994" s="152" t="s">
        <v>4743</v>
      </c>
      <c r="K994" s="8"/>
      <c r="L994" s="8"/>
      <c r="M994" s="8"/>
      <c r="N994" s="8"/>
      <c r="O994" s="8"/>
      <c r="P994" s="8"/>
    </row>
    <row r="995" spans="1:16" ht="15" customHeight="1">
      <c r="A995" s="292"/>
      <c r="B995" s="292"/>
      <c r="C995" s="153">
        <v>9</v>
      </c>
      <c r="D995" s="152" t="s">
        <v>1481</v>
      </c>
      <c r="E995" s="153" t="s">
        <v>2874</v>
      </c>
      <c r="F995" s="152" t="s">
        <v>4194</v>
      </c>
      <c r="K995" s="8"/>
      <c r="L995" s="8"/>
      <c r="M995" s="8"/>
      <c r="N995" s="8"/>
      <c r="O995" s="8"/>
      <c r="P995" s="8"/>
    </row>
    <row r="996" spans="1:16" ht="15" customHeight="1">
      <c r="A996" s="273"/>
      <c r="B996" s="273"/>
      <c r="C996" s="153">
        <v>10</v>
      </c>
      <c r="D996" s="152" t="s">
        <v>1480</v>
      </c>
      <c r="E996" s="153" t="s">
        <v>2874</v>
      </c>
      <c r="F996" s="152" t="s">
        <v>4195</v>
      </c>
      <c r="K996" s="8"/>
      <c r="L996" s="8"/>
      <c r="M996" s="8"/>
      <c r="N996" s="8"/>
      <c r="O996" s="8"/>
      <c r="P996" s="8"/>
    </row>
    <row r="997" spans="1:16" ht="15" customHeight="1">
      <c r="A997" s="293" t="s">
        <v>4201</v>
      </c>
      <c r="B997" s="293" t="s">
        <v>4135</v>
      </c>
      <c r="C997" s="151">
        <v>0</v>
      </c>
      <c r="D997" s="171" t="s">
        <v>3030</v>
      </c>
      <c r="E997" s="170" t="s">
        <v>669</v>
      </c>
      <c r="F997" s="171" t="s">
        <v>2923</v>
      </c>
      <c r="K997" s="8"/>
      <c r="L997" s="8"/>
      <c r="M997" s="8"/>
      <c r="N997" s="8"/>
      <c r="O997" s="8"/>
      <c r="P997" s="8"/>
    </row>
    <row r="998" spans="1:16" ht="15" customHeight="1">
      <c r="A998" s="294"/>
      <c r="B998" s="294"/>
      <c r="C998" s="151">
        <v>1</v>
      </c>
      <c r="D998" s="171" t="s">
        <v>4134</v>
      </c>
      <c r="E998" s="170" t="s">
        <v>669</v>
      </c>
      <c r="F998" s="171" t="s">
        <v>4202</v>
      </c>
      <c r="K998" s="8"/>
      <c r="L998" s="8"/>
      <c r="M998" s="8"/>
      <c r="N998" s="8"/>
      <c r="O998" s="8"/>
      <c r="P998" s="8"/>
    </row>
    <row r="999" spans="1:16" ht="15" customHeight="1">
      <c r="A999" s="294"/>
      <c r="B999" s="294"/>
      <c r="C999" s="151">
        <v>2</v>
      </c>
      <c r="D999" s="171" t="s">
        <v>1475</v>
      </c>
      <c r="E999" s="170" t="s">
        <v>2874</v>
      </c>
      <c r="F999" s="171" t="s">
        <v>3027</v>
      </c>
      <c r="K999" s="8"/>
      <c r="L999" s="8"/>
      <c r="M999" s="8"/>
      <c r="N999" s="8"/>
      <c r="O999" s="8"/>
      <c r="P999" s="8"/>
    </row>
    <row r="1000" spans="1:16" ht="15" customHeight="1">
      <c r="A1000" s="294"/>
      <c r="B1000" s="294"/>
      <c r="C1000" s="151">
        <v>3</v>
      </c>
      <c r="D1000" s="171" t="s">
        <v>1474</v>
      </c>
      <c r="E1000" s="170" t="s">
        <v>2874</v>
      </c>
      <c r="F1000" s="171" t="s">
        <v>3029</v>
      </c>
      <c r="K1000" s="8"/>
      <c r="L1000" s="8"/>
      <c r="M1000" s="8"/>
      <c r="N1000" s="8"/>
      <c r="O1000" s="8"/>
      <c r="P1000" s="8"/>
    </row>
    <row r="1001" spans="1:16" ht="15" customHeight="1">
      <c r="A1001" s="294"/>
      <c r="B1001" s="294"/>
      <c r="C1001" s="151">
        <v>4</v>
      </c>
      <c r="D1001" s="171" t="s">
        <v>1473</v>
      </c>
      <c r="E1001" s="170" t="s">
        <v>2874</v>
      </c>
      <c r="F1001" s="171" t="s">
        <v>3028</v>
      </c>
      <c r="K1001" s="8"/>
      <c r="L1001" s="8"/>
      <c r="M1001" s="8"/>
      <c r="N1001" s="8"/>
      <c r="O1001" s="8"/>
      <c r="P1001" s="8"/>
    </row>
    <row r="1002" spans="1:16" ht="15" customHeight="1">
      <c r="A1002" s="294"/>
      <c r="B1002" s="294"/>
      <c r="C1002" s="151">
        <v>5</v>
      </c>
      <c r="D1002" s="175" t="s">
        <v>1472</v>
      </c>
      <c r="E1002" s="170" t="s">
        <v>669</v>
      </c>
      <c r="F1002" s="171" t="s">
        <v>4203</v>
      </c>
      <c r="K1002" s="8"/>
      <c r="L1002" s="8"/>
      <c r="M1002" s="8"/>
      <c r="N1002" s="8"/>
      <c r="O1002" s="8"/>
      <c r="P1002" s="8"/>
    </row>
    <row r="1003" spans="1:16" ht="15" customHeight="1">
      <c r="A1003" s="294"/>
      <c r="B1003" s="294"/>
      <c r="C1003" s="151">
        <v>9</v>
      </c>
      <c r="D1003" s="171" t="s">
        <v>1471</v>
      </c>
      <c r="E1003" s="170" t="s">
        <v>1123</v>
      </c>
      <c r="F1003" s="171" t="s">
        <v>4204</v>
      </c>
      <c r="K1003" s="8"/>
      <c r="L1003" s="8"/>
      <c r="M1003" s="8"/>
      <c r="N1003" s="8"/>
      <c r="O1003" s="8"/>
      <c r="P1003" s="8"/>
    </row>
    <row r="1004" spans="1:16" ht="15" customHeight="1">
      <c r="A1004" s="294"/>
      <c r="B1004" s="294"/>
      <c r="C1004" s="151">
        <v>10</v>
      </c>
      <c r="D1004" s="171" t="s">
        <v>1470</v>
      </c>
      <c r="E1004" s="170" t="s">
        <v>669</v>
      </c>
      <c r="F1004" s="171" t="s">
        <v>4205</v>
      </c>
      <c r="K1004" s="8"/>
      <c r="L1004" s="8"/>
      <c r="M1004" s="8"/>
      <c r="N1004" s="8"/>
      <c r="O1004" s="8"/>
      <c r="P1004" s="8"/>
    </row>
    <row r="1005" spans="1:16" ht="15" customHeight="1">
      <c r="A1005" s="295"/>
      <c r="B1005" s="295"/>
      <c r="C1005" s="151">
        <v>12</v>
      </c>
      <c r="D1005" s="171" t="s">
        <v>1469</v>
      </c>
      <c r="E1005" s="170" t="s">
        <v>669</v>
      </c>
      <c r="F1005" s="171" t="s">
        <v>4206</v>
      </c>
      <c r="K1005" s="8"/>
      <c r="L1005" s="8"/>
      <c r="M1005" s="8"/>
      <c r="N1005" s="8"/>
      <c r="O1005" s="8"/>
      <c r="P1005" s="8"/>
    </row>
    <row r="1006" spans="1:16" ht="15" customHeight="1">
      <c r="A1006" s="272" t="s">
        <v>4196</v>
      </c>
      <c r="B1006" s="272" t="s">
        <v>4137</v>
      </c>
      <c r="C1006" s="153">
        <v>0</v>
      </c>
      <c r="D1006" s="152" t="s">
        <v>3026</v>
      </c>
      <c r="E1006" s="153" t="s">
        <v>669</v>
      </c>
      <c r="F1006" s="152" t="s">
        <v>2923</v>
      </c>
      <c r="K1006" s="8"/>
      <c r="L1006" s="8"/>
      <c r="M1006" s="8"/>
      <c r="N1006" s="8"/>
      <c r="O1006" s="8"/>
      <c r="P1006" s="8"/>
    </row>
    <row r="1007" spans="1:16" ht="15" customHeight="1">
      <c r="A1007" s="292"/>
      <c r="B1007" s="292"/>
      <c r="C1007" s="153">
        <v>1</v>
      </c>
      <c r="D1007" s="152" t="s">
        <v>4136</v>
      </c>
      <c r="E1007" s="153" t="s">
        <v>1123</v>
      </c>
      <c r="F1007" s="152" t="s">
        <v>4197</v>
      </c>
      <c r="K1007" s="8"/>
      <c r="L1007" s="8"/>
      <c r="M1007" s="8"/>
      <c r="N1007" s="8"/>
      <c r="O1007" s="8"/>
      <c r="P1007" s="8"/>
    </row>
    <row r="1008" spans="1:16" ht="15" customHeight="1">
      <c r="A1008" s="292"/>
      <c r="B1008" s="292"/>
      <c r="C1008" s="153">
        <v>2</v>
      </c>
      <c r="D1008" s="152" t="s">
        <v>1464</v>
      </c>
      <c r="E1008" s="153" t="s">
        <v>669</v>
      </c>
      <c r="F1008" s="152" t="s">
        <v>3023</v>
      </c>
      <c r="K1008" s="8"/>
      <c r="L1008" s="8"/>
      <c r="M1008" s="8"/>
      <c r="N1008" s="8"/>
      <c r="O1008" s="8"/>
      <c r="P1008" s="8"/>
    </row>
    <row r="1009" spans="1:16" ht="15" customHeight="1">
      <c r="A1009" s="292"/>
      <c r="B1009" s="292"/>
      <c r="C1009" s="153">
        <v>3</v>
      </c>
      <c r="D1009" s="152" t="s">
        <v>1463</v>
      </c>
      <c r="E1009" s="153" t="s">
        <v>2874</v>
      </c>
      <c r="F1009" s="152" t="s">
        <v>3025</v>
      </c>
      <c r="K1009" s="8"/>
      <c r="L1009" s="8"/>
      <c r="M1009" s="8"/>
      <c r="N1009" s="8"/>
      <c r="O1009" s="8"/>
      <c r="P1009" s="8"/>
    </row>
    <row r="1010" spans="1:16" ht="15" customHeight="1">
      <c r="A1010" s="292"/>
      <c r="B1010" s="292"/>
      <c r="C1010" s="153">
        <v>4</v>
      </c>
      <c r="D1010" s="152" t="s">
        <v>1462</v>
      </c>
      <c r="E1010" s="153" t="s">
        <v>2874</v>
      </c>
      <c r="F1010" s="152" t="s">
        <v>3024</v>
      </c>
      <c r="K1010" s="8"/>
      <c r="L1010" s="8"/>
      <c r="M1010" s="8"/>
      <c r="N1010" s="8"/>
      <c r="O1010" s="8"/>
      <c r="P1010" s="8"/>
    </row>
    <row r="1011" spans="1:16" ht="15" customHeight="1">
      <c r="A1011" s="292"/>
      <c r="B1011" s="292"/>
      <c r="C1011" s="153">
        <v>5</v>
      </c>
      <c r="D1011" s="183" t="s">
        <v>1461</v>
      </c>
      <c r="E1011" s="153" t="s">
        <v>2874</v>
      </c>
      <c r="F1011" s="152" t="s">
        <v>4744</v>
      </c>
      <c r="K1011" s="8"/>
      <c r="L1011" s="8"/>
      <c r="M1011" s="8"/>
      <c r="N1011" s="8"/>
      <c r="O1011" s="8"/>
      <c r="P1011" s="8"/>
    </row>
    <row r="1012" spans="1:16" ht="15" customHeight="1">
      <c r="A1012" s="292"/>
      <c r="B1012" s="292"/>
      <c r="C1012" s="153">
        <v>9</v>
      </c>
      <c r="D1012" s="152" t="s">
        <v>1460</v>
      </c>
      <c r="E1012" s="153" t="s">
        <v>2874</v>
      </c>
      <c r="F1012" s="152" t="s">
        <v>4198</v>
      </c>
      <c r="K1012" s="8"/>
      <c r="L1012" s="8"/>
      <c r="M1012" s="8"/>
      <c r="N1012" s="8"/>
      <c r="O1012" s="8"/>
      <c r="P1012" s="8"/>
    </row>
    <row r="1013" spans="1:16" ht="15" customHeight="1">
      <c r="A1013" s="292"/>
      <c r="B1013" s="292"/>
      <c r="C1013" s="153">
        <v>10</v>
      </c>
      <c r="D1013" s="152" t="s">
        <v>1459</v>
      </c>
      <c r="E1013" s="153" t="s">
        <v>2874</v>
      </c>
      <c r="F1013" s="152" t="s">
        <v>4199</v>
      </c>
      <c r="K1013" s="8"/>
      <c r="L1013" s="8"/>
      <c r="M1013" s="8"/>
      <c r="N1013" s="8"/>
      <c r="O1013" s="8"/>
      <c r="P1013" s="8"/>
    </row>
    <row r="1014" spans="1:16" ht="15" customHeight="1">
      <c r="A1014" s="273"/>
      <c r="B1014" s="273"/>
      <c r="C1014" s="153">
        <v>12</v>
      </c>
      <c r="D1014" s="152" t="s">
        <v>1458</v>
      </c>
      <c r="E1014" s="153" t="s">
        <v>669</v>
      </c>
      <c r="F1014" s="152" t="s">
        <v>4200</v>
      </c>
      <c r="K1014" s="8"/>
      <c r="L1014" s="8"/>
      <c r="M1014" s="8"/>
      <c r="N1014" s="8"/>
      <c r="O1014" s="8"/>
      <c r="P1014" s="8"/>
    </row>
    <row r="1015" spans="1:16" ht="15" customHeight="1">
      <c r="A1015" s="293" t="s">
        <v>4207</v>
      </c>
      <c r="B1015" s="293" t="s">
        <v>4138</v>
      </c>
      <c r="C1015" s="151">
        <v>0</v>
      </c>
      <c r="D1015" s="171" t="s">
        <v>3022</v>
      </c>
      <c r="E1015" s="170" t="s">
        <v>669</v>
      </c>
      <c r="F1015" s="171" t="s">
        <v>2923</v>
      </c>
      <c r="K1015" s="8"/>
      <c r="L1015" s="8"/>
      <c r="M1015" s="8"/>
      <c r="N1015" s="8"/>
      <c r="O1015" s="8"/>
      <c r="P1015" s="8"/>
    </row>
    <row r="1016" spans="1:16" ht="15" customHeight="1">
      <c r="A1016" s="294"/>
      <c r="B1016" s="294"/>
      <c r="C1016" s="151">
        <v>1</v>
      </c>
      <c r="D1016" s="171" t="s">
        <v>4429</v>
      </c>
      <c r="E1016" s="170" t="s">
        <v>1123</v>
      </c>
      <c r="F1016" s="171" t="s">
        <v>4430</v>
      </c>
      <c r="K1016" s="8"/>
      <c r="L1016" s="8"/>
      <c r="M1016" s="8"/>
      <c r="N1016" s="8"/>
      <c r="O1016" s="8"/>
      <c r="P1016" s="8"/>
    </row>
    <row r="1017" spans="1:16" ht="15" customHeight="1">
      <c r="A1017" s="294"/>
      <c r="B1017" s="294"/>
      <c r="C1017" s="151">
        <v>2</v>
      </c>
      <c r="D1017" s="171" t="s">
        <v>1454</v>
      </c>
      <c r="E1017" s="170" t="s">
        <v>669</v>
      </c>
      <c r="F1017" s="171" t="s">
        <v>3019</v>
      </c>
      <c r="K1017" s="8"/>
      <c r="L1017" s="8"/>
      <c r="M1017" s="8"/>
      <c r="N1017" s="8"/>
      <c r="O1017" s="8"/>
      <c r="P1017" s="8"/>
    </row>
    <row r="1018" spans="1:16" ht="15" customHeight="1">
      <c r="A1018" s="294"/>
      <c r="B1018" s="294"/>
      <c r="C1018" s="151">
        <v>3</v>
      </c>
      <c r="D1018" s="171" t="s">
        <v>1453</v>
      </c>
      <c r="E1018" s="170" t="s">
        <v>2874</v>
      </c>
      <c r="F1018" s="171" t="s">
        <v>3021</v>
      </c>
      <c r="K1018" s="8"/>
      <c r="L1018" s="8"/>
      <c r="M1018" s="8"/>
      <c r="N1018" s="8"/>
      <c r="O1018" s="8"/>
      <c r="P1018" s="8"/>
    </row>
    <row r="1019" spans="1:16" ht="15" customHeight="1">
      <c r="A1019" s="294"/>
      <c r="B1019" s="294"/>
      <c r="C1019" s="151">
        <v>4</v>
      </c>
      <c r="D1019" s="171" t="s">
        <v>1452</v>
      </c>
      <c r="E1019" s="170" t="s">
        <v>2874</v>
      </c>
      <c r="F1019" s="171" t="s">
        <v>3020</v>
      </c>
      <c r="K1019" s="8"/>
      <c r="L1019" s="8"/>
      <c r="M1019" s="8"/>
      <c r="N1019" s="8"/>
      <c r="O1019" s="8"/>
      <c r="P1019" s="8"/>
    </row>
    <row r="1020" spans="1:16" ht="15" customHeight="1">
      <c r="A1020" s="294"/>
      <c r="B1020" s="294"/>
      <c r="C1020" s="151">
        <v>5</v>
      </c>
      <c r="D1020" s="175" t="s">
        <v>1451</v>
      </c>
      <c r="E1020" s="170" t="s">
        <v>1123</v>
      </c>
      <c r="F1020" s="171" t="s">
        <v>4754</v>
      </c>
      <c r="K1020" s="8"/>
      <c r="L1020" s="8"/>
      <c r="M1020" s="8"/>
      <c r="N1020" s="8"/>
      <c r="O1020" s="8"/>
      <c r="P1020" s="8"/>
    </row>
    <row r="1021" spans="1:16" ht="15" customHeight="1">
      <c r="A1021" s="294"/>
      <c r="B1021" s="294"/>
      <c r="C1021" s="151">
        <v>9</v>
      </c>
      <c r="D1021" s="175" t="s">
        <v>1450</v>
      </c>
      <c r="E1021" s="170" t="s">
        <v>1123</v>
      </c>
      <c r="F1021" s="171" t="s">
        <v>4380</v>
      </c>
      <c r="K1021" s="8"/>
      <c r="L1021" s="8"/>
      <c r="M1021" s="8"/>
      <c r="N1021" s="8"/>
      <c r="O1021" s="8"/>
      <c r="P1021" s="8"/>
    </row>
    <row r="1022" spans="1:16" ht="15" customHeight="1">
      <c r="A1022" s="295"/>
      <c r="B1022" s="295"/>
      <c r="C1022" s="151">
        <v>11</v>
      </c>
      <c r="D1022" s="175" t="s">
        <v>1449</v>
      </c>
      <c r="E1022" s="170" t="s">
        <v>669</v>
      </c>
      <c r="F1022" s="171" t="s">
        <v>4208</v>
      </c>
      <c r="K1022" s="8"/>
      <c r="L1022" s="8"/>
      <c r="M1022" s="8"/>
      <c r="N1022" s="8"/>
      <c r="O1022" s="8"/>
      <c r="P1022" s="8"/>
    </row>
    <row r="1023" spans="1:16" ht="15" customHeight="1">
      <c r="A1023" s="272" t="s">
        <v>4209</v>
      </c>
      <c r="B1023" s="272" t="s">
        <v>4437</v>
      </c>
      <c r="C1023" s="153">
        <v>0</v>
      </c>
      <c r="D1023" s="152" t="s">
        <v>3018</v>
      </c>
      <c r="E1023" s="153" t="s">
        <v>669</v>
      </c>
      <c r="F1023" s="152" t="s">
        <v>2923</v>
      </c>
      <c r="K1023" s="8"/>
      <c r="L1023" s="8"/>
      <c r="M1023" s="8"/>
      <c r="N1023" s="8"/>
      <c r="O1023" s="8"/>
      <c r="P1023" s="8"/>
    </row>
    <row r="1024" spans="1:16" ht="15" customHeight="1">
      <c r="A1024" s="292"/>
      <c r="B1024" s="292"/>
      <c r="C1024" s="153">
        <v>1</v>
      </c>
      <c r="D1024" s="152" t="s">
        <v>4438</v>
      </c>
      <c r="E1024" s="153" t="s">
        <v>2874</v>
      </c>
      <c r="F1024" s="152" t="s">
        <v>4210</v>
      </c>
      <c r="K1024" s="8"/>
      <c r="L1024" s="8"/>
      <c r="M1024" s="8"/>
      <c r="N1024" s="8"/>
      <c r="O1024" s="8"/>
      <c r="P1024" s="8"/>
    </row>
    <row r="1025" spans="1:16" ht="15" customHeight="1">
      <c r="A1025" s="292"/>
      <c r="B1025" s="292"/>
      <c r="C1025" s="153">
        <v>2</v>
      </c>
      <c r="D1025" s="152" t="s">
        <v>1445</v>
      </c>
      <c r="E1025" s="153" t="s">
        <v>669</v>
      </c>
      <c r="F1025" s="152" t="s">
        <v>3015</v>
      </c>
      <c r="K1025" s="8"/>
      <c r="L1025" s="8"/>
      <c r="M1025" s="8"/>
      <c r="N1025" s="8"/>
      <c r="O1025" s="8"/>
      <c r="P1025" s="8"/>
    </row>
    <row r="1026" spans="1:16" ht="15" customHeight="1">
      <c r="A1026" s="292"/>
      <c r="B1026" s="292"/>
      <c r="C1026" s="153">
        <v>3</v>
      </c>
      <c r="D1026" s="152" t="s">
        <v>1444</v>
      </c>
      <c r="E1026" s="153" t="s">
        <v>2874</v>
      </c>
      <c r="F1026" s="152" t="s">
        <v>3017</v>
      </c>
      <c r="K1026" s="8"/>
      <c r="L1026" s="8"/>
      <c r="M1026" s="8"/>
      <c r="N1026" s="8"/>
      <c r="O1026" s="8"/>
      <c r="P1026" s="8"/>
    </row>
    <row r="1027" spans="1:16" ht="15" customHeight="1">
      <c r="A1027" s="292"/>
      <c r="B1027" s="292"/>
      <c r="C1027" s="153">
        <v>4</v>
      </c>
      <c r="D1027" s="152" t="s">
        <v>1443</v>
      </c>
      <c r="E1027" s="153" t="s">
        <v>2874</v>
      </c>
      <c r="F1027" s="152" t="s">
        <v>3016</v>
      </c>
      <c r="K1027" s="8"/>
      <c r="L1027" s="8"/>
      <c r="M1027" s="8"/>
      <c r="N1027" s="8"/>
      <c r="O1027" s="8"/>
      <c r="P1027" s="8"/>
    </row>
    <row r="1028" spans="1:16" ht="15" customHeight="1">
      <c r="A1028" s="292"/>
      <c r="B1028" s="292"/>
      <c r="C1028" s="153">
        <v>5</v>
      </c>
      <c r="D1028" s="183" t="s">
        <v>1442</v>
      </c>
      <c r="E1028" s="153" t="s">
        <v>1123</v>
      </c>
      <c r="F1028" s="152" t="s">
        <v>4211</v>
      </c>
      <c r="K1028" s="8"/>
      <c r="L1028" s="8"/>
      <c r="M1028" s="8"/>
      <c r="N1028" s="8"/>
      <c r="O1028" s="8"/>
      <c r="P1028" s="8"/>
    </row>
    <row r="1029" spans="1:16" ht="15" customHeight="1">
      <c r="A1029" s="292"/>
      <c r="B1029" s="292"/>
      <c r="C1029" s="153">
        <v>9</v>
      </c>
      <c r="D1029" s="183" t="s">
        <v>1441</v>
      </c>
      <c r="E1029" s="153" t="s">
        <v>2874</v>
      </c>
      <c r="F1029" s="152" t="s">
        <v>4377</v>
      </c>
      <c r="K1029" s="8"/>
      <c r="L1029" s="8"/>
      <c r="M1029" s="8"/>
      <c r="N1029" s="8"/>
      <c r="O1029" s="8"/>
      <c r="P1029" s="8"/>
    </row>
    <row r="1030" spans="1:16" ht="15" customHeight="1">
      <c r="A1030" s="273"/>
      <c r="B1030" s="273"/>
      <c r="C1030" s="153">
        <v>11</v>
      </c>
      <c r="D1030" s="183" t="s">
        <v>1440</v>
      </c>
      <c r="E1030" s="153" t="s">
        <v>669</v>
      </c>
      <c r="F1030" s="152" t="s">
        <v>4475</v>
      </c>
      <c r="K1030" s="8"/>
      <c r="L1030" s="8"/>
      <c r="M1030" s="8"/>
      <c r="N1030" s="8"/>
      <c r="O1030" s="8"/>
      <c r="P1030" s="8"/>
    </row>
    <row r="1031" spans="1:16" ht="15" customHeight="1">
      <c r="A1031" s="293" t="s">
        <v>4212</v>
      </c>
      <c r="B1031" s="293" t="s">
        <v>4139</v>
      </c>
      <c r="C1031" s="151">
        <v>0</v>
      </c>
      <c r="D1031" s="171" t="s">
        <v>3014</v>
      </c>
      <c r="E1031" s="170" t="s">
        <v>669</v>
      </c>
      <c r="F1031" s="171" t="s">
        <v>2923</v>
      </c>
      <c r="K1031" s="8"/>
      <c r="L1031" s="8"/>
      <c r="M1031" s="8"/>
      <c r="N1031" s="8"/>
      <c r="O1031" s="8"/>
      <c r="P1031" s="8"/>
    </row>
    <row r="1032" spans="1:16" ht="15" customHeight="1">
      <c r="A1032" s="294"/>
      <c r="B1032" s="294"/>
      <c r="C1032" s="151">
        <v>1</v>
      </c>
      <c r="D1032" s="171" t="s">
        <v>4445</v>
      </c>
      <c r="E1032" s="170" t="s">
        <v>2874</v>
      </c>
      <c r="F1032" s="171" t="s">
        <v>4446</v>
      </c>
      <c r="K1032" s="8"/>
      <c r="L1032" s="8"/>
      <c r="M1032" s="8"/>
      <c r="N1032" s="8"/>
      <c r="O1032" s="8"/>
      <c r="P1032" s="8"/>
    </row>
    <row r="1033" spans="1:16" ht="15" customHeight="1">
      <c r="A1033" s="294"/>
      <c r="B1033" s="294"/>
      <c r="C1033" s="151">
        <v>2</v>
      </c>
      <c r="D1033" s="171" t="s">
        <v>1435</v>
      </c>
      <c r="E1033" s="170" t="s">
        <v>669</v>
      </c>
      <c r="F1033" s="171" t="s">
        <v>3011</v>
      </c>
      <c r="K1033" s="8"/>
      <c r="L1033" s="8"/>
      <c r="M1033" s="8"/>
      <c r="N1033" s="8"/>
      <c r="O1033" s="8"/>
      <c r="P1033" s="8"/>
    </row>
    <row r="1034" spans="1:16" ht="15" customHeight="1">
      <c r="A1034" s="294"/>
      <c r="B1034" s="294"/>
      <c r="C1034" s="151">
        <v>3</v>
      </c>
      <c r="D1034" s="171" t="s">
        <v>1434</v>
      </c>
      <c r="E1034" s="170" t="s">
        <v>2874</v>
      </c>
      <c r="F1034" s="171" t="s">
        <v>3013</v>
      </c>
      <c r="K1034" s="8"/>
      <c r="L1034" s="8"/>
      <c r="M1034" s="8"/>
      <c r="N1034" s="8"/>
      <c r="O1034" s="8"/>
      <c r="P1034" s="8"/>
    </row>
    <row r="1035" spans="1:16" ht="15" customHeight="1">
      <c r="A1035" s="294"/>
      <c r="B1035" s="294"/>
      <c r="C1035" s="151">
        <v>4</v>
      </c>
      <c r="D1035" s="171" t="s">
        <v>1433</v>
      </c>
      <c r="E1035" s="170" t="s">
        <v>2874</v>
      </c>
      <c r="F1035" s="171" t="s">
        <v>3012</v>
      </c>
      <c r="K1035" s="8"/>
      <c r="L1035" s="8"/>
      <c r="M1035" s="8"/>
      <c r="N1035" s="8"/>
      <c r="O1035" s="8"/>
      <c r="P1035" s="8"/>
    </row>
    <row r="1036" spans="1:16" ht="15" customHeight="1">
      <c r="A1036" s="294"/>
      <c r="B1036" s="294"/>
      <c r="C1036" s="151">
        <v>5</v>
      </c>
      <c r="D1036" s="175" t="s">
        <v>1432</v>
      </c>
      <c r="E1036" s="170" t="s">
        <v>1123</v>
      </c>
      <c r="F1036" s="171" t="s">
        <v>4213</v>
      </c>
      <c r="K1036" s="8"/>
      <c r="L1036" s="8"/>
      <c r="M1036" s="8"/>
      <c r="N1036" s="8"/>
      <c r="O1036" s="8"/>
      <c r="P1036" s="8"/>
    </row>
    <row r="1037" spans="1:16" ht="15" customHeight="1">
      <c r="A1037" s="294"/>
      <c r="B1037" s="294"/>
      <c r="C1037" s="151">
        <v>9</v>
      </c>
      <c r="D1037" s="175" t="s">
        <v>1431</v>
      </c>
      <c r="E1037" s="170" t="s">
        <v>2874</v>
      </c>
      <c r="F1037" s="171" t="s">
        <v>4386</v>
      </c>
      <c r="K1037" s="8"/>
      <c r="L1037" s="8"/>
      <c r="M1037" s="8"/>
      <c r="N1037" s="8"/>
      <c r="O1037" s="8"/>
      <c r="P1037" s="8"/>
    </row>
    <row r="1038" spans="1:16" ht="15" customHeight="1">
      <c r="A1038" s="295"/>
      <c r="B1038" s="295"/>
      <c r="C1038" s="151">
        <v>12</v>
      </c>
      <c r="D1038" s="175" t="s">
        <v>1430</v>
      </c>
      <c r="E1038" s="170" t="s">
        <v>669</v>
      </c>
      <c r="F1038" s="171" t="s">
        <v>4214</v>
      </c>
      <c r="K1038" s="8"/>
      <c r="L1038" s="8"/>
      <c r="M1038" s="8"/>
      <c r="N1038" s="8"/>
      <c r="O1038" s="8"/>
      <c r="P1038" s="8"/>
    </row>
    <row r="1039" spans="1:16" ht="15" customHeight="1">
      <c r="A1039" s="272" t="s">
        <v>4215</v>
      </c>
      <c r="B1039" s="272" t="s">
        <v>4444</v>
      </c>
      <c r="C1039" s="153">
        <v>0</v>
      </c>
      <c r="D1039" s="152" t="s">
        <v>3010</v>
      </c>
      <c r="E1039" s="153" t="s">
        <v>669</v>
      </c>
      <c r="F1039" s="152" t="s">
        <v>2923</v>
      </c>
      <c r="K1039" s="8"/>
      <c r="L1039" s="8"/>
      <c r="M1039" s="8"/>
      <c r="N1039" s="8"/>
      <c r="O1039" s="8"/>
      <c r="P1039" s="8"/>
    </row>
    <row r="1040" spans="1:16" ht="15" customHeight="1">
      <c r="A1040" s="292"/>
      <c r="B1040" s="292"/>
      <c r="C1040" s="153">
        <v>1</v>
      </c>
      <c r="D1040" s="152" t="s">
        <v>4140</v>
      </c>
      <c r="E1040" s="153" t="s">
        <v>2874</v>
      </c>
      <c r="F1040" s="152" t="s">
        <v>4216</v>
      </c>
      <c r="K1040" s="8"/>
      <c r="L1040" s="8"/>
      <c r="M1040" s="8"/>
      <c r="N1040" s="8"/>
      <c r="O1040" s="8"/>
      <c r="P1040" s="8"/>
    </row>
    <row r="1041" spans="1:16" ht="15" customHeight="1">
      <c r="A1041" s="292"/>
      <c r="B1041" s="292"/>
      <c r="C1041" s="153">
        <v>2</v>
      </c>
      <c r="D1041" s="152" t="s">
        <v>1425</v>
      </c>
      <c r="E1041" s="153" t="s">
        <v>669</v>
      </c>
      <c r="F1041" s="152" t="s">
        <v>3007</v>
      </c>
      <c r="K1041" s="8"/>
      <c r="L1041" s="8"/>
      <c r="M1041" s="8"/>
      <c r="N1041" s="8"/>
      <c r="O1041" s="8"/>
      <c r="P1041" s="8"/>
    </row>
    <row r="1042" spans="1:16" ht="15" customHeight="1">
      <c r="A1042" s="292"/>
      <c r="B1042" s="292"/>
      <c r="C1042" s="153">
        <v>3</v>
      </c>
      <c r="D1042" s="152" t="s">
        <v>1424</v>
      </c>
      <c r="E1042" s="153" t="s">
        <v>2874</v>
      </c>
      <c r="F1042" s="152" t="s">
        <v>3009</v>
      </c>
      <c r="K1042" s="8"/>
      <c r="L1042" s="8"/>
      <c r="M1042" s="8"/>
      <c r="N1042" s="8"/>
      <c r="O1042" s="8"/>
      <c r="P1042" s="8"/>
    </row>
    <row r="1043" spans="1:16" ht="15" customHeight="1">
      <c r="A1043" s="292"/>
      <c r="B1043" s="292"/>
      <c r="C1043" s="153">
        <v>4</v>
      </c>
      <c r="D1043" s="152" t="s">
        <v>1423</v>
      </c>
      <c r="E1043" s="153" t="s">
        <v>2874</v>
      </c>
      <c r="F1043" s="152" t="s">
        <v>3008</v>
      </c>
      <c r="K1043" s="8"/>
      <c r="L1043" s="8"/>
      <c r="M1043" s="8"/>
      <c r="N1043" s="8"/>
      <c r="O1043" s="8"/>
      <c r="P1043" s="8"/>
    </row>
    <row r="1044" spans="1:16" ht="15" customHeight="1">
      <c r="A1044" s="292"/>
      <c r="B1044" s="292"/>
      <c r="C1044" s="153">
        <v>5</v>
      </c>
      <c r="D1044" s="183" t="s">
        <v>1422</v>
      </c>
      <c r="E1044" s="153" t="s">
        <v>2874</v>
      </c>
      <c r="F1044" s="152" t="s">
        <v>4762</v>
      </c>
      <c r="K1044" s="8"/>
      <c r="L1044" s="8"/>
      <c r="M1044" s="8"/>
      <c r="N1044" s="8"/>
      <c r="O1044" s="8"/>
      <c r="P1044" s="8"/>
    </row>
    <row r="1045" spans="1:16" ht="15" customHeight="1">
      <c r="A1045" s="292"/>
      <c r="B1045" s="292"/>
      <c r="C1045" s="153">
        <v>9</v>
      </c>
      <c r="D1045" s="183" t="s">
        <v>1421</v>
      </c>
      <c r="E1045" s="153" t="s">
        <v>1123</v>
      </c>
      <c r="F1045" s="152" t="s">
        <v>4867</v>
      </c>
      <c r="K1045" s="8"/>
      <c r="L1045" s="8"/>
      <c r="M1045" s="8"/>
      <c r="N1045" s="8"/>
      <c r="O1045" s="8"/>
      <c r="P1045" s="8"/>
    </row>
    <row r="1046" spans="1:16" ht="15" customHeight="1">
      <c r="A1046" s="273"/>
      <c r="B1046" s="273"/>
      <c r="C1046" s="153">
        <v>12</v>
      </c>
      <c r="D1046" s="183" t="s">
        <v>1420</v>
      </c>
      <c r="E1046" s="153" t="s">
        <v>669</v>
      </c>
      <c r="F1046" s="152" t="s">
        <v>4217</v>
      </c>
      <c r="K1046" s="8"/>
      <c r="L1046" s="8"/>
      <c r="M1046" s="8"/>
      <c r="N1046" s="8"/>
      <c r="O1046" s="8"/>
      <c r="P1046" s="8"/>
    </row>
    <row r="1047" spans="1:16" ht="15" customHeight="1">
      <c r="A1047" s="293" t="s">
        <v>4218</v>
      </c>
      <c r="B1047" s="293" t="s">
        <v>4452</v>
      </c>
      <c r="C1047" s="151">
        <v>0</v>
      </c>
      <c r="D1047" s="171" t="s">
        <v>3005</v>
      </c>
      <c r="E1047" s="170" t="s">
        <v>669</v>
      </c>
      <c r="F1047" s="171" t="s">
        <v>2923</v>
      </c>
      <c r="K1047" s="8"/>
      <c r="L1047" s="8"/>
      <c r="M1047" s="8"/>
      <c r="N1047" s="8"/>
      <c r="O1047" s="8"/>
      <c r="P1047" s="8"/>
    </row>
    <row r="1048" spans="1:16" ht="15" customHeight="1">
      <c r="A1048" s="294"/>
      <c r="B1048" s="294"/>
      <c r="C1048" s="151">
        <v>1</v>
      </c>
      <c r="D1048" s="171" t="s">
        <v>4453</v>
      </c>
      <c r="E1048" s="170" t="s">
        <v>2874</v>
      </c>
      <c r="F1048" s="171" t="s">
        <v>4454</v>
      </c>
      <c r="K1048" s="8"/>
      <c r="L1048" s="8"/>
      <c r="M1048" s="8"/>
      <c r="N1048" s="8"/>
      <c r="O1048" s="8"/>
      <c r="P1048" s="8"/>
    </row>
    <row r="1049" spans="1:16" ht="15" customHeight="1">
      <c r="A1049" s="294"/>
      <c r="B1049" s="294"/>
      <c r="C1049" s="151">
        <v>2</v>
      </c>
      <c r="D1049" s="171" t="s">
        <v>1415</v>
      </c>
      <c r="E1049" s="170" t="s">
        <v>669</v>
      </c>
      <c r="F1049" s="171" t="s">
        <v>3002</v>
      </c>
      <c r="K1049" s="8"/>
      <c r="L1049" s="8"/>
      <c r="M1049" s="8"/>
      <c r="N1049" s="8"/>
      <c r="O1049" s="8"/>
      <c r="P1049" s="8"/>
    </row>
    <row r="1050" spans="1:16" ht="15" customHeight="1">
      <c r="A1050" s="294"/>
      <c r="B1050" s="294"/>
      <c r="C1050" s="151">
        <v>3</v>
      </c>
      <c r="D1050" s="171" t="s">
        <v>1414</v>
      </c>
      <c r="E1050" s="170" t="s">
        <v>2874</v>
      </c>
      <c r="F1050" s="171" t="s">
        <v>3004</v>
      </c>
      <c r="K1050" s="8"/>
      <c r="L1050" s="8"/>
      <c r="M1050" s="8"/>
      <c r="N1050" s="8"/>
      <c r="O1050" s="8"/>
      <c r="P1050" s="8"/>
    </row>
    <row r="1051" spans="1:16" ht="15" customHeight="1">
      <c r="A1051" s="294"/>
      <c r="B1051" s="294"/>
      <c r="C1051" s="151">
        <v>4</v>
      </c>
      <c r="D1051" s="171" t="s">
        <v>1413</v>
      </c>
      <c r="E1051" s="170" t="s">
        <v>2874</v>
      </c>
      <c r="F1051" s="171" t="s">
        <v>3003</v>
      </c>
      <c r="K1051" s="8"/>
      <c r="L1051" s="8"/>
      <c r="M1051" s="8"/>
      <c r="N1051" s="8"/>
      <c r="O1051" s="8"/>
      <c r="P1051" s="8"/>
    </row>
    <row r="1052" spans="1:16" ht="15" customHeight="1">
      <c r="A1052" s="294"/>
      <c r="B1052" s="294"/>
      <c r="C1052" s="151">
        <v>5</v>
      </c>
      <c r="D1052" s="175" t="s">
        <v>1412</v>
      </c>
      <c r="E1052" s="170" t="s">
        <v>2874</v>
      </c>
      <c r="F1052" s="185" t="s">
        <v>4488</v>
      </c>
      <c r="K1052" s="8"/>
      <c r="L1052" s="8"/>
      <c r="M1052" s="8"/>
      <c r="N1052" s="8"/>
      <c r="O1052" s="8"/>
      <c r="P1052" s="8"/>
    </row>
    <row r="1053" spans="1:16" ht="15" customHeight="1">
      <c r="A1053" s="294"/>
      <c r="B1053" s="294"/>
      <c r="C1053" s="151">
        <v>10</v>
      </c>
      <c r="D1053" s="171" t="s">
        <v>1411</v>
      </c>
      <c r="E1053" s="170" t="s">
        <v>2874</v>
      </c>
      <c r="F1053" s="171" t="s">
        <v>4219</v>
      </c>
      <c r="K1053" s="8"/>
      <c r="L1053" s="8"/>
      <c r="M1053" s="8"/>
      <c r="N1053" s="8"/>
      <c r="O1053" s="8"/>
      <c r="P1053" s="8"/>
    </row>
    <row r="1054" spans="1:16" ht="15" customHeight="1">
      <c r="A1054" s="295"/>
      <c r="B1054" s="295"/>
      <c r="C1054" s="151">
        <v>12</v>
      </c>
      <c r="D1054" s="171" t="s">
        <v>4141</v>
      </c>
      <c r="E1054" s="170" t="s">
        <v>669</v>
      </c>
      <c r="F1054" s="171" t="s">
        <v>4220</v>
      </c>
      <c r="K1054" s="8"/>
      <c r="L1054" s="8"/>
      <c r="M1054" s="8"/>
      <c r="N1054" s="8"/>
      <c r="O1054" s="8"/>
      <c r="P1054" s="8"/>
    </row>
    <row r="1055" spans="1:16" ht="15" customHeight="1">
      <c r="A1055" s="272" t="s">
        <v>4306</v>
      </c>
      <c r="B1055" s="272" t="s">
        <v>4144</v>
      </c>
      <c r="C1055" s="153">
        <v>0</v>
      </c>
      <c r="D1055" s="152" t="s">
        <v>3001</v>
      </c>
      <c r="E1055" s="153" t="s">
        <v>669</v>
      </c>
      <c r="F1055" s="152" t="s">
        <v>2923</v>
      </c>
      <c r="K1055" s="8"/>
      <c r="L1055" s="8"/>
      <c r="M1055" s="8"/>
      <c r="N1055" s="8"/>
      <c r="O1055" s="8"/>
      <c r="P1055" s="8"/>
    </row>
    <row r="1056" spans="1:16" ht="15" customHeight="1">
      <c r="A1056" s="292"/>
      <c r="B1056" s="292"/>
      <c r="C1056" s="153">
        <v>1</v>
      </c>
      <c r="D1056" s="152" t="s">
        <v>4142</v>
      </c>
      <c r="E1056" s="153" t="s">
        <v>1123</v>
      </c>
      <c r="F1056" s="152" t="s">
        <v>4221</v>
      </c>
      <c r="K1056" s="8"/>
      <c r="L1056" s="8"/>
      <c r="M1056" s="8"/>
      <c r="N1056" s="8"/>
      <c r="O1056" s="8"/>
      <c r="P1056" s="8"/>
    </row>
    <row r="1057" spans="1:16" ht="15" customHeight="1">
      <c r="A1057" s="292"/>
      <c r="B1057" s="292"/>
      <c r="C1057" s="153">
        <v>2</v>
      </c>
      <c r="D1057" s="152" t="s">
        <v>1405</v>
      </c>
      <c r="E1057" s="153" t="s">
        <v>669</v>
      </c>
      <c r="F1057" s="152" t="s">
        <v>2998</v>
      </c>
      <c r="K1057" s="8"/>
      <c r="L1057" s="8"/>
      <c r="M1057" s="8"/>
      <c r="N1057" s="8"/>
      <c r="O1057" s="8"/>
      <c r="P1057" s="8"/>
    </row>
    <row r="1058" spans="1:16" ht="15" customHeight="1">
      <c r="A1058" s="292"/>
      <c r="B1058" s="292"/>
      <c r="C1058" s="153">
        <v>3</v>
      </c>
      <c r="D1058" s="152" t="s">
        <v>1404</v>
      </c>
      <c r="E1058" s="153" t="s">
        <v>2874</v>
      </c>
      <c r="F1058" s="152" t="s">
        <v>3000</v>
      </c>
      <c r="K1058" s="8"/>
      <c r="L1058" s="8"/>
      <c r="M1058" s="8"/>
      <c r="N1058" s="8"/>
      <c r="O1058" s="8"/>
      <c r="P1058" s="8"/>
    </row>
    <row r="1059" spans="1:16" ht="15" customHeight="1">
      <c r="A1059" s="292"/>
      <c r="B1059" s="292"/>
      <c r="C1059" s="153">
        <v>4</v>
      </c>
      <c r="D1059" s="152" t="s">
        <v>1403</v>
      </c>
      <c r="E1059" s="153" t="s">
        <v>2874</v>
      </c>
      <c r="F1059" s="152" t="s">
        <v>2999</v>
      </c>
      <c r="K1059" s="8"/>
      <c r="L1059" s="8"/>
      <c r="M1059" s="8"/>
      <c r="N1059" s="8"/>
      <c r="O1059" s="8"/>
      <c r="P1059" s="8"/>
    </row>
    <row r="1060" spans="1:16" ht="15" customHeight="1">
      <c r="A1060" s="292"/>
      <c r="B1060" s="292"/>
      <c r="C1060" s="153">
        <v>5</v>
      </c>
      <c r="D1060" s="152" t="s">
        <v>1402</v>
      </c>
      <c r="E1060" s="153" t="s">
        <v>1123</v>
      </c>
      <c r="F1060" s="152" t="s">
        <v>4222</v>
      </c>
      <c r="K1060" s="8"/>
      <c r="L1060" s="8"/>
      <c r="M1060" s="8"/>
      <c r="N1060" s="8"/>
      <c r="O1060" s="8"/>
      <c r="P1060" s="8"/>
    </row>
    <row r="1061" spans="1:16" ht="15" customHeight="1">
      <c r="A1061" s="292"/>
      <c r="B1061" s="292"/>
      <c r="C1061" s="153">
        <v>9</v>
      </c>
      <c r="D1061" s="152" t="s">
        <v>1401</v>
      </c>
      <c r="E1061" s="153" t="s">
        <v>1123</v>
      </c>
      <c r="F1061" s="152" t="s">
        <v>4223</v>
      </c>
      <c r="K1061" s="8"/>
      <c r="L1061" s="8"/>
      <c r="M1061" s="8"/>
      <c r="N1061" s="8"/>
      <c r="O1061" s="8"/>
      <c r="P1061" s="8"/>
    </row>
    <row r="1062" spans="1:16" ht="15" customHeight="1">
      <c r="A1062" s="292"/>
      <c r="B1062" s="292"/>
      <c r="C1062" s="153">
        <v>10</v>
      </c>
      <c r="D1062" s="183" t="s">
        <v>1400</v>
      </c>
      <c r="E1062" s="153" t="s">
        <v>1123</v>
      </c>
      <c r="F1062" s="152" t="s">
        <v>4868</v>
      </c>
      <c r="K1062" s="8"/>
      <c r="L1062" s="8"/>
      <c r="M1062" s="8"/>
      <c r="N1062" s="8"/>
      <c r="O1062" s="8"/>
      <c r="P1062" s="8"/>
    </row>
    <row r="1063" spans="1:16" ht="15" customHeight="1">
      <c r="A1063" s="292"/>
      <c r="B1063" s="292"/>
      <c r="C1063" s="153">
        <v>11</v>
      </c>
      <c r="D1063" s="152" t="s">
        <v>4143</v>
      </c>
      <c r="E1063" s="153" t="s">
        <v>669</v>
      </c>
      <c r="F1063" s="152" t="s">
        <v>4224</v>
      </c>
      <c r="K1063" s="8"/>
      <c r="L1063" s="8"/>
      <c r="M1063" s="8"/>
      <c r="N1063" s="8"/>
      <c r="O1063" s="8"/>
      <c r="P1063" s="8"/>
    </row>
    <row r="1064" spans="1:16" ht="15" customHeight="1">
      <c r="A1064" s="273"/>
      <c r="B1064" s="273"/>
      <c r="C1064" s="153">
        <v>13</v>
      </c>
      <c r="D1064" s="183" t="s">
        <v>1398</v>
      </c>
      <c r="E1064" s="153" t="s">
        <v>1123</v>
      </c>
      <c r="F1064" s="152" t="s">
        <v>4809</v>
      </c>
      <c r="K1064" s="8"/>
      <c r="L1064" s="8"/>
      <c r="M1064" s="8"/>
      <c r="N1064" s="8"/>
      <c r="O1064" s="8"/>
      <c r="P1064" s="8"/>
    </row>
    <row r="1065" spans="1:16" ht="15" customHeight="1">
      <c r="A1065" s="293" t="s">
        <v>4225</v>
      </c>
      <c r="B1065" s="293" t="s">
        <v>4146</v>
      </c>
      <c r="C1065" s="151">
        <v>0</v>
      </c>
      <c r="D1065" s="171" t="s">
        <v>2997</v>
      </c>
      <c r="E1065" s="170" t="s">
        <v>669</v>
      </c>
      <c r="F1065" s="171" t="s">
        <v>2923</v>
      </c>
      <c r="K1065" s="8"/>
      <c r="L1065" s="8"/>
      <c r="M1065" s="8"/>
      <c r="N1065" s="8"/>
      <c r="O1065" s="8"/>
      <c r="P1065" s="8"/>
    </row>
    <row r="1066" spans="1:16" ht="15" customHeight="1">
      <c r="A1066" s="294"/>
      <c r="B1066" s="294"/>
      <c r="C1066" s="151">
        <v>1</v>
      </c>
      <c r="D1066" s="171" t="s">
        <v>4145</v>
      </c>
      <c r="E1066" s="170" t="s">
        <v>2874</v>
      </c>
      <c r="F1066" s="171" t="s">
        <v>4226</v>
      </c>
      <c r="K1066" s="8"/>
      <c r="L1066" s="8"/>
      <c r="M1066" s="8"/>
      <c r="N1066" s="8"/>
      <c r="O1066" s="8"/>
      <c r="P1066" s="8"/>
    </row>
    <row r="1067" spans="1:16" ht="15" customHeight="1">
      <c r="A1067" s="294"/>
      <c r="B1067" s="294"/>
      <c r="C1067" s="151">
        <v>2</v>
      </c>
      <c r="D1067" s="171" t="s">
        <v>1393</v>
      </c>
      <c r="E1067" s="170" t="s">
        <v>669</v>
      </c>
      <c r="F1067" s="171" t="s">
        <v>2994</v>
      </c>
      <c r="K1067" s="8"/>
      <c r="L1067" s="8"/>
      <c r="M1067" s="8"/>
      <c r="N1067" s="8"/>
      <c r="O1067" s="8"/>
      <c r="P1067" s="8"/>
    </row>
    <row r="1068" spans="1:16" ht="15" customHeight="1">
      <c r="A1068" s="294"/>
      <c r="B1068" s="294"/>
      <c r="C1068" s="151">
        <v>3</v>
      </c>
      <c r="D1068" s="171" t="s">
        <v>1392</v>
      </c>
      <c r="E1068" s="170" t="s">
        <v>2874</v>
      </c>
      <c r="F1068" s="171" t="s">
        <v>2996</v>
      </c>
      <c r="K1068" s="8"/>
      <c r="L1068" s="8"/>
      <c r="M1068" s="8"/>
      <c r="N1068" s="8"/>
      <c r="O1068" s="8"/>
      <c r="P1068" s="8"/>
    </row>
    <row r="1069" spans="1:16" ht="15" customHeight="1">
      <c r="A1069" s="294"/>
      <c r="B1069" s="294"/>
      <c r="C1069" s="151">
        <v>4</v>
      </c>
      <c r="D1069" s="171" t="s">
        <v>1391</v>
      </c>
      <c r="E1069" s="170" t="s">
        <v>2874</v>
      </c>
      <c r="F1069" s="171" t="s">
        <v>2995</v>
      </c>
      <c r="K1069" s="8"/>
      <c r="L1069" s="8"/>
      <c r="M1069" s="8"/>
      <c r="N1069" s="8"/>
      <c r="O1069" s="8"/>
      <c r="P1069" s="8"/>
    </row>
    <row r="1070" spans="1:16" ht="15" customHeight="1">
      <c r="A1070" s="294"/>
      <c r="B1070" s="294"/>
      <c r="C1070" s="151">
        <v>5</v>
      </c>
      <c r="D1070" s="171" t="s">
        <v>1390</v>
      </c>
      <c r="E1070" s="170" t="s">
        <v>2874</v>
      </c>
      <c r="F1070" s="171" t="s">
        <v>4227</v>
      </c>
      <c r="K1070" s="8"/>
      <c r="L1070" s="8"/>
      <c r="M1070" s="8"/>
      <c r="N1070" s="8"/>
      <c r="O1070" s="8"/>
      <c r="P1070" s="8"/>
    </row>
    <row r="1071" spans="1:16" ht="15" customHeight="1">
      <c r="A1071" s="294"/>
      <c r="B1071" s="294"/>
      <c r="C1071" s="151">
        <v>9</v>
      </c>
      <c r="D1071" s="171" t="s">
        <v>1389</v>
      </c>
      <c r="E1071" s="170" t="s">
        <v>2874</v>
      </c>
      <c r="F1071" s="171" t="s">
        <v>4228</v>
      </c>
      <c r="K1071" s="8"/>
      <c r="L1071" s="8"/>
      <c r="M1071" s="8"/>
      <c r="N1071" s="8"/>
      <c r="O1071" s="8"/>
      <c r="P1071" s="8"/>
    </row>
    <row r="1072" spans="1:16" ht="15" customHeight="1">
      <c r="A1072" s="294"/>
      <c r="B1072" s="294"/>
      <c r="C1072" s="151">
        <v>10</v>
      </c>
      <c r="D1072" s="175" t="s">
        <v>1388</v>
      </c>
      <c r="E1072" s="170" t="s">
        <v>2874</v>
      </c>
      <c r="F1072" s="171" t="s">
        <v>4387</v>
      </c>
      <c r="K1072" s="8"/>
      <c r="L1072" s="8"/>
      <c r="M1072" s="8"/>
      <c r="N1072" s="8"/>
      <c r="O1072" s="8"/>
      <c r="P1072" s="8"/>
    </row>
    <row r="1073" spans="1:16" ht="15" customHeight="1">
      <c r="A1073" s="294"/>
      <c r="B1073" s="294"/>
      <c r="C1073" s="151">
        <v>11</v>
      </c>
      <c r="D1073" s="175" t="s">
        <v>1387</v>
      </c>
      <c r="E1073" s="170" t="s">
        <v>669</v>
      </c>
      <c r="F1073" s="171" t="s">
        <v>4229</v>
      </c>
      <c r="K1073" s="8"/>
      <c r="L1073" s="8"/>
      <c r="M1073" s="8"/>
      <c r="N1073" s="8"/>
      <c r="O1073" s="8"/>
      <c r="P1073" s="8"/>
    </row>
    <row r="1074" spans="1:16" ht="15" customHeight="1">
      <c r="A1074" s="295"/>
      <c r="B1074" s="295"/>
      <c r="C1074" s="174">
        <v>13</v>
      </c>
      <c r="D1074" s="175" t="s">
        <v>4147</v>
      </c>
      <c r="E1074" s="174" t="s">
        <v>2874</v>
      </c>
      <c r="F1074" s="175" t="s">
        <v>4802</v>
      </c>
      <c r="K1074" s="8"/>
      <c r="L1074" s="8"/>
      <c r="M1074" s="8"/>
      <c r="N1074" s="8"/>
      <c r="O1074" s="8"/>
      <c r="P1074" s="8"/>
    </row>
    <row r="1075" spans="1:16" ht="15" customHeight="1">
      <c r="A1075" s="272" t="s">
        <v>4235</v>
      </c>
      <c r="B1075" s="272" t="s">
        <v>4149</v>
      </c>
      <c r="C1075" s="153">
        <v>0</v>
      </c>
      <c r="D1075" s="152" t="s">
        <v>2993</v>
      </c>
      <c r="E1075" s="153" t="s">
        <v>669</v>
      </c>
      <c r="F1075" s="152" t="s">
        <v>2923</v>
      </c>
      <c r="K1075" s="8"/>
      <c r="L1075" s="8"/>
      <c r="M1075" s="8"/>
      <c r="N1075" s="8"/>
      <c r="O1075" s="8"/>
      <c r="P1075" s="8"/>
    </row>
    <row r="1076" spans="1:16" ht="33.75" customHeight="1">
      <c r="A1076" s="292"/>
      <c r="B1076" s="292"/>
      <c r="C1076" s="153">
        <v>1</v>
      </c>
      <c r="D1076" s="152" t="s">
        <v>4148</v>
      </c>
      <c r="E1076" s="153" t="s">
        <v>1123</v>
      </c>
      <c r="F1076" s="152" t="s">
        <v>4960</v>
      </c>
      <c r="K1076" s="8"/>
      <c r="L1076" s="8"/>
      <c r="M1076" s="8"/>
      <c r="N1076" s="8"/>
      <c r="O1076" s="8"/>
      <c r="P1076" s="8"/>
    </row>
    <row r="1077" spans="1:16" ht="15" customHeight="1">
      <c r="A1077" s="292"/>
      <c r="B1077" s="292"/>
      <c r="C1077" s="153">
        <v>2</v>
      </c>
      <c r="D1077" s="152" t="s">
        <v>1381</v>
      </c>
      <c r="E1077" s="153" t="s">
        <v>669</v>
      </c>
      <c r="F1077" s="152" t="s">
        <v>2990</v>
      </c>
      <c r="K1077" s="8"/>
      <c r="L1077" s="8"/>
      <c r="M1077" s="8"/>
      <c r="N1077" s="8"/>
      <c r="O1077" s="8"/>
      <c r="P1077" s="8"/>
    </row>
    <row r="1078" spans="1:16" ht="15" customHeight="1">
      <c r="A1078" s="292"/>
      <c r="B1078" s="292"/>
      <c r="C1078" s="153">
        <v>3</v>
      </c>
      <c r="D1078" s="152" t="s">
        <v>1380</v>
      </c>
      <c r="E1078" s="153" t="s">
        <v>2874</v>
      </c>
      <c r="F1078" s="152" t="s">
        <v>2992</v>
      </c>
      <c r="K1078" s="8"/>
      <c r="L1078" s="8"/>
      <c r="M1078" s="8"/>
      <c r="N1078" s="8"/>
      <c r="O1078" s="8"/>
      <c r="P1078" s="8"/>
    </row>
    <row r="1079" spans="1:16" ht="15" customHeight="1">
      <c r="A1079" s="292"/>
      <c r="B1079" s="292"/>
      <c r="C1079" s="153">
        <v>4</v>
      </c>
      <c r="D1079" s="152" t="s">
        <v>1379</v>
      </c>
      <c r="E1079" s="153" t="s">
        <v>2874</v>
      </c>
      <c r="F1079" s="152" t="s">
        <v>2991</v>
      </c>
      <c r="K1079" s="8"/>
      <c r="L1079" s="8"/>
      <c r="M1079" s="8"/>
      <c r="N1079" s="8"/>
      <c r="O1079" s="8"/>
      <c r="P1079" s="8"/>
    </row>
    <row r="1080" spans="1:16" ht="15" customHeight="1">
      <c r="A1080" s="292"/>
      <c r="B1080" s="292"/>
      <c r="C1080" s="153">
        <v>5</v>
      </c>
      <c r="D1080" s="152" t="s">
        <v>1378</v>
      </c>
      <c r="E1080" s="153" t="s">
        <v>2874</v>
      </c>
      <c r="F1080" s="152" t="s">
        <v>4236</v>
      </c>
      <c r="K1080" s="8"/>
      <c r="L1080" s="8"/>
      <c r="M1080" s="8"/>
      <c r="N1080" s="8"/>
      <c r="O1080" s="8"/>
      <c r="P1080" s="8"/>
    </row>
    <row r="1081" spans="1:16" ht="15" customHeight="1">
      <c r="A1081" s="292"/>
      <c r="B1081" s="292"/>
      <c r="C1081" s="153">
        <v>9</v>
      </c>
      <c r="D1081" s="183" t="s">
        <v>1377</v>
      </c>
      <c r="E1081" s="153" t="s">
        <v>1123</v>
      </c>
      <c r="F1081" s="152" t="s">
        <v>4381</v>
      </c>
      <c r="K1081" s="8"/>
      <c r="L1081" s="8"/>
      <c r="M1081" s="8"/>
      <c r="N1081" s="8"/>
      <c r="O1081" s="8"/>
      <c r="P1081" s="8"/>
    </row>
    <row r="1082" spans="1:16" ht="15" customHeight="1">
      <c r="A1082" s="292"/>
      <c r="B1082" s="292"/>
      <c r="C1082" s="153">
        <v>10</v>
      </c>
      <c r="D1082" s="152" t="s">
        <v>1376</v>
      </c>
      <c r="E1082" s="153" t="s">
        <v>669</v>
      </c>
      <c r="F1082" s="152" t="s">
        <v>4237</v>
      </c>
      <c r="K1082" s="8"/>
      <c r="L1082" s="8"/>
      <c r="M1082" s="8"/>
      <c r="N1082" s="8"/>
      <c r="O1082" s="8"/>
      <c r="P1082" s="8"/>
    </row>
    <row r="1083" spans="1:16" ht="15" customHeight="1">
      <c r="A1083" s="292"/>
      <c r="B1083" s="292"/>
      <c r="C1083" s="153">
        <v>11</v>
      </c>
      <c r="D1083" s="152" t="s">
        <v>1375</v>
      </c>
      <c r="E1083" s="153" t="s">
        <v>669</v>
      </c>
      <c r="F1083" s="152" t="s">
        <v>4238</v>
      </c>
      <c r="K1083" s="8"/>
      <c r="L1083" s="8"/>
      <c r="M1083" s="8"/>
      <c r="N1083" s="8"/>
      <c r="O1083" s="8"/>
      <c r="P1083" s="8"/>
    </row>
    <row r="1084" spans="1:16" ht="15" customHeight="1">
      <c r="A1084" s="273"/>
      <c r="B1084" s="273"/>
      <c r="C1084" s="153">
        <v>13</v>
      </c>
      <c r="D1084" s="152" t="s">
        <v>1374</v>
      </c>
      <c r="E1084" s="153" t="s">
        <v>1123</v>
      </c>
      <c r="F1084" s="152" t="s">
        <v>4810</v>
      </c>
      <c r="K1084" s="8"/>
      <c r="L1084" s="8"/>
      <c r="M1084" s="8"/>
      <c r="N1084" s="8"/>
      <c r="O1084" s="8"/>
      <c r="P1084" s="8"/>
    </row>
    <row r="1085" spans="1:16" ht="15" customHeight="1">
      <c r="A1085" s="293" t="s">
        <v>4230</v>
      </c>
      <c r="B1085" s="293" t="s">
        <v>4150</v>
      </c>
      <c r="C1085" s="151">
        <v>0</v>
      </c>
      <c r="D1085" s="171" t="s">
        <v>2989</v>
      </c>
      <c r="E1085" s="170" t="s">
        <v>669</v>
      </c>
      <c r="F1085" s="171" t="s">
        <v>2923</v>
      </c>
      <c r="K1085" s="8"/>
      <c r="L1085" s="8"/>
      <c r="M1085" s="8"/>
      <c r="N1085" s="8"/>
      <c r="O1085" s="8"/>
      <c r="P1085" s="8"/>
    </row>
    <row r="1086" spans="1:16" ht="15" customHeight="1">
      <c r="A1086" s="294"/>
      <c r="B1086" s="294"/>
      <c r="C1086" s="151">
        <v>1</v>
      </c>
      <c r="D1086" s="171" t="s">
        <v>4441</v>
      </c>
      <c r="E1086" s="170" t="s">
        <v>2874</v>
      </c>
      <c r="F1086" s="171" t="s">
        <v>4442</v>
      </c>
      <c r="K1086" s="8"/>
      <c r="L1086" s="8"/>
      <c r="M1086" s="8"/>
      <c r="N1086" s="8"/>
      <c r="O1086" s="8"/>
      <c r="P1086" s="8"/>
    </row>
    <row r="1087" spans="1:16" ht="15" customHeight="1">
      <c r="A1087" s="294"/>
      <c r="B1087" s="294"/>
      <c r="C1087" s="151">
        <v>2</v>
      </c>
      <c r="D1087" s="171" t="s">
        <v>1369</v>
      </c>
      <c r="E1087" s="170" t="s">
        <v>1123</v>
      </c>
      <c r="F1087" s="171" t="s">
        <v>2986</v>
      </c>
      <c r="K1087" s="8"/>
      <c r="L1087" s="8"/>
      <c r="M1087" s="8"/>
      <c r="N1087" s="8"/>
      <c r="O1087" s="8"/>
      <c r="P1087" s="8"/>
    </row>
    <row r="1088" spans="1:16" ht="15" customHeight="1">
      <c r="A1088" s="294"/>
      <c r="B1088" s="294"/>
      <c r="C1088" s="151">
        <v>3</v>
      </c>
      <c r="D1088" s="171" t="s">
        <v>1368</v>
      </c>
      <c r="E1088" s="170" t="s">
        <v>2874</v>
      </c>
      <c r="F1088" s="171" t="s">
        <v>2988</v>
      </c>
      <c r="K1088" s="8"/>
      <c r="L1088" s="8"/>
      <c r="M1088" s="8"/>
      <c r="N1088" s="8"/>
      <c r="O1088" s="8"/>
      <c r="P1088" s="8"/>
    </row>
    <row r="1089" spans="1:16" ht="15" customHeight="1">
      <c r="A1089" s="294"/>
      <c r="B1089" s="294"/>
      <c r="C1089" s="151">
        <v>4</v>
      </c>
      <c r="D1089" s="171" t="s">
        <v>1367</v>
      </c>
      <c r="E1089" s="170" t="s">
        <v>2874</v>
      </c>
      <c r="F1089" s="171" t="s">
        <v>2987</v>
      </c>
      <c r="K1089" s="8"/>
      <c r="L1089" s="8"/>
      <c r="M1089" s="8"/>
      <c r="N1089" s="8"/>
      <c r="O1089" s="8"/>
      <c r="P1089" s="8"/>
    </row>
    <row r="1090" spans="1:16" ht="15" customHeight="1">
      <c r="A1090" s="294"/>
      <c r="B1090" s="294"/>
      <c r="C1090" s="151">
        <v>5</v>
      </c>
      <c r="D1090" s="175" t="s">
        <v>1366</v>
      </c>
      <c r="E1090" s="170" t="s">
        <v>669</v>
      </c>
      <c r="F1090" s="171" t="s">
        <v>4231</v>
      </c>
      <c r="K1090" s="8"/>
      <c r="L1090" s="8"/>
      <c r="M1090" s="8"/>
      <c r="N1090" s="8"/>
      <c r="O1090" s="8"/>
      <c r="P1090" s="8"/>
    </row>
    <row r="1091" spans="1:16" ht="15" customHeight="1">
      <c r="A1091" s="294"/>
      <c r="B1091" s="294"/>
      <c r="C1091" s="151">
        <v>9</v>
      </c>
      <c r="D1091" s="175" t="s">
        <v>1365</v>
      </c>
      <c r="E1091" s="170" t="s">
        <v>2874</v>
      </c>
      <c r="F1091" s="171" t="s">
        <v>4388</v>
      </c>
      <c r="K1091" s="8"/>
      <c r="L1091" s="8"/>
      <c r="M1091" s="8"/>
      <c r="N1091" s="8"/>
      <c r="O1091" s="8"/>
      <c r="P1091" s="8"/>
    </row>
    <row r="1092" spans="1:16" ht="15" customHeight="1">
      <c r="A1092" s="294"/>
      <c r="B1092" s="294"/>
      <c r="C1092" s="151">
        <v>10</v>
      </c>
      <c r="D1092" s="171" t="s">
        <v>1364</v>
      </c>
      <c r="E1092" s="170" t="s">
        <v>669</v>
      </c>
      <c r="F1092" s="171" t="s">
        <v>4232</v>
      </c>
      <c r="K1092" s="8"/>
      <c r="L1092" s="8"/>
      <c r="M1092" s="8"/>
      <c r="N1092" s="8"/>
      <c r="O1092" s="8"/>
      <c r="P1092" s="8"/>
    </row>
    <row r="1093" spans="1:16" ht="15" customHeight="1">
      <c r="A1093" s="294"/>
      <c r="B1093" s="294"/>
      <c r="C1093" s="151">
        <v>11</v>
      </c>
      <c r="D1093" s="171" t="s">
        <v>1363</v>
      </c>
      <c r="E1093" s="170" t="s">
        <v>669</v>
      </c>
      <c r="F1093" s="171" t="s">
        <v>4233</v>
      </c>
      <c r="K1093" s="8"/>
      <c r="L1093" s="8"/>
      <c r="M1093" s="8"/>
      <c r="N1093" s="8"/>
      <c r="O1093" s="8"/>
      <c r="P1093" s="8"/>
    </row>
    <row r="1094" spans="1:16" ht="15" customHeight="1">
      <c r="A1094" s="294"/>
      <c r="B1094" s="294"/>
      <c r="C1094" s="151">
        <v>12</v>
      </c>
      <c r="D1094" s="171" t="s">
        <v>4151</v>
      </c>
      <c r="E1094" s="170" t="s">
        <v>669</v>
      </c>
      <c r="F1094" s="171" t="s">
        <v>4234</v>
      </c>
      <c r="K1094" s="8"/>
      <c r="L1094" s="8"/>
      <c r="M1094" s="8"/>
      <c r="N1094" s="8"/>
      <c r="O1094" s="8"/>
      <c r="P1094" s="8"/>
    </row>
    <row r="1095" spans="1:16" ht="15" customHeight="1">
      <c r="A1095" s="295"/>
      <c r="B1095" s="295"/>
      <c r="C1095" s="174">
        <v>13</v>
      </c>
      <c r="D1095" s="175" t="s">
        <v>4152</v>
      </c>
      <c r="E1095" s="174" t="s">
        <v>1123</v>
      </c>
      <c r="F1095" s="175" t="s">
        <v>4811</v>
      </c>
      <c r="K1095" s="8"/>
      <c r="L1095" s="8"/>
      <c r="M1095" s="8"/>
      <c r="N1095" s="8"/>
      <c r="O1095" s="8"/>
      <c r="P1095" s="8"/>
    </row>
    <row r="1096" spans="1:16" ht="15" customHeight="1">
      <c r="A1096" s="272" t="s">
        <v>4239</v>
      </c>
      <c r="B1096" s="272" t="s">
        <v>4156</v>
      </c>
      <c r="C1096" s="153">
        <v>0</v>
      </c>
      <c r="D1096" s="152" t="s">
        <v>2985</v>
      </c>
      <c r="E1096" s="153" t="s">
        <v>669</v>
      </c>
      <c r="F1096" s="152" t="s">
        <v>2923</v>
      </c>
      <c r="K1096" s="8"/>
      <c r="L1096" s="8"/>
      <c r="M1096" s="8"/>
      <c r="N1096" s="8"/>
      <c r="O1096" s="8"/>
      <c r="P1096" s="8"/>
    </row>
    <row r="1097" spans="1:16" ht="15" customHeight="1">
      <c r="A1097" s="292"/>
      <c r="B1097" s="292"/>
      <c r="C1097" s="153">
        <v>1</v>
      </c>
      <c r="D1097" s="152" t="s">
        <v>4440</v>
      </c>
      <c r="E1097" s="153" t="s">
        <v>2874</v>
      </c>
      <c r="F1097" s="152" t="s">
        <v>4443</v>
      </c>
      <c r="K1097" s="8"/>
      <c r="L1097" s="8"/>
      <c r="M1097" s="8"/>
      <c r="N1097" s="8"/>
      <c r="O1097" s="8"/>
      <c r="P1097" s="8"/>
    </row>
    <row r="1098" spans="1:16" ht="15" customHeight="1">
      <c r="A1098" s="292"/>
      <c r="B1098" s="292"/>
      <c r="C1098" s="153">
        <v>2</v>
      </c>
      <c r="D1098" s="152" t="s">
        <v>1356</v>
      </c>
      <c r="E1098" s="153" t="s">
        <v>1123</v>
      </c>
      <c r="F1098" s="152" t="s">
        <v>2982</v>
      </c>
      <c r="K1098" s="8"/>
      <c r="L1098" s="8"/>
      <c r="M1098" s="8"/>
      <c r="N1098" s="8"/>
      <c r="O1098" s="8"/>
      <c r="P1098" s="8"/>
    </row>
    <row r="1099" spans="1:16" ht="15" customHeight="1">
      <c r="A1099" s="292"/>
      <c r="B1099" s="292"/>
      <c r="C1099" s="153">
        <v>3</v>
      </c>
      <c r="D1099" s="152" t="s">
        <v>1355</v>
      </c>
      <c r="E1099" s="153" t="s">
        <v>2874</v>
      </c>
      <c r="F1099" s="152" t="s">
        <v>2984</v>
      </c>
      <c r="K1099" s="8"/>
      <c r="L1099" s="8"/>
      <c r="M1099" s="8"/>
      <c r="N1099" s="8"/>
      <c r="O1099" s="8"/>
      <c r="P1099" s="8"/>
    </row>
    <row r="1100" spans="1:16" ht="15" customHeight="1">
      <c r="A1100" s="292"/>
      <c r="B1100" s="292"/>
      <c r="C1100" s="153">
        <v>4</v>
      </c>
      <c r="D1100" s="152" t="s">
        <v>1354</v>
      </c>
      <c r="E1100" s="153" t="s">
        <v>2874</v>
      </c>
      <c r="F1100" s="152" t="s">
        <v>2983</v>
      </c>
      <c r="K1100" s="8"/>
      <c r="L1100" s="8"/>
      <c r="M1100" s="8"/>
      <c r="N1100" s="8"/>
      <c r="O1100" s="8"/>
      <c r="P1100" s="8"/>
    </row>
    <row r="1101" spans="1:16" ht="15" customHeight="1">
      <c r="A1101" s="292"/>
      <c r="B1101" s="292"/>
      <c r="C1101" s="153">
        <v>5</v>
      </c>
      <c r="D1101" s="152" t="s">
        <v>4153</v>
      </c>
      <c r="E1101" s="153" t="s">
        <v>669</v>
      </c>
      <c r="F1101" s="152" t="s">
        <v>4240</v>
      </c>
      <c r="K1101" s="8"/>
      <c r="L1101" s="8"/>
      <c r="M1101" s="8"/>
      <c r="N1101" s="8"/>
      <c r="O1101" s="8"/>
      <c r="P1101" s="8"/>
    </row>
    <row r="1102" spans="1:16" ht="15" customHeight="1">
      <c r="A1102" s="292"/>
      <c r="B1102" s="292"/>
      <c r="C1102" s="153">
        <v>9</v>
      </c>
      <c r="D1102" s="152" t="s">
        <v>4154</v>
      </c>
      <c r="E1102" s="153" t="s">
        <v>1123</v>
      </c>
      <c r="F1102" s="152" t="s">
        <v>4242</v>
      </c>
      <c r="K1102" s="8"/>
      <c r="L1102" s="8"/>
      <c r="M1102" s="8"/>
      <c r="N1102" s="8"/>
      <c r="O1102" s="8"/>
      <c r="P1102" s="8"/>
    </row>
    <row r="1103" spans="1:16" ht="15" customHeight="1">
      <c r="A1103" s="292"/>
      <c r="B1103" s="292"/>
      <c r="C1103" s="153">
        <v>10</v>
      </c>
      <c r="D1103" s="152" t="s">
        <v>1351</v>
      </c>
      <c r="E1103" s="153" t="s">
        <v>669</v>
      </c>
      <c r="F1103" s="152" t="s">
        <v>4241</v>
      </c>
      <c r="K1103" s="8"/>
      <c r="L1103" s="8"/>
      <c r="M1103" s="8"/>
      <c r="N1103" s="8"/>
      <c r="O1103" s="8"/>
      <c r="P1103" s="8"/>
    </row>
    <row r="1104" spans="1:16" ht="15" customHeight="1">
      <c r="A1104" s="292"/>
      <c r="B1104" s="292"/>
      <c r="C1104" s="153">
        <v>11</v>
      </c>
      <c r="D1104" s="152" t="s">
        <v>1350</v>
      </c>
      <c r="E1104" s="153" t="s">
        <v>669</v>
      </c>
      <c r="F1104" s="152" t="s">
        <v>4244</v>
      </c>
      <c r="K1104" s="8"/>
      <c r="L1104" s="8"/>
      <c r="M1104" s="8"/>
      <c r="N1104" s="8"/>
      <c r="O1104" s="8"/>
      <c r="P1104" s="8"/>
    </row>
    <row r="1105" spans="1:16" ht="15" customHeight="1">
      <c r="A1105" s="292"/>
      <c r="B1105" s="292"/>
      <c r="C1105" s="153">
        <v>12</v>
      </c>
      <c r="D1105" s="152" t="s">
        <v>4155</v>
      </c>
      <c r="E1105" s="153" t="s">
        <v>669</v>
      </c>
      <c r="F1105" s="152" t="s">
        <v>4243</v>
      </c>
      <c r="K1105" s="8"/>
      <c r="L1105" s="8"/>
      <c r="M1105" s="8"/>
      <c r="N1105" s="8"/>
      <c r="O1105" s="8"/>
      <c r="P1105" s="8"/>
    </row>
    <row r="1106" spans="1:16" ht="15" customHeight="1">
      <c r="A1106" s="273"/>
      <c r="B1106" s="273"/>
      <c r="C1106" s="182">
        <v>13</v>
      </c>
      <c r="D1106" s="183" t="s">
        <v>4157</v>
      </c>
      <c r="E1106" s="182" t="s">
        <v>2874</v>
      </c>
      <c r="F1106" s="183" t="s">
        <v>4803</v>
      </c>
      <c r="K1106" s="8"/>
      <c r="L1106" s="8"/>
      <c r="M1106" s="8"/>
      <c r="N1106" s="8"/>
      <c r="O1106" s="8"/>
      <c r="P1106" s="8"/>
    </row>
    <row r="1107" spans="1:16" ht="15" customHeight="1">
      <c r="A1107" s="293" t="s">
        <v>4245</v>
      </c>
      <c r="B1107" s="293" t="s">
        <v>4159</v>
      </c>
      <c r="C1107" s="151">
        <v>0</v>
      </c>
      <c r="D1107" s="171" t="s">
        <v>2981</v>
      </c>
      <c r="E1107" s="170" t="s">
        <v>669</v>
      </c>
      <c r="F1107" s="171" t="s">
        <v>2923</v>
      </c>
      <c r="K1107" s="8"/>
      <c r="L1107" s="8"/>
      <c r="M1107" s="8"/>
      <c r="N1107" s="8"/>
      <c r="O1107" s="8"/>
      <c r="P1107" s="8"/>
    </row>
    <row r="1108" spans="1:16" ht="15" customHeight="1">
      <c r="A1108" s="294"/>
      <c r="B1108" s="294"/>
      <c r="C1108" s="151">
        <v>2</v>
      </c>
      <c r="D1108" s="171" t="s">
        <v>1344</v>
      </c>
      <c r="E1108" s="170" t="s">
        <v>669</v>
      </c>
      <c r="F1108" s="171" t="s">
        <v>2978</v>
      </c>
      <c r="K1108" s="8"/>
      <c r="L1108" s="8"/>
      <c r="M1108" s="8"/>
      <c r="N1108" s="8"/>
      <c r="O1108" s="8"/>
      <c r="P1108" s="8"/>
    </row>
    <row r="1109" spans="1:16" ht="15" customHeight="1">
      <c r="A1109" s="294"/>
      <c r="B1109" s="294"/>
      <c r="C1109" s="151">
        <v>3</v>
      </c>
      <c r="D1109" s="171" t="s">
        <v>1343</v>
      </c>
      <c r="E1109" s="170" t="s">
        <v>2874</v>
      </c>
      <c r="F1109" s="171" t="s">
        <v>2980</v>
      </c>
      <c r="K1109" s="8"/>
      <c r="L1109" s="8"/>
      <c r="M1109" s="8"/>
      <c r="N1109" s="8"/>
      <c r="O1109" s="8"/>
      <c r="P1109" s="8"/>
    </row>
    <row r="1110" spans="1:16" ht="15" customHeight="1">
      <c r="A1110" s="294"/>
      <c r="B1110" s="294"/>
      <c r="C1110" s="151">
        <v>4</v>
      </c>
      <c r="D1110" s="171" t="s">
        <v>1342</v>
      </c>
      <c r="E1110" s="170" t="s">
        <v>2874</v>
      </c>
      <c r="F1110" s="171" t="s">
        <v>2979</v>
      </c>
      <c r="K1110" s="8"/>
      <c r="L1110" s="8"/>
      <c r="M1110" s="8"/>
      <c r="N1110" s="8"/>
      <c r="O1110" s="8"/>
      <c r="P1110" s="8"/>
    </row>
    <row r="1111" spans="1:16" ht="15" customHeight="1">
      <c r="A1111" s="294"/>
      <c r="B1111" s="294"/>
      <c r="C1111" s="151">
        <v>5</v>
      </c>
      <c r="D1111" s="175" t="s">
        <v>1341</v>
      </c>
      <c r="E1111" s="170" t="s">
        <v>669</v>
      </c>
      <c r="F1111" s="171" t="s">
        <v>4730</v>
      </c>
      <c r="K1111" s="8"/>
      <c r="L1111" s="8"/>
      <c r="M1111" s="8"/>
      <c r="N1111" s="8"/>
      <c r="O1111" s="8"/>
      <c r="P1111" s="8"/>
    </row>
    <row r="1112" spans="1:16" ht="15" customHeight="1">
      <c r="A1112" s="294"/>
      <c r="B1112" s="294"/>
      <c r="C1112" s="151">
        <v>9</v>
      </c>
      <c r="D1112" s="171" t="s">
        <v>4158</v>
      </c>
      <c r="E1112" s="170" t="s">
        <v>2874</v>
      </c>
      <c r="F1112" s="171" t="s">
        <v>4246</v>
      </c>
      <c r="K1112" s="8"/>
      <c r="L1112" s="8"/>
      <c r="M1112" s="8"/>
      <c r="N1112" s="8"/>
      <c r="O1112" s="8"/>
      <c r="P1112" s="8"/>
    </row>
    <row r="1113" spans="1:16" ht="15" customHeight="1">
      <c r="A1113" s="294"/>
      <c r="B1113" s="294"/>
      <c r="C1113" s="151">
        <v>10</v>
      </c>
      <c r="D1113" s="171" t="s">
        <v>1339</v>
      </c>
      <c r="E1113" s="170" t="s">
        <v>2874</v>
      </c>
      <c r="F1113" s="171" t="s">
        <v>4247</v>
      </c>
      <c r="K1113" s="8"/>
      <c r="L1113" s="8"/>
      <c r="M1113" s="8"/>
      <c r="N1113" s="8"/>
      <c r="O1113" s="8"/>
      <c r="P1113" s="8"/>
    </row>
    <row r="1114" spans="1:16" ht="15" customHeight="1">
      <c r="A1114" s="294"/>
      <c r="B1114" s="294"/>
      <c r="C1114" s="151">
        <v>11</v>
      </c>
      <c r="D1114" s="171" t="s">
        <v>1338</v>
      </c>
      <c r="E1114" s="170" t="s">
        <v>669</v>
      </c>
      <c r="F1114" s="171" t="s">
        <v>4248</v>
      </c>
      <c r="K1114" s="8"/>
      <c r="L1114" s="8"/>
      <c r="M1114" s="8"/>
      <c r="N1114" s="8"/>
      <c r="O1114" s="8"/>
      <c r="P1114" s="8"/>
    </row>
    <row r="1115" spans="1:16" ht="15" customHeight="1">
      <c r="A1115" s="294"/>
      <c r="B1115" s="294"/>
      <c r="C1115" s="151">
        <v>13</v>
      </c>
      <c r="D1115" s="171" t="s">
        <v>1337</v>
      </c>
      <c r="E1115" s="170" t="s">
        <v>2874</v>
      </c>
      <c r="F1115" s="171" t="s">
        <v>4249</v>
      </c>
      <c r="K1115" s="8"/>
      <c r="L1115" s="8"/>
      <c r="M1115" s="8"/>
      <c r="N1115" s="8"/>
      <c r="O1115" s="8"/>
      <c r="P1115" s="8"/>
    </row>
    <row r="1116" spans="1:16" ht="15" customHeight="1">
      <c r="A1116" s="295"/>
      <c r="B1116" s="295"/>
      <c r="C1116" s="174">
        <v>14</v>
      </c>
      <c r="D1116" s="175" t="s">
        <v>4160</v>
      </c>
      <c r="E1116" s="174" t="s">
        <v>1123</v>
      </c>
      <c r="F1116" s="213" t="s">
        <v>4899</v>
      </c>
      <c r="K1116" s="8"/>
      <c r="L1116" s="8"/>
      <c r="M1116" s="8"/>
      <c r="N1116" s="8"/>
      <c r="O1116" s="8"/>
      <c r="P1116" s="8"/>
    </row>
    <row r="1117" spans="1:16" ht="15" customHeight="1">
      <c r="A1117" s="272" t="s">
        <v>4250</v>
      </c>
      <c r="B1117" s="272" t="s">
        <v>1334</v>
      </c>
      <c r="C1117" s="153">
        <v>0</v>
      </c>
      <c r="D1117" s="152" t="s">
        <v>2977</v>
      </c>
      <c r="E1117" s="153" t="s">
        <v>669</v>
      </c>
      <c r="F1117" s="152" t="s">
        <v>2923</v>
      </c>
      <c r="K1117" s="8"/>
      <c r="L1117" s="8"/>
      <c r="M1117" s="8"/>
      <c r="N1117" s="8"/>
      <c r="O1117" s="8"/>
      <c r="P1117" s="8"/>
    </row>
    <row r="1118" spans="1:16" ht="15" customHeight="1">
      <c r="A1118" s="292"/>
      <c r="B1118" s="292"/>
      <c r="C1118" s="153">
        <v>2</v>
      </c>
      <c r="D1118" s="152" t="s">
        <v>1332</v>
      </c>
      <c r="E1118" s="153" t="s">
        <v>669</v>
      </c>
      <c r="F1118" s="152" t="s">
        <v>2974</v>
      </c>
      <c r="K1118" s="8"/>
      <c r="L1118" s="8"/>
      <c r="M1118" s="8"/>
      <c r="N1118" s="8"/>
      <c r="O1118" s="8"/>
      <c r="P1118" s="8"/>
    </row>
    <row r="1119" spans="1:16" ht="15" customHeight="1">
      <c r="A1119" s="292"/>
      <c r="B1119" s="292"/>
      <c r="C1119" s="153">
        <v>3</v>
      </c>
      <c r="D1119" s="152" t="s">
        <v>1331</v>
      </c>
      <c r="E1119" s="153" t="s">
        <v>2874</v>
      </c>
      <c r="F1119" s="152" t="s">
        <v>2976</v>
      </c>
      <c r="K1119" s="8"/>
      <c r="L1119" s="8"/>
      <c r="M1119" s="8"/>
      <c r="N1119" s="8"/>
      <c r="O1119" s="8"/>
      <c r="P1119" s="8"/>
    </row>
    <row r="1120" spans="1:16" ht="15" customHeight="1">
      <c r="A1120" s="292"/>
      <c r="B1120" s="292"/>
      <c r="C1120" s="153">
        <v>4</v>
      </c>
      <c r="D1120" s="152" t="s">
        <v>1330</v>
      </c>
      <c r="E1120" s="153" t="s">
        <v>2874</v>
      </c>
      <c r="F1120" s="152" t="s">
        <v>2975</v>
      </c>
      <c r="K1120" s="8"/>
      <c r="L1120" s="8"/>
      <c r="M1120" s="8"/>
      <c r="N1120" s="8"/>
      <c r="O1120" s="8"/>
      <c r="P1120" s="8"/>
    </row>
    <row r="1121" spans="1:16" ht="15" customHeight="1">
      <c r="A1121" s="292"/>
      <c r="B1121" s="292"/>
      <c r="C1121" s="153">
        <v>9</v>
      </c>
      <c r="D1121" s="152" t="s">
        <v>1329</v>
      </c>
      <c r="E1121" s="153" t="s">
        <v>1123</v>
      </c>
      <c r="F1121" s="152" t="s">
        <v>4251</v>
      </c>
      <c r="K1121" s="8"/>
      <c r="L1121" s="8"/>
      <c r="M1121" s="8"/>
      <c r="N1121" s="8"/>
      <c r="O1121" s="8"/>
      <c r="P1121" s="8"/>
    </row>
    <row r="1122" spans="1:16" ht="15" customHeight="1">
      <c r="A1122" s="292"/>
      <c r="B1122" s="292"/>
      <c r="C1122" s="153">
        <v>10</v>
      </c>
      <c r="D1122" s="152" t="s">
        <v>1328</v>
      </c>
      <c r="E1122" s="153" t="s">
        <v>669</v>
      </c>
      <c r="F1122" s="152" t="s">
        <v>4252</v>
      </c>
      <c r="K1122" s="8"/>
      <c r="L1122" s="8"/>
      <c r="M1122" s="8"/>
      <c r="N1122" s="8"/>
      <c r="O1122" s="8"/>
      <c r="P1122" s="8"/>
    </row>
    <row r="1123" spans="1:16" ht="15" customHeight="1">
      <c r="A1123" s="273"/>
      <c r="B1123" s="273"/>
      <c r="C1123" s="153">
        <v>12</v>
      </c>
      <c r="D1123" s="152" t="s">
        <v>1327</v>
      </c>
      <c r="E1123" s="153" t="s">
        <v>669</v>
      </c>
      <c r="F1123" s="152" t="s">
        <v>4253</v>
      </c>
      <c r="K1123" s="8"/>
      <c r="L1123" s="8"/>
      <c r="M1123" s="8"/>
      <c r="N1123" s="8"/>
      <c r="O1123" s="8"/>
      <c r="P1123" s="8"/>
    </row>
    <row r="1124" spans="1:16" ht="15" customHeight="1">
      <c r="A1124" s="293" t="s">
        <v>4254</v>
      </c>
      <c r="B1124" s="293" t="s">
        <v>1325</v>
      </c>
      <c r="C1124" s="151">
        <v>0</v>
      </c>
      <c r="D1124" s="171" t="s">
        <v>2973</v>
      </c>
      <c r="E1124" s="170" t="s">
        <v>669</v>
      </c>
      <c r="F1124" s="171" t="s">
        <v>2923</v>
      </c>
      <c r="K1124" s="8"/>
      <c r="L1124" s="8"/>
      <c r="M1124" s="8"/>
      <c r="N1124" s="8"/>
      <c r="O1124" s="8"/>
      <c r="P1124" s="8"/>
    </row>
    <row r="1125" spans="1:16" ht="15" customHeight="1">
      <c r="A1125" s="294"/>
      <c r="B1125" s="294"/>
      <c r="C1125" s="151">
        <v>2</v>
      </c>
      <c r="D1125" s="171" t="s">
        <v>1323</v>
      </c>
      <c r="E1125" s="170" t="s">
        <v>669</v>
      </c>
      <c r="F1125" s="171" t="s">
        <v>2970</v>
      </c>
      <c r="K1125" s="8"/>
      <c r="L1125" s="8"/>
      <c r="M1125" s="8"/>
      <c r="N1125" s="8"/>
      <c r="O1125" s="8"/>
      <c r="P1125" s="8"/>
    </row>
    <row r="1126" spans="1:16" ht="15" customHeight="1">
      <c r="A1126" s="294"/>
      <c r="B1126" s="294"/>
      <c r="C1126" s="151">
        <v>3</v>
      </c>
      <c r="D1126" s="171" t="s">
        <v>1322</v>
      </c>
      <c r="E1126" s="170" t="s">
        <v>2874</v>
      </c>
      <c r="F1126" s="171" t="s">
        <v>2972</v>
      </c>
      <c r="K1126" s="8"/>
      <c r="L1126" s="8"/>
      <c r="M1126" s="8"/>
      <c r="N1126" s="8"/>
      <c r="O1126" s="8"/>
      <c r="P1126" s="8"/>
    </row>
    <row r="1127" spans="1:16" ht="15" customHeight="1">
      <c r="A1127" s="294"/>
      <c r="B1127" s="294"/>
      <c r="C1127" s="151">
        <v>4</v>
      </c>
      <c r="D1127" s="171" t="s">
        <v>1321</v>
      </c>
      <c r="E1127" s="170" t="s">
        <v>2874</v>
      </c>
      <c r="F1127" s="171" t="s">
        <v>2971</v>
      </c>
      <c r="K1127" s="8"/>
      <c r="L1127" s="8"/>
      <c r="M1127" s="8"/>
      <c r="N1127" s="8"/>
      <c r="O1127" s="8"/>
      <c r="P1127" s="8"/>
    </row>
    <row r="1128" spans="1:16" ht="15" customHeight="1">
      <c r="A1128" s="294"/>
      <c r="B1128" s="294"/>
      <c r="C1128" s="151">
        <v>9</v>
      </c>
      <c r="D1128" s="171" t="s">
        <v>1320</v>
      </c>
      <c r="E1128" s="170" t="s">
        <v>2874</v>
      </c>
      <c r="F1128" s="171" t="s">
        <v>4255</v>
      </c>
      <c r="K1128" s="8"/>
      <c r="L1128" s="8"/>
      <c r="M1128" s="8"/>
      <c r="N1128" s="8"/>
      <c r="O1128" s="8"/>
      <c r="P1128" s="8"/>
    </row>
    <row r="1129" spans="1:16" ht="15" customHeight="1">
      <c r="A1129" s="295"/>
      <c r="B1129" s="295"/>
      <c r="C1129" s="151">
        <v>10</v>
      </c>
      <c r="D1129" s="171" t="s">
        <v>1319</v>
      </c>
      <c r="E1129" s="170" t="s">
        <v>669</v>
      </c>
      <c r="F1129" s="171" t="s">
        <v>4256</v>
      </c>
      <c r="K1129" s="8"/>
      <c r="L1129" s="8"/>
      <c r="M1129" s="8"/>
      <c r="N1129" s="8"/>
      <c r="O1129" s="8"/>
      <c r="P1129" s="8"/>
    </row>
    <row r="1130" spans="1:16" ht="15" customHeight="1">
      <c r="A1130" s="272" t="s">
        <v>4257</v>
      </c>
      <c r="B1130" s="272" t="s">
        <v>4161</v>
      </c>
      <c r="C1130" s="153">
        <v>0</v>
      </c>
      <c r="D1130" s="152" t="s">
        <v>2969</v>
      </c>
      <c r="E1130" s="153" t="s">
        <v>669</v>
      </c>
      <c r="F1130" s="152" t="s">
        <v>2923</v>
      </c>
      <c r="K1130" s="8"/>
      <c r="L1130" s="8"/>
      <c r="M1130" s="8"/>
      <c r="N1130" s="8"/>
      <c r="O1130" s="8"/>
      <c r="P1130" s="8"/>
    </row>
    <row r="1131" spans="1:16" ht="15" customHeight="1">
      <c r="A1131" s="292"/>
      <c r="B1131" s="292"/>
      <c r="C1131" s="153">
        <v>2</v>
      </c>
      <c r="D1131" s="152" t="s">
        <v>1315</v>
      </c>
      <c r="E1131" s="153" t="s">
        <v>669</v>
      </c>
      <c r="F1131" s="152" t="s">
        <v>2967</v>
      </c>
      <c r="K1131" s="8"/>
      <c r="L1131" s="8"/>
      <c r="M1131" s="8"/>
      <c r="N1131" s="8"/>
      <c r="O1131" s="8"/>
      <c r="P1131" s="8"/>
    </row>
    <row r="1132" spans="1:16" ht="15" customHeight="1">
      <c r="A1132" s="292"/>
      <c r="B1132" s="292"/>
      <c r="C1132" s="153">
        <v>3</v>
      </c>
      <c r="D1132" s="152" t="s">
        <v>1314</v>
      </c>
      <c r="E1132" s="153" t="s">
        <v>2874</v>
      </c>
      <c r="F1132" s="152" t="s">
        <v>2968</v>
      </c>
      <c r="K1132" s="8"/>
      <c r="L1132" s="8"/>
      <c r="M1132" s="8"/>
      <c r="N1132" s="8"/>
      <c r="O1132" s="8"/>
      <c r="P1132" s="8"/>
    </row>
    <row r="1133" spans="1:16" ht="15" customHeight="1">
      <c r="A1133" s="292"/>
      <c r="B1133" s="292"/>
      <c r="C1133" s="153">
        <v>4</v>
      </c>
      <c r="D1133" s="152" t="s">
        <v>1313</v>
      </c>
      <c r="E1133" s="153" t="s">
        <v>2874</v>
      </c>
      <c r="F1133" s="152" t="s">
        <v>4908</v>
      </c>
      <c r="K1133" s="8"/>
      <c r="L1133" s="8"/>
      <c r="M1133" s="8"/>
      <c r="N1133" s="8"/>
      <c r="O1133" s="8"/>
      <c r="P1133" s="8"/>
    </row>
    <row r="1134" spans="1:16" ht="15" customHeight="1">
      <c r="A1134" s="292"/>
      <c r="B1134" s="292"/>
      <c r="C1134" s="153">
        <v>9</v>
      </c>
      <c r="D1134" s="152" t="s">
        <v>1312</v>
      </c>
      <c r="E1134" s="153" t="s">
        <v>2874</v>
      </c>
      <c r="F1134" s="152" t="s">
        <v>4258</v>
      </c>
      <c r="K1134" s="8"/>
      <c r="L1134" s="8"/>
      <c r="M1134" s="8"/>
      <c r="N1134" s="8"/>
      <c r="O1134" s="8"/>
      <c r="P1134" s="8"/>
    </row>
    <row r="1135" spans="1:16" ht="15" customHeight="1">
      <c r="A1135" s="292"/>
      <c r="B1135" s="292"/>
      <c r="C1135" s="153">
        <v>10</v>
      </c>
      <c r="D1135" s="152" t="s">
        <v>1311</v>
      </c>
      <c r="E1135" s="153" t="s">
        <v>669</v>
      </c>
      <c r="F1135" s="152" t="s">
        <v>4259</v>
      </c>
      <c r="K1135" s="8"/>
      <c r="L1135" s="8"/>
      <c r="M1135" s="8"/>
      <c r="N1135" s="8"/>
      <c r="O1135" s="8"/>
      <c r="P1135" s="8"/>
    </row>
    <row r="1136" spans="1:16" ht="15" customHeight="1">
      <c r="A1136" s="273"/>
      <c r="B1136" s="273"/>
      <c r="C1136" s="153">
        <v>14</v>
      </c>
      <c r="D1136" s="183" t="s">
        <v>1310</v>
      </c>
      <c r="E1136" s="153" t="s">
        <v>2874</v>
      </c>
      <c r="F1136" s="211" t="s">
        <v>4900</v>
      </c>
      <c r="K1136" s="8"/>
      <c r="L1136" s="8"/>
      <c r="M1136" s="8"/>
      <c r="N1136" s="8"/>
      <c r="O1136" s="8"/>
      <c r="P1136" s="8"/>
    </row>
    <row r="1137" spans="1:16" ht="15" customHeight="1">
      <c r="A1137" s="293" t="s">
        <v>4260</v>
      </c>
      <c r="B1137" s="293" t="s">
        <v>4162</v>
      </c>
      <c r="C1137" s="151">
        <v>0</v>
      </c>
      <c r="D1137" s="171" t="s">
        <v>2966</v>
      </c>
      <c r="E1137" s="170" t="s">
        <v>669</v>
      </c>
      <c r="F1137" s="171" t="s">
        <v>2920</v>
      </c>
      <c r="K1137" s="8"/>
      <c r="L1137" s="8"/>
      <c r="M1137" s="8"/>
      <c r="N1137" s="8"/>
      <c r="O1137" s="8"/>
      <c r="P1137" s="8"/>
    </row>
    <row r="1138" spans="1:16" ht="15" customHeight="1">
      <c r="A1138" s="294"/>
      <c r="B1138" s="294"/>
      <c r="C1138" s="151">
        <v>2</v>
      </c>
      <c r="D1138" s="171" t="s">
        <v>1306</v>
      </c>
      <c r="E1138" s="170" t="s">
        <v>669</v>
      </c>
      <c r="F1138" s="171" t="s">
        <v>2963</v>
      </c>
      <c r="K1138" s="8"/>
      <c r="L1138" s="8"/>
      <c r="M1138" s="8"/>
      <c r="N1138" s="8"/>
      <c r="O1138" s="8"/>
      <c r="P1138" s="8"/>
    </row>
    <row r="1139" spans="1:16" ht="15" customHeight="1">
      <c r="A1139" s="294"/>
      <c r="B1139" s="294"/>
      <c r="C1139" s="151">
        <v>3</v>
      </c>
      <c r="D1139" s="171" t="s">
        <v>1305</v>
      </c>
      <c r="E1139" s="170" t="s">
        <v>2874</v>
      </c>
      <c r="F1139" s="171" t="s">
        <v>2965</v>
      </c>
      <c r="K1139" s="8"/>
      <c r="L1139" s="8"/>
      <c r="M1139" s="8"/>
      <c r="N1139" s="8"/>
      <c r="O1139" s="8"/>
      <c r="P1139" s="8"/>
    </row>
    <row r="1140" spans="1:16" ht="15" customHeight="1">
      <c r="A1140" s="294"/>
      <c r="B1140" s="294"/>
      <c r="C1140" s="151">
        <v>4</v>
      </c>
      <c r="D1140" s="171" t="s">
        <v>1304</v>
      </c>
      <c r="E1140" s="170" t="s">
        <v>2874</v>
      </c>
      <c r="F1140" s="171" t="s">
        <v>2964</v>
      </c>
      <c r="K1140" s="8"/>
      <c r="L1140" s="8"/>
      <c r="M1140" s="8"/>
      <c r="N1140" s="8"/>
      <c r="O1140" s="8"/>
      <c r="P1140" s="8"/>
    </row>
    <row r="1141" spans="1:16" ht="15" customHeight="1">
      <c r="A1141" s="294"/>
      <c r="B1141" s="294"/>
      <c r="C1141" s="151">
        <v>9</v>
      </c>
      <c r="D1141" s="171" t="s">
        <v>1303</v>
      </c>
      <c r="E1141" s="170" t="s">
        <v>1123</v>
      </c>
      <c r="F1141" s="171" t="s">
        <v>4261</v>
      </c>
      <c r="K1141" s="8"/>
      <c r="L1141" s="8"/>
      <c r="M1141" s="8"/>
      <c r="N1141" s="8"/>
      <c r="O1141" s="8"/>
      <c r="P1141" s="8"/>
    </row>
    <row r="1142" spans="1:16" ht="15" customHeight="1">
      <c r="A1142" s="294"/>
      <c r="B1142" s="294"/>
      <c r="C1142" s="151">
        <v>10</v>
      </c>
      <c r="D1142" s="171" t="s">
        <v>1302</v>
      </c>
      <c r="E1142" s="170" t="s">
        <v>2874</v>
      </c>
      <c r="F1142" s="171" t="s">
        <v>4262</v>
      </c>
      <c r="K1142" s="8"/>
      <c r="L1142" s="8"/>
      <c r="M1142" s="8"/>
      <c r="N1142" s="8"/>
      <c r="O1142" s="8"/>
      <c r="P1142" s="8"/>
    </row>
    <row r="1143" spans="1:16" ht="15" customHeight="1">
      <c r="A1143" s="294"/>
      <c r="B1143" s="294"/>
      <c r="C1143" s="151">
        <v>12</v>
      </c>
      <c r="D1143" s="171" t="s">
        <v>1301</v>
      </c>
      <c r="E1143" s="170" t="s">
        <v>669</v>
      </c>
      <c r="F1143" s="171" t="s">
        <v>4263</v>
      </c>
      <c r="K1143" s="8"/>
      <c r="L1143" s="8"/>
      <c r="M1143" s="8"/>
      <c r="N1143" s="8"/>
      <c r="O1143" s="8"/>
      <c r="P1143" s="8"/>
    </row>
    <row r="1144" spans="1:16" ht="15" customHeight="1">
      <c r="A1144" s="295"/>
      <c r="B1144" s="295"/>
      <c r="C1144" s="151">
        <v>14</v>
      </c>
      <c r="D1144" s="171" t="s">
        <v>4163</v>
      </c>
      <c r="E1144" s="170" t="s">
        <v>1123</v>
      </c>
      <c r="F1144" s="213" t="s">
        <v>4901</v>
      </c>
      <c r="K1144" s="8"/>
      <c r="L1144" s="8"/>
      <c r="M1144" s="8"/>
      <c r="N1144" s="8"/>
      <c r="O1144" s="8"/>
      <c r="P1144" s="8"/>
    </row>
    <row r="1145" spans="1:16" ht="15" customHeight="1">
      <c r="A1145" s="272" t="s">
        <v>4264</v>
      </c>
      <c r="B1145" s="272" t="s">
        <v>1298</v>
      </c>
      <c r="C1145" s="153">
        <v>0</v>
      </c>
      <c r="D1145" s="152" t="s">
        <v>2962</v>
      </c>
      <c r="E1145" s="153" t="s">
        <v>669</v>
      </c>
      <c r="F1145" s="152" t="s">
        <v>2920</v>
      </c>
      <c r="K1145" s="8"/>
      <c r="L1145" s="8"/>
      <c r="M1145" s="8"/>
      <c r="N1145" s="8"/>
      <c r="O1145" s="8"/>
      <c r="P1145" s="8"/>
    </row>
    <row r="1146" spans="1:16" ht="15" customHeight="1">
      <c r="A1146" s="292"/>
      <c r="B1146" s="292"/>
      <c r="C1146" s="153">
        <v>1</v>
      </c>
      <c r="D1146" s="152" t="s">
        <v>4456</v>
      </c>
      <c r="E1146" s="153" t="s">
        <v>1123</v>
      </c>
      <c r="F1146" s="152" t="s">
        <v>4457</v>
      </c>
      <c r="K1146" s="8"/>
      <c r="L1146" s="8"/>
      <c r="M1146" s="8"/>
      <c r="N1146" s="8"/>
      <c r="O1146" s="8"/>
      <c r="P1146" s="8"/>
    </row>
    <row r="1147" spans="1:16" ht="15" customHeight="1">
      <c r="A1147" s="292"/>
      <c r="B1147" s="292"/>
      <c r="C1147" s="153">
        <v>2</v>
      </c>
      <c r="D1147" s="152" t="s">
        <v>1295</v>
      </c>
      <c r="E1147" s="153" t="s">
        <v>2874</v>
      </c>
      <c r="F1147" s="152" t="s">
        <v>2959</v>
      </c>
      <c r="K1147" s="8"/>
      <c r="L1147" s="8"/>
      <c r="M1147" s="8"/>
      <c r="N1147" s="8"/>
      <c r="O1147" s="8"/>
      <c r="P1147" s="8"/>
    </row>
    <row r="1148" spans="1:16" ht="15" customHeight="1">
      <c r="A1148" s="292"/>
      <c r="B1148" s="292"/>
      <c r="C1148" s="153">
        <v>3</v>
      </c>
      <c r="D1148" s="152" t="s">
        <v>1294</v>
      </c>
      <c r="E1148" s="153" t="s">
        <v>2874</v>
      </c>
      <c r="F1148" s="152" t="s">
        <v>2961</v>
      </c>
      <c r="K1148" s="8"/>
      <c r="L1148" s="8"/>
      <c r="M1148" s="8"/>
      <c r="N1148" s="8"/>
      <c r="O1148" s="8"/>
      <c r="P1148" s="8"/>
    </row>
    <row r="1149" spans="1:16" ht="15" customHeight="1">
      <c r="A1149" s="292"/>
      <c r="B1149" s="292"/>
      <c r="C1149" s="153">
        <v>4</v>
      </c>
      <c r="D1149" s="152" t="s">
        <v>1293</v>
      </c>
      <c r="E1149" s="153" t="s">
        <v>2874</v>
      </c>
      <c r="F1149" s="152" t="s">
        <v>2960</v>
      </c>
      <c r="K1149" s="8"/>
      <c r="L1149" s="8"/>
      <c r="M1149" s="8"/>
      <c r="N1149" s="8"/>
      <c r="O1149" s="8"/>
      <c r="P1149" s="8"/>
    </row>
    <row r="1150" spans="1:16" ht="15" customHeight="1">
      <c r="A1150" s="273"/>
      <c r="B1150" s="273"/>
      <c r="C1150" s="153">
        <v>10</v>
      </c>
      <c r="D1150" s="152" t="s">
        <v>1292</v>
      </c>
      <c r="E1150" s="153" t="s">
        <v>669</v>
      </c>
      <c r="F1150" s="152" t="s">
        <v>4265</v>
      </c>
      <c r="K1150" s="8"/>
      <c r="L1150" s="8"/>
      <c r="M1150" s="8"/>
      <c r="N1150" s="8"/>
      <c r="O1150" s="8"/>
      <c r="P1150" s="8"/>
    </row>
    <row r="1151" spans="1:16" ht="15" customHeight="1">
      <c r="A1151" s="293" t="s">
        <v>4266</v>
      </c>
      <c r="B1151" s="293" t="s">
        <v>4434</v>
      </c>
      <c r="C1151" s="151">
        <v>0</v>
      </c>
      <c r="D1151" s="171" t="s">
        <v>2958</v>
      </c>
      <c r="E1151" s="170" t="s">
        <v>669</v>
      </c>
      <c r="F1151" s="171" t="s">
        <v>2920</v>
      </c>
      <c r="K1151" s="8"/>
      <c r="L1151" s="8"/>
      <c r="M1151" s="8"/>
      <c r="N1151" s="8"/>
      <c r="O1151" s="8"/>
      <c r="P1151" s="8"/>
    </row>
    <row r="1152" spans="1:16" ht="15" customHeight="1">
      <c r="A1152" s="294"/>
      <c r="B1152" s="294"/>
      <c r="C1152" s="151">
        <v>1</v>
      </c>
      <c r="D1152" s="171" t="s">
        <v>4164</v>
      </c>
      <c r="E1152" s="170" t="s">
        <v>1123</v>
      </c>
      <c r="F1152" s="171" t="s">
        <v>4267</v>
      </c>
      <c r="K1152" s="8"/>
      <c r="L1152" s="8"/>
      <c r="M1152" s="8"/>
      <c r="N1152" s="8"/>
      <c r="O1152" s="8"/>
      <c r="P1152" s="8"/>
    </row>
    <row r="1153" spans="1:16" ht="15" customHeight="1">
      <c r="A1153" s="294"/>
      <c r="B1153" s="294"/>
      <c r="C1153" s="151">
        <v>2</v>
      </c>
      <c r="D1153" s="171" t="s">
        <v>1287</v>
      </c>
      <c r="E1153" s="170" t="s">
        <v>2874</v>
      </c>
      <c r="F1153" s="171" t="s">
        <v>2954</v>
      </c>
      <c r="K1153" s="8"/>
      <c r="L1153" s="8"/>
      <c r="M1153" s="8"/>
      <c r="N1153" s="8"/>
      <c r="O1153" s="8"/>
      <c r="P1153" s="8"/>
    </row>
    <row r="1154" spans="1:16" ht="15" customHeight="1">
      <c r="A1154" s="294"/>
      <c r="B1154" s="294"/>
      <c r="C1154" s="151">
        <v>3</v>
      </c>
      <c r="D1154" s="171" t="s">
        <v>1286</v>
      </c>
      <c r="E1154" s="170" t="s">
        <v>2874</v>
      </c>
      <c r="F1154" s="171" t="s">
        <v>2957</v>
      </c>
      <c r="K1154" s="8"/>
      <c r="L1154" s="8"/>
      <c r="M1154" s="8"/>
      <c r="N1154" s="8"/>
      <c r="O1154" s="8"/>
      <c r="P1154" s="8"/>
    </row>
    <row r="1155" spans="1:16" ht="15" customHeight="1">
      <c r="A1155" s="294"/>
      <c r="B1155" s="294"/>
      <c r="C1155" s="151">
        <v>4</v>
      </c>
      <c r="D1155" s="171" t="s">
        <v>1285</v>
      </c>
      <c r="E1155" s="170" t="s">
        <v>2874</v>
      </c>
      <c r="F1155" s="171" t="s">
        <v>2956</v>
      </c>
      <c r="K1155" s="8"/>
      <c r="L1155" s="8"/>
      <c r="M1155" s="8"/>
      <c r="N1155" s="8"/>
      <c r="O1155" s="8"/>
      <c r="P1155" s="8"/>
    </row>
    <row r="1156" spans="1:16" ht="15" customHeight="1">
      <c r="A1156" s="294"/>
      <c r="B1156" s="294"/>
      <c r="C1156" s="151">
        <v>5</v>
      </c>
      <c r="D1156" s="171" t="s">
        <v>2955</v>
      </c>
      <c r="E1156" s="170" t="s">
        <v>1123</v>
      </c>
      <c r="F1156" s="171" t="s">
        <v>4268</v>
      </c>
      <c r="K1156" s="8"/>
      <c r="L1156" s="8"/>
      <c r="M1156" s="8"/>
      <c r="N1156" s="8"/>
      <c r="O1156" s="8"/>
      <c r="P1156" s="8"/>
    </row>
    <row r="1157" spans="1:16" ht="15" customHeight="1">
      <c r="A1157" s="294"/>
      <c r="B1157" s="294"/>
      <c r="C1157" s="151">
        <v>9</v>
      </c>
      <c r="D1157" s="171" t="s">
        <v>1283</v>
      </c>
      <c r="E1157" s="170" t="s">
        <v>2874</v>
      </c>
      <c r="F1157" s="171" t="s">
        <v>4269</v>
      </c>
      <c r="K1157" s="8"/>
      <c r="L1157" s="8"/>
      <c r="M1157" s="8"/>
      <c r="N1157" s="8"/>
      <c r="O1157" s="8"/>
      <c r="P1157" s="8"/>
    </row>
    <row r="1158" spans="1:16" ht="15" customHeight="1">
      <c r="A1158" s="294"/>
      <c r="B1158" s="294"/>
      <c r="C1158" s="151">
        <v>10</v>
      </c>
      <c r="D1158" s="171" t="s">
        <v>1282</v>
      </c>
      <c r="E1158" s="170" t="s">
        <v>2874</v>
      </c>
      <c r="F1158" s="171" t="s">
        <v>4270</v>
      </c>
      <c r="K1158" s="8"/>
      <c r="L1158" s="8"/>
      <c r="M1158" s="8"/>
      <c r="N1158" s="8"/>
      <c r="O1158" s="8"/>
      <c r="P1158" s="8"/>
    </row>
    <row r="1159" spans="1:16" ht="15" customHeight="1">
      <c r="A1159" s="295"/>
      <c r="B1159" s="295"/>
      <c r="C1159" s="151">
        <v>12</v>
      </c>
      <c r="D1159" s="171" t="s">
        <v>1281</v>
      </c>
      <c r="E1159" s="170" t="s">
        <v>669</v>
      </c>
      <c r="F1159" s="171" t="s">
        <v>4271</v>
      </c>
      <c r="K1159" s="8"/>
      <c r="L1159" s="8"/>
      <c r="M1159" s="8"/>
      <c r="N1159" s="8"/>
      <c r="O1159" s="8"/>
      <c r="P1159" s="8"/>
    </row>
    <row r="1160" spans="1:16" ht="15" customHeight="1">
      <c r="A1160" s="272" t="s">
        <v>4272</v>
      </c>
      <c r="B1160" s="272" t="s">
        <v>4435</v>
      </c>
      <c r="C1160" s="153">
        <v>0</v>
      </c>
      <c r="D1160" s="152" t="s">
        <v>4166</v>
      </c>
      <c r="E1160" s="153" t="s">
        <v>669</v>
      </c>
      <c r="F1160" s="152" t="s">
        <v>2920</v>
      </c>
      <c r="K1160" s="8"/>
      <c r="L1160" s="8"/>
      <c r="M1160" s="8"/>
      <c r="N1160" s="8"/>
      <c r="O1160" s="8"/>
      <c r="P1160" s="8"/>
    </row>
    <row r="1161" spans="1:16" ht="15" customHeight="1">
      <c r="A1161" s="292"/>
      <c r="B1161" s="292"/>
      <c r="C1161" s="153">
        <v>1</v>
      </c>
      <c r="D1161" s="152" t="s">
        <v>4427</v>
      </c>
      <c r="E1161" s="153" t="s">
        <v>1123</v>
      </c>
      <c r="F1161" s="152" t="s">
        <v>4428</v>
      </c>
      <c r="K1161" s="8"/>
      <c r="L1161" s="8"/>
      <c r="M1161" s="8"/>
      <c r="N1161" s="8"/>
      <c r="O1161" s="8"/>
      <c r="P1161" s="8"/>
    </row>
    <row r="1162" spans="1:16" ht="15" customHeight="1">
      <c r="A1162" s="292"/>
      <c r="B1162" s="292"/>
      <c r="C1162" s="153">
        <v>2</v>
      </c>
      <c r="D1162" s="152" t="s">
        <v>1276</v>
      </c>
      <c r="E1162" s="153" t="s">
        <v>2874</v>
      </c>
      <c r="F1162" s="152" t="s">
        <v>2951</v>
      </c>
      <c r="K1162" s="8"/>
      <c r="L1162" s="8"/>
      <c r="M1162" s="8"/>
      <c r="N1162" s="8"/>
      <c r="O1162" s="8"/>
      <c r="P1162" s="8"/>
    </row>
    <row r="1163" spans="1:16" ht="15" customHeight="1">
      <c r="A1163" s="292"/>
      <c r="B1163" s="292"/>
      <c r="C1163" s="153">
        <v>3</v>
      </c>
      <c r="D1163" s="152" t="s">
        <v>1275</v>
      </c>
      <c r="E1163" s="153" t="s">
        <v>2874</v>
      </c>
      <c r="F1163" s="152" t="s">
        <v>2953</v>
      </c>
      <c r="K1163" s="8"/>
      <c r="L1163" s="8"/>
      <c r="M1163" s="8"/>
      <c r="N1163" s="8"/>
      <c r="O1163" s="8"/>
      <c r="P1163" s="8"/>
    </row>
    <row r="1164" spans="1:16" ht="15" customHeight="1">
      <c r="A1164" s="292"/>
      <c r="B1164" s="292"/>
      <c r="C1164" s="153">
        <v>4</v>
      </c>
      <c r="D1164" s="152" t="s">
        <v>1274</v>
      </c>
      <c r="E1164" s="153" t="s">
        <v>2874</v>
      </c>
      <c r="F1164" s="152" t="s">
        <v>2952</v>
      </c>
      <c r="K1164" s="8"/>
      <c r="L1164" s="8"/>
      <c r="M1164" s="8"/>
      <c r="N1164" s="8"/>
      <c r="O1164" s="8"/>
      <c r="P1164" s="8"/>
    </row>
    <row r="1165" spans="1:16" ht="15" customHeight="1">
      <c r="A1165" s="292"/>
      <c r="B1165" s="292"/>
      <c r="C1165" s="153">
        <v>5</v>
      </c>
      <c r="D1165" s="152" t="s">
        <v>4165</v>
      </c>
      <c r="E1165" s="153" t="s">
        <v>2874</v>
      </c>
      <c r="F1165" s="152" t="s">
        <v>4273</v>
      </c>
      <c r="K1165" s="8"/>
      <c r="L1165" s="8"/>
      <c r="M1165" s="8"/>
      <c r="N1165" s="8"/>
      <c r="O1165" s="8"/>
      <c r="P1165" s="8"/>
    </row>
    <row r="1166" spans="1:16" ht="15" customHeight="1">
      <c r="A1166" s="292"/>
      <c r="B1166" s="292"/>
      <c r="C1166" s="153">
        <v>9</v>
      </c>
      <c r="D1166" s="152" t="s">
        <v>1272</v>
      </c>
      <c r="E1166" s="153" t="s">
        <v>1123</v>
      </c>
      <c r="F1166" s="152" t="s">
        <v>4274</v>
      </c>
      <c r="K1166" s="8"/>
      <c r="L1166" s="8"/>
      <c r="M1166" s="8"/>
      <c r="N1166" s="8"/>
      <c r="O1166" s="8"/>
      <c r="P1166" s="8"/>
    </row>
    <row r="1167" spans="1:16" ht="15" customHeight="1">
      <c r="A1167" s="292"/>
      <c r="B1167" s="292"/>
      <c r="C1167" s="153">
        <v>10</v>
      </c>
      <c r="D1167" s="183" t="s">
        <v>1271</v>
      </c>
      <c r="E1167" s="153" t="s">
        <v>2874</v>
      </c>
      <c r="F1167" s="152" t="s">
        <v>4831</v>
      </c>
      <c r="K1167" s="8"/>
      <c r="L1167" s="8"/>
      <c r="M1167" s="8"/>
      <c r="N1167" s="8"/>
      <c r="O1167" s="8"/>
      <c r="P1167" s="8"/>
    </row>
    <row r="1168" spans="1:16" ht="15" customHeight="1">
      <c r="A1168" s="273"/>
      <c r="B1168" s="273"/>
      <c r="C1168" s="153">
        <v>12</v>
      </c>
      <c r="D1168" s="152" t="s">
        <v>1270</v>
      </c>
      <c r="E1168" s="153" t="s">
        <v>669</v>
      </c>
      <c r="F1168" s="152" t="s">
        <v>4275</v>
      </c>
      <c r="K1168" s="8"/>
      <c r="L1168" s="8"/>
      <c r="M1168" s="8"/>
      <c r="N1168" s="8"/>
      <c r="O1168" s="8"/>
      <c r="P1168" s="8"/>
    </row>
    <row r="1169" spans="1:16" ht="15" customHeight="1">
      <c r="A1169" s="293" t="s">
        <v>4276</v>
      </c>
      <c r="B1169" s="293" t="s">
        <v>4122</v>
      </c>
      <c r="C1169" s="151">
        <v>0</v>
      </c>
      <c r="D1169" s="171" t="s">
        <v>2950</v>
      </c>
      <c r="E1169" s="170" t="s">
        <v>669</v>
      </c>
      <c r="F1169" s="171" t="s">
        <v>2920</v>
      </c>
      <c r="K1169" s="8"/>
      <c r="L1169" s="8"/>
      <c r="M1169" s="8"/>
      <c r="N1169" s="8"/>
      <c r="O1169" s="8"/>
      <c r="P1169" s="8"/>
    </row>
    <row r="1170" spans="1:16" ht="15" customHeight="1">
      <c r="A1170" s="294"/>
      <c r="B1170" s="294"/>
      <c r="C1170" s="151">
        <v>2</v>
      </c>
      <c r="D1170" s="171" t="s">
        <v>1267</v>
      </c>
      <c r="E1170" s="170" t="s">
        <v>669</v>
      </c>
      <c r="F1170" s="171" t="s">
        <v>2947</v>
      </c>
      <c r="K1170" s="8"/>
      <c r="L1170" s="8"/>
      <c r="M1170" s="8"/>
      <c r="N1170" s="8"/>
      <c r="O1170" s="8"/>
      <c r="P1170" s="8"/>
    </row>
    <row r="1171" spans="1:16" ht="15" customHeight="1">
      <c r="A1171" s="294"/>
      <c r="B1171" s="294"/>
      <c r="C1171" s="151">
        <v>3</v>
      </c>
      <c r="D1171" s="171" t="s">
        <v>1266</v>
      </c>
      <c r="E1171" s="170" t="s">
        <v>2874</v>
      </c>
      <c r="F1171" s="171" t="s">
        <v>2949</v>
      </c>
      <c r="K1171" s="8"/>
      <c r="L1171" s="8"/>
      <c r="M1171" s="8"/>
      <c r="N1171" s="8"/>
      <c r="O1171" s="8"/>
      <c r="P1171" s="8"/>
    </row>
    <row r="1172" spans="1:16" ht="15" customHeight="1">
      <c r="A1172" s="294"/>
      <c r="B1172" s="294"/>
      <c r="C1172" s="151">
        <v>4</v>
      </c>
      <c r="D1172" s="171" t="s">
        <v>1265</v>
      </c>
      <c r="E1172" s="170" t="s">
        <v>2874</v>
      </c>
      <c r="F1172" s="171" t="s">
        <v>2948</v>
      </c>
      <c r="K1172" s="8"/>
      <c r="L1172" s="8"/>
      <c r="M1172" s="8"/>
      <c r="N1172" s="8"/>
      <c r="O1172" s="8"/>
      <c r="P1172" s="8"/>
    </row>
    <row r="1173" spans="1:16" ht="15" customHeight="1">
      <c r="A1173" s="294"/>
      <c r="B1173" s="294"/>
      <c r="C1173" s="151">
        <v>5</v>
      </c>
      <c r="D1173" s="171" t="s">
        <v>1264</v>
      </c>
      <c r="E1173" s="170" t="s">
        <v>1123</v>
      </c>
      <c r="F1173" s="171" t="s">
        <v>4277</v>
      </c>
      <c r="K1173" s="8"/>
      <c r="L1173" s="8"/>
      <c r="M1173" s="8"/>
      <c r="N1173" s="8"/>
      <c r="O1173" s="8"/>
      <c r="P1173" s="8"/>
    </row>
    <row r="1174" spans="1:16" ht="15" customHeight="1">
      <c r="A1174" s="294"/>
      <c r="B1174" s="294"/>
      <c r="C1174" s="151">
        <v>9</v>
      </c>
      <c r="D1174" s="171" t="s">
        <v>1263</v>
      </c>
      <c r="E1174" s="170" t="s">
        <v>1123</v>
      </c>
      <c r="F1174" s="171" t="s">
        <v>4278</v>
      </c>
      <c r="K1174" s="8"/>
      <c r="L1174" s="8"/>
      <c r="M1174" s="8"/>
      <c r="N1174" s="8"/>
      <c r="O1174" s="8"/>
      <c r="P1174" s="8"/>
    </row>
    <row r="1175" spans="1:16" ht="15" customHeight="1">
      <c r="A1175" s="294"/>
      <c r="B1175" s="294"/>
      <c r="C1175" s="151">
        <v>10</v>
      </c>
      <c r="D1175" s="171" t="s">
        <v>1262</v>
      </c>
      <c r="E1175" s="170" t="s">
        <v>669</v>
      </c>
      <c r="F1175" s="171" t="s">
        <v>4279</v>
      </c>
      <c r="K1175" s="8"/>
      <c r="L1175" s="8"/>
      <c r="M1175" s="8"/>
      <c r="N1175" s="8"/>
      <c r="O1175" s="8"/>
      <c r="P1175" s="8"/>
    </row>
    <row r="1176" spans="1:16" ht="15" customHeight="1">
      <c r="A1176" s="295"/>
      <c r="B1176" s="295"/>
      <c r="C1176" s="151">
        <v>11</v>
      </c>
      <c r="D1176" s="171" t="s">
        <v>1261</v>
      </c>
      <c r="E1176" s="170" t="s">
        <v>669</v>
      </c>
      <c r="F1176" s="171" t="s">
        <v>4280</v>
      </c>
      <c r="K1176" s="8"/>
      <c r="L1176" s="8"/>
      <c r="M1176" s="8"/>
      <c r="N1176" s="8"/>
      <c r="O1176" s="8"/>
      <c r="P1176" s="8"/>
    </row>
    <row r="1177" spans="1:16" ht="15" customHeight="1">
      <c r="A1177" s="272" t="s">
        <v>4281</v>
      </c>
      <c r="B1177" s="272" t="s">
        <v>4123</v>
      </c>
      <c r="C1177" s="153">
        <v>0</v>
      </c>
      <c r="D1177" s="152" t="s">
        <v>2946</v>
      </c>
      <c r="E1177" s="153" t="s">
        <v>669</v>
      </c>
      <c r="F1177" s="152" t="s">
        <v>2920</v>
      </c>
      <c r="K1177" s="8"/>
      <c r="L1177" s="8"/>
      <c r="M1177" s="8"/>
      <c r="N1177" s="8"/>
      <c r="O1177" s="8"/>
      <c r="P1177" s="8"/>
    </row>
    <row r="1178" spans="1:16" ht="15" customHeight="1">
      <c r="A1178" s="292"/>
      <c r="B1178" s="292"/>
      <c r="C1178" s="153">
        <v>2</v>
      </c>
      <c r="D1178" s="152" t="s">
        <v>1258</v>
      </c>
      <c r="E1178" s="153" t="s">
        <v>2874</v>
      </c>
      <c r="F1178" s="152" t="s">
        <v>2943</v>
      </c>
      <c r="K1178" s="8"/>
      <c r="L1178" s="8"/>
      <c r="M1178" s="8"/>
      <c r="N1178" s="8"/>
      <c r="O1178" s="8"/>
      <c r="P1178" s="8"/>
    </row>
    <row r="1179" spans="1:16" ht="15" customHeight="1">
      <c r="A1179" s="292"/>
      <c r="B1179" s="292"/>
      <c r="C1179" s="153">
        <v>3</v>
      </c>
      <c r="D1179" s="152" t="s">
        <v>1257</v>
      </c>
      <c r="E1179" s="153" t="s">
        <v>2874</v>
      </c>
      <c r="F1179" s="152" t="s">
        <v>2945</v>
      </c>
      <c r="K1179" s="8"/>
      <c r="L1179" s="8"/>
      <c r="M1179" s="8"/>
      <c r="N1179" s="8"/>
      <c r="O1179" s="8"/>
      <c r="P1179" s="8"/>
    </row>
    <row r="1180" spans="1:16" ht="15" customHeight="1">
      <c r="A1180" s="292"/>
      <c r="B1180" s="292"/>
      <c r="C1180" s="153">
        <v>4</v>
      </c>
      <c r="D1180" s="152" t="s">
        <v>1256</v>
      </c>
      <c r="E1180" s="153" t="s">
        <v>2874</v>
      </c>
      <c r="F1180" s="152" t="s">
        <v>2944</v>
      </c>
      <c r="K1180" s="8"/>
      <c r="L1180" s="8"/>
      <c r="M1180" s="8"/>
      <c r="N1180" s="8"/>
      <c r="O1180" s="8"/>
      <c r="P1180" s="8"/>
    </row>
    <row r="1181" spans="1:16" ht="15" customHeight="1">
      <c r="A1181" s="292"/>
      <c r="B1181" s="292"/>
      <c r="C1181" s="153">
        <v>5</v>
      </c>
      <c r="D1181" s="152" t="s">
        <v>1255</v>
      </c>
      <c r="E1181" s="153" t="s">
        <v>1123</v>
      </c>
      <c r="F1181" s="152" t="s">
        <v>4282</v>
      </c>
      <c r="K1181" s="8"/>
      <c r="L1181" s="8"/>
      <c r="M1181" s="8"/>
      <c r="N1181" s="8"/>
      <c r="O1181" s="8"/>
      <c r="P1181" s="8"/>
    </row>
    <row r="1182" spans="1:16" ht="15" customHeight="1">
      <c r="A1182" s="292"/>
      <c r="B1182" s="292"/>
      <c r="C1182" s="153">
        <v>9</v>
      </c>
      <c r="D1182" s="152" t="s">
        <v>1254</v>
      </c>
      <c r="E1182" s="153" t="s">
        <v>2874</v>
      </c>
      <c r="F1182" s="152" t="s">
        <v>4283</v>
      </c>
      <c r="K1182" s="8"/>
      <c r="L1182" s="8"/>
      <c r="M1182" s="8"/>
      <c r="N1182" s="8"/>
      <c r="O1182" s="8"/>
      <c r="P1182" s="8"/>
    </row>
    <row r="1183" spans="1:16" ht="15" customHeight="1">
      <c r="A1183" s="292"/>
      <c r="B1183" s="292"/>
      <c r="C1183" s="153">
        <v>10</v>
      </c>
      <c r="D1183" s="152" t="s">
        <v>1253</v>
      </c>
      <c r="E1183" s="153" t="s">
        <v>669</v>
      </c>
      <c r="F1183" s="152" t="s">
        <v>4284</v>
      </c>
      <c r="K1183" s="8"/>
      <c r="L1183" s="8"/>
      <c r="M1183" s="8"/>
      <c r="N1183" s="8"/>
      <c r="O1183" s="8"/>
      <c r="P1183" s="8"/>
    </row>
    <row r="1184" spans="1:16" ht="15" customHeight="1">
      <c r="A1184" s="273"/>
      <c r="B1184" s="273"/>
      <c r="C1184" s="153">
        <v>11</v>
      </c>
      <c r="D1184" s="152" t="s">
        <v>1252</v>
      </c>
      <c r="E1184" s="153" t="s">
        <v>669</v>
      </c>
      <c r="F1184" s="152" t="s">
        <v>4285</v>
      </c>
      <c r="K1184" s="8"/>
      <c r="L1184" s="8"/>
      <c r="M1184" s="8"/>
      <c r="N1184" s="8"/>
      <c r="O1184" s="8"/>
      <c r="P1184" s="8"/>
    </row>
    <row r="1185" spans="1:16" ht="15" customHeight="1">
      <c r="A1185" s="293" t="s">
        <v>4286</v>
      </c>
      <c r="B1185" s="293" t="s">
        <v>1250</v>
      </c>
      <c r="C1185" s="151">
        <v>0</v>
      </c>
      <c r="D1185" s="171" t="s">
        <v>2942</v>
      </c>
      <c r="E1185" s="170" t="s">
        <v>669</v>
      </c>
      <c r="F1185" s="171" t="s">
        <v>2920</v>
      </c>
      <c r="K1185" s="8"/>
      <c r="L1185" s="8"/>
      <c r="M1185" s="8"/>
      <c r="N1185" s="8"/>
      <c r="O1185" s="8"/>
      <c r="P1185" s="8"/>
    </row>
    <row r="1186" spans="1:16" ht="15" customHeight="1">
      <c r="A1186" s="294"/>
      <c r="B1186" s="294"/>
      <c r="C1186" s="151">
        <v>2</v>
      </c>
      <c r="D1186" s="171" t="s">
        <v>1248</v>
      </c>
      <c r="E1186" s="170" t="s">
        <v>2874</v>
      </c>
      <c r="F1186" s="171" t="s">
        <v>2939</v>
      </c>
      <c r="K1186" s="8"/>
      <c r="L1186" s="8"/>
      <c r="M1186" s="8"/>
      <c r="N1186" s="8"/>
      <c r="O1186" s="8"/>
      <c r="P1186" s="8"/>
    </row>
    <row r="1187" spans="1:16" ht="15" customHeight="1">
      <c r="A1187" s="294"/>
      <c r="B1187" s="294"/>
      <c r="C1187" s="151">
        <v>3</v>
      </c>
      <c r="D1187" s="171" t="s">
        <v>1247</v>
      </c>
      <c r="E1187" s="170" t="s">
        <v>2874</v>
      </c>
      <c r="F1187" s="171" t="s">
        <v>2941</v>
      </c>
      <c r="K1187" s="8"/>
      <c r="L1187" s="8"/>
      <c r="M1187" s="8"/>
      <c r="N1187" s="8"/>
      <c r="O1187" s="8"/>
      <c r="P1187" s="8"/>
    </row>
    <row r="1188" spans="1:16" ht="15" customHeight="1">
      <c r="A1188" s="294"/>
      <c r="B1188" s="294"/>
      <c r="C1188" s="151">
        <v>4</v>
      </c>
      <c r="D1188" s="171" t="s">
        <v>1246</v>
      </c>
      <c r="E1188" s="170" t="s">
        <v>2874</v>
      </c>
      <c r="F1188" s="171" t="s">
        <v>2940</v>
      </c>
      <c r="K1188" s="8"/>
      <c r="L1188" s="8"/>
      <c r="M1188" s="8"/>
      <c r="N1188" s="8"/>
      <c r="O1188" s="8"/>
      <c r="P1188" s="8"/>
    </row>
    <row r="1189" spans="1:16" ht="15" customHeight="1">
      <c r="A1189" s="294"/>
      <c r="B1189" s="294"/>
      <c r="C1189" s="151">
        <v>5</v>
      </c>
      <c r="D1189" s="171" t="s">
        <v>1245</v>
      </c>
      <c r="E1189" s="170" t="s">
        <v>1123</v>
      </c>
      <c r="F1189" s="171" t="s">
        <v>4287</v>
      </c>
      <c r="K1189" s="8"/>
      <c r="L1189" s="8"/>
      <c r="M1189" s="8"/>
      <c r="N1189" s="8"/>
      <c r="O1189" s="8"/>
      <c r="P1189" s="8"/>
    </row>
    <row r="1190" spans="1:16" ht="15" customHeight="1">
      <c r="A1190" s="294"/>
      <c r="B1190" s="294"/>
      <c r="C1190" s="151">
        <v>9</v>
      </c>
      <c r="D1190" s="171" t="s">
        <v>1244</v>
      </c>
      <c r="E1190" s="170" t="s">
        <v>1123</v>
      </c>
      <c r="F1190" s="171" t="s">
        <v>4288</v>
      </c>
      <c r="K1190" s="8"/>
      <c r="L1190" s="8"/>
      <c r="M1190" s="8"/>
      <c r="N1190" s="8"/>
      <c r="O1190" s="8"/>
      <c r="P1190" s="8"/>
    </row>
    <row r="1191" spans="1:16" ht="15" customHeight="1">
      <c r="A1191" s="294"/>
      <c r="B1191" s="294"/>
      <c r="C1191" s="151">
        <v>10</v>
      </c>
      <c r="D1191" s="171" t="s">
        <v>1243</v>
      </c>
      <c r="E1191" s="170" t="s">
        <v>669</v>
      </c>
      <c r="F1191" s="171" t="s">
        <v>4289</v>
      </c>
      <c r="K1191" s="8"/>
      <c r="L1191" s="8"/>
      <c r="M1191" s="8"/>
      <c r="N1191" s="8"/>
      <c r="O1191" s="8"/>
      <c r="P1191" s="8"/>
    </row>
    <row r="1192" spans="1:16" ht="15" customHeight="1">
      <c r="A1192" s="295"/>
      <c r="B1192" s="295"/>
      <c r="C1192" s="151">
        <v>12</v>
      </c>
      <c r="D1192" s="171" t="s">
        <v>2938</v>
      </c>
      <c r="E1192" s="170" t="s">
        <v>669</v>
      </c>
      <c r="F1192" s="171" t="s">
        <v>4290</v>
      </c>
      <c r="K1192" s="8"/>
      <c r="L1192" s="8"/>
      <c r="M1192" s="8"/>
      <c r="N1192" s="8"/>
      <c r="O1192" s="8"/>
      <c r="P1192" s="8"/>
    </row>
    <row r="1193" spans="1:16" ht="15" customHeight="1">
      <c r="A1193" s="272" t="s">
        <v>4291</v>
      </c>
      <c r="B1193" s="272" t="s">
        <v>4167</v>
      </c>
      <c r="C1193" s="153">
        <v>0</v>
      </c>
      <c r="D1193" s="152" t="s">
        <v>2937</v>
      </c>
      <c r="E1193" s="153" t="s">
        <v>669</v>
      </c>
      <c r="F1193" s="152" t="s">
        <v>2920</v>
      </c>
      <c r="K1193" s="8"/>
      <c r="L1193" s="8"/>
      <c r="M1193" s="8"/>
      <c r="N1193" s="8"/>
      <c r="O1193" s="8"/>
      <c r="P1193" s="8"/>
    </row>
    <row r="1194" spans="1:16" ht="15" customHeight="1">
      <c r="A1194" s="292"/>
      <c r="B1194" s="292"/>
      <c r="C1194" s="153">
        <v>1</v>
      </c>
      <c r="D1194" s="152" t="s">
        <v>1238</v>
      </c>
      <c r="E1194" s="153" t="s">
        <v>2874</v>
      </c>
      <c r="F1194" s="152" t="s">
        <v>4292</v>
      </c>
      <c r="K1194" s="8"/>
      <c r="L1194" s="8"/>
      <c r="M1194" s="8"/>
      <c r="N1194" s="8"/>
      <c r="O1194" s="8"/>
      <c r="P1194" s="8"/>
    </row>
    <row r="1195" spans="1:16" ht="15" customHeight="1">
      <c r="A1195" s="292"/>
      <c r="B1195" s="292"/>
      <c r="C1195" s="153">
        <v>2</v>
      </c>
      <c r="D1195" s="152" t="s">
        <v>1237</v>
      </c>
      <c r="E1195" s="153" t="s">
        <v>2874</v>
      </c>
      <c r="F1195" s="152" t="s">
        <v>2934</v>
      </c>
      <c r="K1195" s="8"/>
      <c r="L1195" s="8"/>
      <c r="M1195" s="8"/>
      <c r="N1195" s="8"/>
      <c r="O1195" s="8"/>
      <c r="P1195" s="8"/>
    </row>
    <row r="1196" spans="1:16" ht="15" customHeight="1">
      <c r="A1196" s="292"/>
      <c r="B1196" s="292"/>
      <c r="C1196" s="153">
        <v>3</v>
      </c>
      <c r="D1196" s="152" t="s">
        <v>1236</v>
      </c>
      <c r="E1196" s="153" t="s">
        <v>2874</v>
      </c>
      <c r="F1196" s="152" t="s">
        <v>2936</v>
      </c>
      <c r="K1196" s="8"/>
      <c r="L1196" s="8"/>
      <c r="M1196" s="8"/>
      <c r="N1196" s="8"/>
      <c r="O1196" s="8"/>
      <c r="P1196" s="8"/>
    </row>
    <row r="1197" spans="1:16" ht="15" customHeight="1">
      <c r="A1197" s="292"/>
      <c r="B1197" s="292"/>
      <c r="C1197" s="153">
        <v>4</v>
      </c>
      <c r="D1197" s="152" t="s">
        <v>1235</v>
      </c>
      <c r="E1197" s="153" t="s">
        <v>2874</v>
      </c>
      <c r="F1197" s="152" t="s">
        <v>2935</v>
      </c>
      <c r="K1197" s="8"/>
      <c r="L1197" s="8"/>
      <c r="M1197" s="8"/>
      <c r="N1197" s="8"/>
      <c r="O1197" s="8"/>
      <c r="P1197" s="8"/>
    </row>
    <row r="1198" spans="1:16" ht="15" customHeight="1">
      <c r="A1198" s="292"/>
      <c r="B1198" s="292"/>
      <c r="C1198" s="153">
        <v>5</v>
      </c>
      <c r="D1198" s="183" t="s">
        <v>1234</v>
      </c>
      <c r="E1198" s="153" t="s">
        <v>2874</v>
      </c>
      <c r="F1198" s="183" t="s">
        <v>4727</v>
      </c>
      <c r="K1198" s="8"/>
      <c r="L1198" s="8"/>
      <c r="M1198" s="8"/>
      <c r="N1198" s="8"/>
      <c r="O1198" s="8"/>
      <c r="P1198" s="8"/>
    </row>
    <row r="1199" spans="1:16" ht="15" customHeight="1">
      <c r="A1199" s="292"/>
      <c r="B1199" s="292"/>
      <c r="C1199" s="153">
        <v>9</v>
      </c>
      <c r="D1199" s="152" t="s">
        <v>1233</v>
      </c>
      <c r="E1199" s="153" t="s">
        <v>2874</v>
      </c>
      <c r="F1199" s="152" t="s">
        <v>4961</v>
      </c>
      <c r="K1199" s="8"/>
      <c r="L1199" s="8"/>
      <c r="M1199" s="8"/>
      <c r="N1199" s="8"/>
      <c r="O1199" s="8"/>
      <c r="P1199" s="8"/>
    </row>
    <row r="1200" spans="1:16" ht="15" customHeight="1">
      <c r="A1200" s="292"/>
      <c r="B1200" s="292"/>
      <c r="C1200" s="153">
        <v>12</v>
      </c>
      <c r="D1200" s="152" t="s">
        <v>2933</v>
      </c>
      <c r="E1200" s="153" t="s">
        <v>669</v>
      </c>
      <c r="F1200" s="152" t="s">
        <v>4293</v>
      </c>
      <c r="K1200" s="8"/>
      <c r="L1200" s="8"/>
      <c r="M1200" s="8"/>
      <c r="N1200" s="8"/>
      <c r="O1200" s="8"/>
      <c r="P1200" s="8"/>
    </row>
    <row r="1201" spans="1:16" ht="15" customHeight="1">
      <c r="A1201" s="273"/>
      <c r="B1201" s="273"/>
      <c r="C1201" s="153">
        <v>14</v>
      </c>
      <c r="D1201" s="183" t="s">
        <v>1231</v>
      </c>
      <c r="E1201" s="153" t="s">
        <v>1123</v>
      </c>
      <c r="F1201" s="211" t="s">
        <v>4902</v>
      </c>
      <c r="K1201" s="8"/>
      <c r="L1201" s="8"/>
      <c r="M1201" s="8"/>
      <c r="N1201" s="8"/>
      <c r="O1201" s="8"/>
      <c r="P1201" s="8"/>
    </row>
    <row r="1202" spans="1:16" ht="15" customHeight="1">
      <c r="A1202" s="293" t="s">
        <v>4294</v>
      </c>
      <c r="B1202" s="293" t="s">
        <v>4171</v>
      </c>
      <c r="C1202" s="151">
        <v>0</v>
      </c>
      <c r="D1202" s="171" t="s">
        <v>2932</v>
      </c>
      <c r="E1202" s="170" t="s">
        <v>669</v>
      </c>
      <c r="F1202" s="171" t="s">
        <v>2923</v>
      </c>
      <c r="K1202" s="8"/>
      <c r="L1202" s="8"/>
      <c r="M1202" s="8"/>
      <c r="N1202" s="8"/>
      <c r="O1202" s="8"/>
      <c r="P1202" s="8"/>
    </row>
    <row r="1203" spans="1:16" ht="15" customHeight="1">
      <c r="A1203" s="294"/>
      <c r="B1203" s="294"/>
      <c r="C1203" s="151">
        <v>1</v>
      </c>
      <c r="D1203" s="171" t="s">
        <v>1227</v>
      </c>
      <c r="E1203" s="170" t="s">
        <v>2874</v>
      </c>
      <c r="F1203" s="171" t="s">
        <v>4295</v>
      </c>
      <c r="K1203" s="8"/>
      <c r="L1203" s="8"/>
      <c r="M1203" s="8"/>
      <c r="N1203" s="8"/>
      <c r="O1203" s="8"/>
      <c r="P1203" s="8"/>
    </row>
    <row r="1204" spans="1:16" ht="15" customHeight="1">
      <c r="A1204" s="294"/>
      <c r="B1204" s="294"/>
      <c r="C1204" s="151">
        <v>2</v>
      </c>
      <c r="D1204" s="171" t="s">
        <v>1226</v>
      </c>
      <c r="E1204" s="170" t="s">
        <v>1123</v>
      </c>
      <c r="F1204" s="171" t="s">
        <v>2931</v>
      </c>
      <c r="K1204" s="8"/>
      <c r="L1204" s="8"/>
      <c r="M1204" s="8"/>
      <c r="N1204" s="8"/>
      <c r="O1204" s="8"/>
      <c r="P1204" s="8"/>
    </row>
    <row r="1205" spans="1:16" ht="15" customHeight="1">
      <c r="A1205" s="294"/>
      <c r="B1205" s="294"/>
      <c r="C1205" s="151">
        <v>4</v>
      </c>
      <c r="D1205" s="175" t="s">
        <v>4918</v>
      </c>
      <c r="E1205" s="170" t="s">
        <v>2874</v>
      </c>
      <c r="F1205" s="171" t="s">
        <v>4920</v>
      </c>
      <c r="K1205" s="8"/>
      <c r="L1205" s="8"/>
      <c r="M1205" s="8"/>
      <c r="N1205" s="8"/>
      <c r="O1205" s="8"/>
      <c r="P1205" s="8"/>
    </row>
    <row r="1206" spans="1:16" ht="15" customHeight="1">
      <c r="A1206" s="294"/>
      <c r="B1206" s="294"/>
      <c r="C1206" s="151">
        <v>5</v>
      </c>
      <c r="D1206" s="175" t="s">
        <v>4168</v>
      </c>
      <c r="E1206" s="170" t="s">
        <v>2874</v>
      </c>
      <c r="F1206" s="175" t="s">
        <v>4728</v>
      </c>
      <c r="K1206" s="8"/>
      <c r="L1206" s="8"/>
      <c r="M1206" s="8"/>
      <c r="N1206" s="8"/>
      <c r="O1206" s="8"/>
      <c r="P1206" s="8"/>
    </row>
    <row r="1207" spans="1:16" ht="15" customHeight="1">
      <c r="A1207" s="294"/>
      <c r="B1207" s="294"/>
      <c r="C1207" s="151">
        <v>6</v>
      </c>
      <c r="D1207" s="175" t="s">
        <v>4169</v>
      </c>
      <c r="E1207" s="170" t="s">
        <v>1123</v>
      </c>
      <c r="F1207" s="171" t="s">
        <v>4296</v>
      </c>
      <c r="K1207" s="8"/>
      <c r="L1207" s="8"/>
      <c r="M1207" s="8"/>
      <c r="N1207" s="8"/>
      <c r="O1207" s="8"/>
      <c r="P1207" s="8"/>
    </row>
    <row r="1208" spans="1:16" ht="15" customHeight="1">
      <c r="A1208" s="294"/>
      <c r="B1208" s="294"/>
      <c r="C1208" s="151">
        <v>9</v>
      </c>
      <c r="D1208" s="171" t="s">
        <v>4170</v>
      </c>
      <c r="E1208" s="170" t="s">
        <v>2874</v>
      </c>
      <c r="F1208" s="171" t="s">
        <v>4297</v>
      </c>
      <c r="K1208" s="8"/>
      <c r="L1208" s="8"/>
      <c r="M1208" s="8"/>
      <c r="N1208" s="8"/>
      <c r="O1208" s="8"/>
      <c r="P1208" s="8"/>
    </row>
    <row r="1209" spans="1:16" ht="15" customHeight="1">
      <c r="A1209" s="294"/>
      <c r="B1209" s="294"/>
      <c r="C1209" s="151">
        <v>10</v>
      </c>
      <c r="D1209" s="171" t="s">
        <v>1221</v>
      </c>
      <c r="E1209" s="170" t="s">
        <v>2874</v>
      </c>
      <c r="F1209" s="171" t="s">
        <v>4298</v>
      </c>
      <c r="K1209" s="8"/>
      <c r="L1209" s="8"/>
      <c r="M1209" s="8"/>
      <c r="N1209" s="8"/>
      <c r="O1209" s="8"/>
      <c r="P1209" s="8"/>
    </row>
    <row r="1210" spans="1:16" ht="15" customHeight="1">
      <c r="A1210" s="294"/>
      <c r="B1210" s="294"/>
      <c r="C1210" s="151">
        <v>11</v>
      </c>
      <c r="D1210" s="171" t="s">
        <v>1220</v>
      </c>
      <c r="E1210" s="170" t="s">
        <v>669</v>
      </c>
      <c r="F1210" s="171" t="s">
        <v>4299</v>
      </c>
      <c r="K1210" s="8"/>
      <c r="L1210" s="8"/>
      <c r="M1210" s="8"/>
      <c r="N1210" s="8"/>
      <c r="O1210" s="8"/>
      <c r="P1210" s="8"/>
    </row>
    <row r="1211" spans="1:16" ht="15" customHeight="1">
      <c r="A1211" s="294"/>
      <c r="B1211" s="294"/>
      <c r="C1211" s="151">
        <v>13</v>
      </c>
      <c r="D1211" s="171" t="s">
        <v>1225</v>
      </c>
      <c r="E1211" s="170" t="s">
        <v>1123</v>
      </c>
      <c r="F1211" s="171" t="s">
        <v>4300</v>
      </c>
      <c r="K1211" s="8"/>
      <c r="L1211" s="8"/>
      <c r="M1211" s="8"/>
      <c r="N1211" s="8"/>
      <c r="O1211" s="8"/>
      <c r="P1211" s="8"/>
    </row>
    <row r="1212" spans="1:16" ht="15" customHeight="1">
      <c r="A1212" s="295"/>
      <c r="B1212" s="295"/>
      <c r="C1212" s="174">
        <v>14</v>
      </c>
      <c r="D1212" s="175" t="s">
        <v>4172</v>
      </c>
      <c r="E1212" s="174" t="s">
        <v>2874</v>
      </c>
      <c r="F1212" s="213" t="s">
        <v>4903</v>
      </c>
      <c r="K1212" s="8"/>
      <c r="L1212" s="8"/>
      <c r="M1212" s="8"/>
      <c r="N1212" s="8"/>
      <c r="O1212" s="8"/>
      <c r="P1212" s="8"/>
    </row>
    <row r="1213" spans="1:16" ht="15" customHeight="1">
      <c r="A1213" s="272" t="s">
        <v>4301</v>
      </c>
      <c r="B1213" s="272" t="s">
        <v>4175</v>
      </c>
      <c r="C1213" s="153">
        <v>0</v>
      </c>
      <c r="D1213" s="152" t="s">
        <v>2930</v>
      </c>
      <c r="E1213" s="153" t="s">
        <v>669</v>
      </c>
      <c r="F1213" s="152" t="s">
        <v>2923</v>
      </c>
      <c r="K1213" s="8"/>
      <c r="L1213" s="8"/>
      <c r="M1213" s="8"/>
      <c r="N1213" s="8"/>
      <c r="O1213" s="8"/>
      <c r="P1213" s="8"/>
    </row>
    <row r="1214" spans="1:16" ht="15" customHeight="1">
      <c r="A1214" s="292"/>
      <c r="B1214" s="292"/>
      <c r="C1214" s="153">
        <v>1</v>
      </c>
      <c r="D1214" s="152" t="s">
        <v>1214</v>
      </c>
      <c r="E1214" s="153" t="s">
        <v>2874</v>
      </c>
      <c r="F1214" s="152" t="s">
        <v>4302</v>
      </c>
      <c r="K1214" s="8"/>
      <c r="L1214" s="8"/>
      <c r="M1214" s="8"/>
      <c r="N1214" s="8"/>
      <c r="O1214" s="8"/>
      <c r="P1214" s="8"/>
    </row>
    <row r="1215" spans="1:16" ht="15" customHeight="1">
      <c r="A1215" s="292"/>
      <c r="B1215" s="292"/>
      <c r="C1215" s="153">
        <v>2</v>
      </c>
      <c r="D1215" s="152" t="s">
        <v>1213</v>
      </c>
      <c r="E1215" s="153" t="s">
        <v>1123</v>
      </c>
      <c r="F1215" s="152" t="s">
        <v>2928</v>
      </c>
      <c r="K1215" s="8"/>
      <c r="L1215" s="8"/>
      <c r="M1215" s="8"/>
      <c r="N1215" s="8"/>
      <c r="O1215" s="8"/>
      <c r="P1215" s="8"/>
    </row>
    <row r="1216" spans="1:16" ht="15" customHeight="1">
      <c r="A1216" s="292"/>
      <c r="B1216" s="292"/>
      <c r="C1216" s="153">
        <v>3</v>
      </c>
      <c r="D1216" s="152" t="s">
        <v>1212</v>
      </c>
      <c r="E1216" s="153" t="s">
        <v>2874</v>
      </c>
      <c r="F1216" s="152" t="s">
        <v>2929</v>
      </c>
      <c r="K1216" s="8"/>
      <c r="L1216" s="8"/>
      <c r="M1216" s="8"/>
      <c r="N1216" s="8"/>
      <c r="O1216" s="8"/>
      <c r="P1216" s="8"/>
    </row>
    <row r="1217" spans="1:16" ht="15" customHeight="1">
      <c r="A1217" s="292"/>
      <c r="B1217" s="292"/>
      <c r="C1217" s="153">
        <v>4</v>
      </c>
      <c r="D1217" s="183" t="s">
        <v>1211</v>
      </c>
      <c r="E1217" s="153" t="s">
        <v>2874</v>
      </c>
      <c r="F1217" s="152" t="s">
        <v>4919</v>
      </c>
      <c r="K1217" s="8"/>
      <c r="L1217" s="8"/>
      <c r="M1217" s="8"/>
      <c r="N1217" s="8"/>
      <c r="O1217" s="8"/>
      <c r="P1217" s="8"/>
    </row>
    <row r="1218" spans="1:16" ht="15" customHeight="1">
      <c r="A1218" s="292"/>
      <c r="B1218" s="292"/>
      <c r="C1218" s="153">
        <v>5</v>
      </c>
      <c r="D1218" s="183" t="s">
        <v>1210</v>
      </c>
      <c r="E1218" s="153" t="s">
        <v>669</v>
      </c>
      <c r="F1218" s="152" t="s">
        <v>4842</v>
      </c>
      <c r="K1218" s="8"/>
      <c r="L1218" s="8"/>
      <c r="M1218" s="8"/>
      <c r="N1218" s="8"/>
      <c r="O1218" s="8"/>
      <c r="P1218" s="8"/>
    </row>
    <row r="1219" spans="1:16" ht="15" customHeight="1">
      <c r="A1219" s="292"/>
      <c r="B1219" s="292"/>
      <c r="C1219" s="153">
        <v>6</v>
      </c>
      <c r="D1219" s="152" t="s">
        <v>4173</v>
      </c>
      <c r="E1219" s="153" t="s">
        <v>2874</v>
      </c>
      <c r="F1219" s="152" t="s">
        <v>4303</v>
      </c>
      <c r="K1219" s="8"/>
      <c r="L1219" s="8"/>
      <c r="M1219" s="8"/>
      <c r="N1219" s="8"/>
      <c r="O1219" s="8"/>
      <c r="P1219" s="8"/>
    </row>
    <row r="1220" spans="1:16" ht="15" customHeight="1">
      <c r="A1220" s="292"/>
      <c r="B1220" s="292"/>
      <c r="C1220" s="153">
        <v>9</v>
      </c>
      <c r="D1220" s="152" t="s">
        <v>4174</v>
      </c>
      <c r="E1220" s="153" t="s">
        <v>1123</v>
      </c>
      <c r="F1220" s="152" t="s">
        <v>4304</v>
      </c>
      <c r="K1220" s="8"/>
      <c r="L1220" s="8"/>
      <c r="M1220" s="8"/>
      <c r="N1220" s="8"/>
      <c r="O1220" s="8"/>
      <c r="P1220" s="8"/>
    </row>
    <row r="1221" spans="1:16" ht="15" customHeight="1">
      <c r="A1221" s="292"/>
      <c r="B1221" s="292"/>
      <c r="C1221" s="153">
        <v>11</v>
      </c>
      <c r="D1221" s="152" t="s">
        <v>1208</v>
      </c>
      <c r="E1221" s="153" t="s">
        <v>669</v>
      </c>
      <c r="F1221" s="152" t="s">
        <v>4305</v>
      </c>
      <c r="K1221" s="8"/>
      <c r="L1221" s="8"/>
      <c r="M1221" s="8"/>
      <c r="N1221" s="8"/>
      <c r="O1221" s="8"/>
      <c r="P1221" s="8"/>
    </row>
    <row r="1222" spans="1:16" ht="15" customHeight="1">
      <c r="A1222" s="273"/>
      <c r="B1222" s="273"/>
      <c r="C1222" s="182">
        <v>14</v>
      </c>
      <c r="D1222" s="183" t="s">
        <v>4176</v>
      </c>
      <c r="E1222" s="182" t="s">
        <v>1123</v>
      </c>
      <c r="F1222" s="211" t="s">
        <v>4904</v>
      </c>
      <c r="K1222" s="8"/>
      <c r="L1222" s="8"/>
      <c r="M1222" s="8"/>
      <c r="N1222" s="8"/>
      <c r="O1222" s="8"/>
      <c r="P1222" s="8"/>
    </row>
    <row r="1223" spans="1:16" ht="15" customHeight="1">
      <c r="A1223" s="194" t="s">
        <v>1205</v>
      </c>
      <c r="B1223" s="209" t="s">
        <v>352</v>
      </c>
      <c r="C1223" s="151" t="s">
        <v>2852</v>
      </c>
      <c r="D1223" s="171" t="s">
        <v>352</v>
      </c>
      <c r="E1223" s="170" t="s">
        <v>505</v>
      </c>
      <c r="F1223" s="171" t="s">
        <v>2927</v>
      </c>
      <c r="K1223" s="8"/>
      <c r="L1223" s="8"/>
      <c r="M1223" s="8"/>
      <c r="N1223" s="8"/>
      <c r="O1223" s="8"/>
      <c r="P1223" s="8"/>
    </row>
    <row r="1224" spans="1:16" ht="15" customHeight="1">
      <c r="A1224" s="219" t="s">
        <v>1204</v>
      </c>
      <c r="B1224" s="221" t="s">
        <v>351</v>
      </c>
      <c r="C1224" s="219" t="s">
        <v>2852</v>
      </c>
      <c r="D1224" s="215" t="s">
        <v>351</v>
      </c>
      <c r="E1224" s="219" t="s">
        <v>505</v>
      </c>
      <c r="F1224" s="215" t="s">
        <v>2927</v>
      </c>
      <c r="K1224" s="8"/>
      <c r="L1224" s="8"/>
      <c r="M1224" s="8"/>
      <c r="N1224" s="8"/>
      <c r="O1224" s="8"/>
      <c r="P1224" s="8"/>
    </row>
    <row r="1225" spans="1:16" ht="15" customHeight="1">
      <c r="A1225" s="155" t="s">
        <v>1203</v>
      </c>
      <c r="B1225" s="154"/>
      <c r="C1225" s="159"/>
      <c r="D1225" s="154"/>
      <c r="E1225" s="155"/>
      <c r="F1225" s="158"/>
      <c r="K1225" s="8"/>
      <c r="L1225" s="8"/>
      <c r="M1225" s="8"/>
      <c r="N1225" s="8"/>
      <c r="O1225" s="8"/>
      <c r="P1225" s="8"/>
    </row>
    <row r="1226" spans="1:16" ht="15" customHeight="1">
      <c r="A1226" s="300" t="s">
        <v>4319</v>
      </c>
      <c r="B1226" s="300" t="s">
        <v>4315</v>
      </c>
      <c r="C1226" s="153">
        <v>0</v>
      </c>
      <c r="D1226" s="152" t="s">
        <v>4307</v>
      </c>
      <c r="E1226" s="153" t="s">
        <v>669</v>
      </c>
      <c r="F1226" s="152" t="s">
        <v>2923</v>
      </c>
      <c r="K1226" s="8"/>
      <c r="L1226" s="8"/>
      <c r="M1226" s="8"/>
      <c r="N1226" s="8"/>
      <c r="O1226" s="8"/>
      <c r="P1226" s="8"/>
    </row>
    <row r="1227" spans="1:16" ht="15" customHeight="1">
      <c r="A1227" s="301"/>
      <c r="B1227" s="301"/>
      <c r="C1227" s="153">
        <v>3</v>
      </c>
      <c r="D1227" s="152" t="s">
        <v>1198</v>
      </c>
      <c r="E1227" s="153" t="s">
        <v>2874</v>
      </c>
      <c r="F1227" s="152" t="s">
        <v>4320</v>
      </c>
      <c r="K1227" s="8"/>
      <c r="L1227" s="8"/>
      <c r="M1227" s="8"/>
      <c r="N1227" s="8"/>
      <c r="O1227" s="8"/>
      <c r="P1227" s="8"/>
    </row>
    <row r="1228" spans="1:16" ht="15" customHeight="1">
      <c r="A1228" s="301"/>
      <c r="B1228" s="301"/>
      <c r="C1228" s="153">
        <v>4</v>
      </c>
      <c r="D1228" s="183" t="s">
        <v>1199</v>
      </c>
      <c r="E1228" s="153" t="s">
        <v>669</v>
      </c>
      <c r="F1228" s="152" t="s">
        <v>4321</v>
      </c>
      <c r="K1228" s="8"/>
      <c r="L1228" s="8"/>
      <c r="M1228" s="8"/>
      <c r="N1228" s="8"/>
      <c r="O1228" s="8"/>
      <c r="P1228" s="8"/>
    </row>
    <row r="1229" spans="1:16" ht="15" customHeight="1">
      <c r="A1229" s="301"/>
      <c r="B1229" s="301"/>
      <c r="C1229" s="182">
        <v>5</v>
      </c>
      <c r="D1229" s="183" t="s">
        <v>4316</v>
      </c>
      <c r="E1229" s="182" t="s">
        <v>2874</v>
      </c>
      <c r="F1229" s="183" t="s">
        <v>4909</v>
      </c>
      <c r="K1229" s="8"/>
      <c r="L1229" s="8"/>
      <c r="M1229" s="8"/>
      <c r="N1229" s="8"/>
      <c r="O1229" s="8"/>
      <c r="P1229" s="8"/>
    </row>
    <row r="1230" spans="1:16" ht="15" customHeight="1">
      <c r="A1230" s="301"/>
      <c r="B1230" s="301"/>
      <c r="C1230" s="153">
        <v>9</v>
      </c>
      <c r="D1230" s="152" t="s">
        <v>4317</v>
      </c>
      <c r="E1230" s="153" t="s">
        <v>2874</v>
      </c>
      <c r="F1230" s="152" t="s">
        <v>4322</v>
      </c>
      <c r="K1230" s="8"/>
      <c r="L1230" s="8"/>
      <c r="M1230" s="8"/>
      <c r="N1230" s="8"/>
      <c r="O1230" s="8"/>
      <c r="P1230" s="8"/>
    </row>
    <row r="1231" spans="1:16" ht="15" customHeight="1">
      <c r="A1231" s="301"/>
      <c r="B1231" s="301"/>
      <c r="C1231" s="153">
        <v>10</v>
      </c>
      <c r="D1231" s="152" t="s">
        <v>1195</v>
      </c>
      <c r="E1231" s="153" t="s">
        <v>2874</v>
      </c>
      <c r="F1231" s="152" t="s">
        <v>4323</v>
      </c>
      <c r="K1231" s="8"/>
      <c r="L1231" s="8"/>
      <c r="M1231" s="8"/>
      <c r="N1231" s="8"/>
      <c r="O1231" s="8"/>
      <c r="P1231" s="8"/>
    </row>
    <row r="1232" spans="1:16" ht="15" customHeight="1">
      <c r="A1232" s="301"/>
      <c r="B1232" s="301"/>
      <c r="C1232" s="153">
        <v>11</v>
      </c>
      <c r="D1232" s="152" t="s">
        <v>4318</v>
      </c>
      <c r="E1232" s="153" t="s">
        <v>669</v>
      </c>
      <c r="F1232" s="152" t="s">
        <v>4476</v>
      </c>
      <c r="K1232" s="8"/>
      <c r="L1232" s="8"/>
      <c r="M1232" s="8"/>
      <c r="N1232" s="8"/>
      <c r="O1232" s="8"/>
      <c r="P1232" s="8"/>
    </row>
    <row r="1233" spans="1:16" ht="15" customHeight="1">
      <c r="A1233" s="301"/>
      <c r="B1233" s="301"/>
      <c r="C1233" s="153">
        <v>12</v>
      </c>
      <c r="D1233" s="152" t="s">
        <v>1193</v>
      </c>
      <c r="E1233" s="153" t="s">
        <v>669</v>
      </c>
      <c r="F1233" s="152" t="s">
        <v>4324</v>
      </c>
      <c r="K1233" s="8"/>
      <c r="L1233" s="8"/>
      <c r="M1233" s="8"/>
      <c r="N1233" s="8"/>
      <c r="O1233" s="8"/>
      <c r="P1233" s="8"/>
    </row>
    <row r="1234" spans="1:16" ht="15" customHeight="1">
      <c r="A1234" s="302"/>
      <c r="B1234" s="302"/>
      <c r="C1234" s="153">
        <v>13</v>
      </c>
      <c r="D1234" s="152" t="s">
        <v>1192</v>
      </c>
      <c r="E1234" s="153" t="s">
        <v>669</v>
      </c>
      <c r="F1234" s="152" t="s">
        <v>4325</v>
      </c>
      <c r="K1234" s="8"/>
      <c r="L1234" s="8"/>
      <c r="M1234" s="8"/>
      <c r="N1234" s="8"/>
      <c r="O1234" s="8"/>
      <c r="P1234" s="8"/>
    </row>
    <row r="1235" spans="1:16" ht="15" customHeight="1">
      <c r="A1235" s="274" t="s">
        <v>4332</v>
      </c>
      <c r="B1235" s="274" t="s">
        <v>4327</v>
      </c>
      <c r="C1235" s="151">
        <v>0</v>
      </c>
      <c r="D1235" s="171" t="s">
        <v>4308</v>
      </c>
      <c r="E1235" s="170" t="s">
        <v>669</v>
      </c>
      <c r="F1235" s="171" t="s">
        <v>2923</v>
      </c>
      <c r="K1235" s="8"/>
      <c r="L1235" s="8"/>
      <c r="M1235" s="8"/>
      <c r="N1235" s="8"/>
      <c r="O1235" s="8"/>
      <c r="P1235" s="8"/>
    </row>
    <row r="1236" spans="1:16" ht="15" customHeight="1">
      <c r="A1236" s="299"/>
      <c r="B1236" s="299"/>
      <c r="C1236" s="151">
        <v>3</v>
      </c>
      <c r="D1236" s="171" t="s">
        <v>1187</v>
      </c>
      <c r="E1236" s="170" t="s">
        <v>2874</v>
      </c>
      <c r="F1236" s="171" t="s">
        <v>4333</v>
      </c>
      <c r="K1236" s="8"/>
      <c r="L1236" s="8"/>
      <c r="M1236" s="8"/>
      <c r="N1236" s="8"/>
      <c r="O1236" s="8"/>
      <c r="P1236" s="8"/>
    </row>
    <row r="1237" spans="1:16" ht="15" customHeight="1">
      <c r="A1237" s="299"/>
      <c r="B1237" s="299"/>
      <c r="C1237" s="174">
        <v>4</v>
      </c>
      <c r="D1237" s="175" t="s">
        <v>4326</v>
      </c>
      <c r="E1237" s="174" t="s">
        <v>1123</v>
      </c>
      <c r="F1237" s="175" t="s">
        <v>4717</v>
      </c>
      <c r="K1237" s="8"/>
      <c r="L1237" s="8"/>
      <c r="M1237" s="8"/>
      <c r="N1237" s="8"/>
      <c r="O1237" s="8"/>
      <c r="P1237" s="8"/>
    </row>
    <row r="1238" spans="1:16" ht="15" customHeight="1">
      <c r="A1238" s="299"/>
      <c r="B1238" s="299"/>
      <c r="C1238" s="174">
        <v>5</v>
      </c>
      <c r="D1238" s="175" t="s">
        <v>4328</v>
      </c>
      <c r="E1238" s="174" t="s">
        <v>2874</v>
      </c>
      <c r="F1238" s="213" t="s">
        <v>4910</v>
      </c>
      <c r="K1238" s="8"/>
      <c r="L1238" s="8"/>
      <c r="M1238" s="8"/>
      <c r="N1238" s="8"/>
      <c r="O1238" s="8"/>
      <c r="P1238" s="8"/>
    </row>
    <row r="1239" spans="1:16" ht="15" customHeight="1">
      <c r="A1239" s="299"/>
      <c r="B1239" s="299"/>
      <c r="C1239" s="151">
        <v>9</v>
      </c>
      <c r="D1239" s="171" t="s">
        <v>4329</v>
      </c>
      <c r="E1239" s="170" t="s">
        <v>1123</v>
      </c>
      <c r="F1239" s="171" t="s">
        <v>4335</v>
      </c>
      <c r="K1239" s="8"/>
      <c r="L1239" s="8"/>
      <c r="M1239" s="8"/>
      <c r="N1239" s="8"/>
      <c r="O1239" s="8"/>
      <c r="P1239" s="8"/>
    </row>
    <row r="1240" spans="1:16" ht="15" customHeight="1">
      <c r="A1240" s="299"/>
      <c r="B1240" s="299"/>
      <c r="C1240" s="151">
        <v>10</v>
      </c>
      <c r="D1240" s="171" t="s">
        <v>1184</v>
      </c>
      <c r="E1240" s="170" t="s">
        <v>1123</v>
      </c>
      <c r="F1240" s="171" t="s">
        <v>4334</v>
      </c>
      <c r="K1240" s="8"/>
      <c r="L1240" s="8"/>
      <c r="M1240" s="8"/>
      <c r="N1240" s="8"/>
      <c r="O1240" s="8"/>
      <c r="P1240" s="8"/>
    </row>
    <row r="1241" spans="1:16" ht="15" customHeight="1">
      <c r="A1241" s="299"/>
      <c r="B1241" s="299"/>
      <c r="C1241" s="151">
        <v>11</v>
      </c>
      <c r="D1241" s="171" t="s">
        <v>4330</v>
      </c>
      <c r="E1241" s="170" t="s">
        <v>669</v>
      </c>
      <c r="F1241" s="171" t="s">
        <v>4460</v>
      </c>
      <c r="K1241" s="8"/>
      <c r="L1241" s="8"/>
      <c r="M1241" s="8"/>
      <c r="N1241" s="8"/>
      <c r="O1241" s="8"/>
      <c r="P1241" s="8"/>
    </row>
    <row r="1242" spans="1:16" ht="15" customHeight="1">
      <c r="A1242" s="299"/>
      <c r="B1242" s="299"/>
      <c r="C1242" s="151">
        <v>12</v>
      </c>
      <c r="D1242" s="171" t="s">
        <v>1182</v>
      </c>
      <c r="E1242" s="170" t="s">
        <v>669</v>
      </c>
      <c r="F1242" s="171" t="s">
        <v>4337</v>
      </c>
      <c r="K1242" s="8"/>
      <c r="L1242" s="8"/>
      <c r="M1242" s="8"/>
      <c r="N1242" s="8"/>
      <c r="O1242" s="8"/>
      <c r="P1242" s="8"/>
    </row>
    <row r="1243" spans="1:16" ht="15" customHeight="1">
      <c r="A1243" s="299"/>
      <c r="B1243" s="299"/>
      <c r="C1243" s="151">
        <v>13</v>
      </c>
      <c r="D1243" s="171" t="s">
        <v>1181</v>
      </c>
      <c r="E1243" s="170" t="s">
        <v>1123</v>
      </c>
      <c r="F1243" s="171" t="s">
        <v>4336</v>
      </c>
      <c r="K1243" s="8"/>
      <c r="L1243" s="8"/>
      <c r="M1243" s="8"/>
      <c r="N1243" s="8"/>
      <c r="O1243" s="8"/>
      <c r="P1243" s="8"/>
    </row>
    <row r="1244" spans="1:16" ht="15" customHeight="1">
      <c r="A1244" s="275"/>
      <c r="B1244" s="275"/>
      <c r="C1244" s="174">
        <v>14</v>
      </c>
      <c r="D1244" s="175" t="s">
        <v>4331</v>
      </c>
      <c r="E1244" s="174" t="s">
        <v>669</v>
      </c>
      <c r="F1244" s="175" t="s">
        <v>4955</v>
      </c>
      <c r="K1244" s="8"/>
      <c r="L1244" s="8"/>
      <c r="M1244" s="8"/>
      <c r="N1244" s="8"/>
      <c r="O1244" s="8"/>
      <c r="P1244" s="8"/>
    </row>
    <row r="1245" spans="1:16" ht="15" customHeight="1">
      <c r="A1245" s="300" t="s">
        <v>4341</v>
      </c>
      <c r="B1245" s="300" t="s">
        <v>4340</v>
      </c>
      <c r="C1245" s="153">
        <v>0</v>
      </c>
      <c r="D1245" s="152" t="s">
        <v>4309</v>
      </c>
      <c r="E1245" s="153" t="s">
        <v>669</v>
      </c>
      <c r="F1245" s="152" t="s">
        <v>2923</v>
      </c>
      <c r="K1245" s="8"/>
      <c r="L1245" s="8"/>
      <c r="M1245" s="8"/>
      <c r="N1245" s="8"/>
      <c r="O1245" s="8"/>
      <c r="P1245" s="8"/>
    </row>
    <row r="1246" spans="1:16" ht="15" customHeight="1">
      <c r="A1246" s="301"/>
      <c r="B1246" s="301"/>
      <c r="C1246" s="153">
        <v>3</v>
      </c>
      <c r="D1246" s="152" t="s">
        <v>1175</v>
      </c>
      <c r="E1246" s="153" t="s">
        <v>2874</v>
      </c>
      <c r="F1246" s="152" t="s">
        <v>4342</v>
      </c>
      <c r="K1246" s="8"/>
      <c r="L1246" s="8"/>
      <c r="M1246" s="8"/>
      <c r="N1246" s="8"/>
      <c r="O1246" s="8"/>
      <c r="P1246" s="8"/>
    </row>
    <row r="1247" spans="1:16" ht="15" customHeight="1">
      <c r="A1247" s="301"/>
      <c r="B1247" s="301"/>
      <c r="C1247" s="182">
        <v>4</v>
      </c>
      <c r="D1247" s="183" t="s">
        <v>4338</v>
      </c>
      <c r="E1247" s="182" t="s">
        <v>669</v>
      </c>
      <c r="F1247" s="183" t="s">
        <v>4737</v>
      </c>
      <c r="K1247" s="8"/>
      <c r="L1247" s="8"/>
      <c r="M1247" s="8"/>
      <c r="N1247" s="8"/>
      <c r="O1247" s="8"/>
      <c r="P1247" s="8"/>
    </row>
    <row r="1248" spans="1:16" ht="15" customHeight="1">
      <c r="A1248" s="301"/>
      <c r="B1248" s="301"/>
      <c r="C1248" s="182">
        <v>5</v>
      </c>
      <c r="D1248" s="183" t="s">
        <v>4339</v>
      </c>
      <c r="E1248" s="182" t="s">
        <v>2874</v>
      </c>
      <c r="F1248" s="211" t="s">
        <v>4911</v>
      </c>
      <c r="K1248" s="8"/>
      <c r="L1248" s="8"/>
      <c r="M1248" s="8"/>
      <c r="N1248" s="8"/>
      <c r="O1248" s="8"/>
      <c r="P1248" s="8"/>
    </row>
    <row r="1249" spans="1:16" ht="15" customHeight="1">
      <c r="A1249" s="301"/>
      <c r="B1249" s="301"/>
      <c r="C1249" s="153">
        <v>9</v>
      </c>
      <c r="D1249" s="183" t="s">
        <v>1173</v>
      </c>
      <c r="E1249" s="153" t="s">
        <v>2874</v>
      </c>
      <c r="F1249" s="152" t="s">
        <v>4962</v>
      </c>
      <c r="K1249" s="8"/>
      <c r="L1249" s="8"/>
      <c r="M1249" s="8"/>
      <c r="N1249" s="8"/>
      <c r="O1249" s="8"/>
      <c r="P1249" s="8"/>
    </row>
    <row r="1250" spans="1:16" ht="15" customHeight="1">
      <c r="A1250" s="301"/>
      <c r="B1250" s="301"/>
      <c r="C1250" s="153">
        <v>11</v>
      </c>
      <c r="D1250" s="152" t="s">
        <v>1172</v>
      </c>
      <c r="E1250" s="153" t="s">
        <v>669</v>
      </c>
      <c r="F1250" s="152" t="s">
        <v>4343</v>
      </c>
      <c r="K1250" s="8"/>
      <c r="L1250" s="8"/>
      <c r="M1250" s="8"/>
      <c r="N1250" s="8"/>
      <c r="O1250" s="8"/>
      <c r="P1250" s="8"/>
    </row>
    <row r="1251" spans="1:16" ht="15" customHeight="1">
      <c r="A1251" s="301"/>
      <c r="B1251" s="301"/>
      <c r="C1251" s="153">
        <v>12</v>
      </c>
      <c r="D1251" s="152" t="s">
        <v>1171</v>
      </c>
      <c r="E1251" s="153" t="s">
        <v>669</v>
      </c>
      <c r="F1251" s="152" t="s">
        <v>4344</v>
      </c>
      <c r="K1251" s="8"/>
      <c r="L1251" s="8"/>
      <c r="M1251" s="8"/>
      <c r="N1251" s="8"/>
      <c r="O1251" s="8"/>
      <c r="P1251" s="8"/>
    </row>
    <row r="1252" spans="1:16" ht="15" customHeight="1">
      <c r="A1252" s="301"/>
      <c r="B1252" s="301"/>
      <c r="C1252" s="153">
        <v>13</v>
      </c>
      <c r="D1252" s="183" t="s">
        <v>1170</v>
      </c>
      <c r="E1252" s="153" t="s">
        <v>669</v>
      </c>
      <c r="F1252" s="152" t="s">
        <v>4940</v>
      </c>
      <c r="K1252" s="8"/>
      <c r="L1252" s="8"/>
      <c r="M1252" s="8"/>
      <c r="N1252" s="8"/>
      <c r="O1252" s="8"/>
      <c r="P1252" s="8"/>
    </row>
    <row r="1253" spans="1:16" ht="15" customHeight="1">
      <c r="A1253" s="302"/>
      <c r="B1253" s="302"/>
      <c r="C1253" s="153">
        <v>14</v>
      </c>
      <c r="D1253" s="152" t="s">
        <v>1169</v>
      </c>
      <c r="E1253" s="153" t="s">
        <v>2874</v>
      </c>
      <c r="F1253" s="152" t="s">
        <v>4345</v>
      </c>
      <c r="K1253" s="8"/>
      <c r="L1253" s="8"/>
      <c r="M1253" s="8"/>
      <c r="N1253" s="8"/>
      <c r="O1253" s="8"/>
      <c r="P1253" s="8"/>
    </row>
    <row r="1254" spans="1:16" ht="15" customHeight="1">
      <c r="A1254" s="274" t="s">
        <v>1168</v>
      </c>
      <c r="B1254" s="274" t="s">
        <v>4349</v>
      </c>
      <c r="C1254" s="151">
        <v>0</v>
      </c>
      <c r="D1254" s="171" t="s">
        <v>4310</v>
      </c>
      <c r="E1254" s="170" t="s">
        <v>669</v>
      </c>
      <c r="F1254" s="171" t="s">
        <v>2923</v>
      </c>
      <c r="K1254" s="8"/>
      <c r="L1254" s="8"/>
      <c r="M1254" s="8"/>
      <c r="N1254" s="8"/>
      <c r="O1254" s="8"/>
      <c r="P1254" s="8"/>
    </row>
    <row r="1255" spans="1:16" ht="15" customHeight="1">
      <c r="A1255" s="299"/>
      <c r="B1255" s="299"/>
      <c r="C1255" s="151">
        <v>3</v>
      </c>
      <c r="D1255" s="171" t="s">
        <v>1164</v>
      </c>
      <c r="E1255" s="170" t="s">
        <v>2874</v>
      </c>
      <c r="F1255" s="171" t="s">
        <v>4890</v>
      </c>
      <c r="K1255" s="8"/>
      <c r="L1255" s="8"/>
      <c r="M1255" s="8"/>
      <c r="N1255" s="8"/>
      <c r="O1255" s="8"/>
      <c r="P1255" s="8"/>
    </row>
    <row r="1256" spans="1:16" ht="15" customHeight="1">
      <c r="A1256" s="299"/>
      <c r="B1256" s="299"/>
      <c r="C1256" s="174">
        <v>4</v>
      </c>
      <c r="D1256" s="175" t="s">
        <v>4346</v>
      </c>
      <c r="E1256" s="174" t="s">
        <v>669</v>
      </c>
      <c r="F1256" s="175" t="s">
        <v>4731</v>
      </c>
      <c r="K1256" s="8"/>
      <c r="L1256" s="8"/>
      <c r="M1256" s="8"/>
      <c r="N1256" s="8"/>
      <c r="O1256" s="8"/>
      <c r="P1256" s="8"/>
    </row>
    <row r="1257" spans="1:16" ht="15" customHeight="1">
      <c r="A1257" s="299"/>
      <c r="B1257" s="299"/>
      <c r="C1257" s="174">
        <v>5</v>
      </c>
      <c r="D1257" s="175" t="s">
        <v>4347</v>
      </c>
      <c r="E1257" s="174" t="s">
        <v>2874</v>
      </c>
      <c r="F1257" s="213" t="s">
        <v>4912</v>
      </c>
      <c r="K1257" s="8"/>
      <c r="L1257" s="8"/>
      <c r="M1257" s="8"/>
      <c r="N1257" s="8"/>
      <c r="O1257" s="8"/>
      <c r="P1257" s="8"/>
    </row>
    <row r="1258" spans="1:16" ht="15" customHeight="1">
      <c r="A1258" s="299"/>
      <c r="B1258" s="299"/>
      <c r="C1258" s="151">
        <v>9</v>
      </c>
      <c r="D1258" s="171" t="s">
        <v>4348</v>
      </c>
      <c r="E1258" s="170" t="s">
        <v>1123</v>
      </c>
      <c r="F1258" s="175" t="s">
        <v>4392</v>
      </c>
      <c r="K1258" s="8"/>
      <c r="L1258" s="8"/>
      <c r="M1258" s="8"/>
      <c r="N1258" s="8"/>
      <c r="O1258" s="8"/>
      <c r="P1258" s="8"/>
    </row>
    <row r="1259" spans="1:16" ht="15" customHeight="1">
      <c r="A1259" s="299"/>
      <c r="B1259" s="299"/>
      <c r="C1259" s="151">
        <v>11</v>
      </c>
      <c r="D1259" s="171" t="s">
        <v>1161</v>
      </c>
      <c r="E1259" s="170" t="s">
        <v>669</v>
      </c>
      <c r="F1259" s="171" t="s">
        <v>4473</v>
      </c>
      <c r="K1259" s="8"/>
      <c r="L1259" s="8"/>
      <c r="M1259" s="8"/>
      <c r="N1259" s="8"/>
      <c r="O1259" s="8"/>
      <c r="P1259" s="8"/>
    </row>
    <row r="1260" spans="1:16" ht="15" customHeight="1">
      <c r="A1260" s="299"/>
      <c r="B1260" s="299"/>
      <c r="C1260" s="151">
        <v>12</v>
      </c>
      <c r="D1260" s="171" t="s">
        <v>1160</v>
      </c>
      <c r="E1260" s="170" t="s">
        <v>669</v>
      </c>
      <c r="F1260" s="171" t="s">
        <v>4788</v>
      </c>
      <c r="K1260" s="8"/>
      <c r="L1260" s="8"/>
      <c r="M1260" s="8"/>
      <c r="N1260" s="8"/>
      <c r="O1260" s="8"/>
      <c r="P1260" s="8"/>
    </row>
    <row r="1261" spans="1:16" ht="15" customHeight="1">
      <c r="A1261" s="299"/>
      <c r="B1261" s="299"/>
      <c r="C1261" s="151">
        <v>13</v>
      </c>
      <c r="D1261" s="175" t="s">
        <v>1159</v>
      </c>
      <c r="E1261" s="170" t="s">
        <v>669</v>
      </c>
      <c r="F1261" s="171" t="s">
        <v>4941</v>
      </c>
      <c r="K1261" s="8"/>
      <c r="L1261" s="8"/>
      <c r="M1261" s="8"/>
      <c r="N1261" s="8"/>
      <c r="O1261" s="8"/>
      <c r="P1261" s="8"/>
    </row>
    <row r="1262" spans="1:16" ht="15" customHeight="1">
      <c r="A1262" s="275"/>
      <c r="B1262" s="275"/>
      <c r="C1262" s="151">
        <v>14</v>
      </c>
      <c r="D1262" s="171" t="s">
        <v>1158</v>
      </c>
      <c r="E1262" s="170" t="s">
        <v>1123</v>
      </c>
      <c r="F1262" s="171" t="s">
        <v>4812</v>
      </c>
      <c r="K1262" s="8"/>
      <c r="L1262" s="8"/>
      <c r="M1262" s="8"/>
      <c r="N1262" s="8"/>
      <c r="O1262" s="8"/>
      <c r="P1262" s="8"/>
    </row>
    <row r="1263" spans="1:16" ht="15" customHeight="1">
      <c r="A1263" s="300" t="s">
        <v>4354</v>
      </c>
      <c r="B1263" s="300" t="s">
        <v>4350</v>
      </c>
      <c r="C1263" s="153">
        <v>0</v>
      </c>
      <c r="D1263" s="152" t="s">
        <v>4311</v>
      </c>
      <c r="E1263" s="153" t="s">
        <v>669</v>
      </c>
      <c r="F1263" s="152" t="s">
        <v>2923</v>
      </c>
      <c r="K1263" s="8"/>
      <c r="L1263" s="8"/>
      <c r="M1263" s="8"/>
      <c r="N1263" s="8"/>
      <c r="O1263" s="8"/>
      <c r="P1263" s="8"/>
    </row>
    <row r="1264" spans="1:16" ht="15" customHeight="1">
      <c r="A1264" s="301"/>
      <c r="B1264" s="301"/>
      <c r="C1264" s="153">
        <v>1</v>
      </c>
      <c r="D1264" s="152" t="s">
        <v>1149</v>
      </c>
      <c r="E1264" s="153" t="s">
        <v>2157</v>
      </c>
      <c r="F1264" s="152" t="s">
        <v>4355</v>
      </c>
      <c r="K1264" s="8"/>
      <c r="L1264" s="8"/>
      <c r="M1264" s="8"/>
      <c r="N1264" s="8"/>
      <c r="O1264" s="8"/>
      <c r="P1264" s="8"/>
    </row>
    <row r="1265" spans="1:16" ht="15" customHeight="1">
      <c r="A1265" s="301"/>
      <c r="B1265" s="301"/>
      <c r="C1265" s="153">
        <v>4</v>
      </c>
      <c r="D1265" s="183" t="s">
        <v>1155</v>
      </c>
      <c r="E1265" s="153" t="s">
        <v>2874</v>
      </c>
      <c r="F1265" s="183" t="s">
        <v>4723</v>
      </c>
      <c r="K1265" s="8"/>
      <c r="L1265" s="8"/>
      <c r="M1265" s="8"/>
      <c r="N1265" s="8"/>
      <c r="O1265" s="8"/>
      <c r="P1265" s="8"/>
    </row>
    <row r="1266" spans="1:16" ht="15" customHeight="1">
      <c r="A1266" s="301"/>
      <c r="B1266" s="301"/>
      <c r="C1266" s="182">
        <v>5</v>
      </c>
      <c r="D1266" s="183" t="s">
        <v>4351</v>
      </c>
      <c r="E1266" s="182" t="s">
        <v>2874</v>
      </c>
      <c r="F1266" s="211" t="s">
        <v>4913</v>
      </c>
      <c r="K1266" s="8"/>
      <c r="L1266" s="8"/>
      <c r="M1266" s="8"/>
      <c r="N1266" s="8"/>
      <c r="O1266" s="8"/>
      <c r="P1266" s="8"/>
    </row>
    <row r="1267" spans="1:16" ht="15" customHeight="1">
      <c r="A1267" s="301"/>
      <c r="B1267" s="301"/>
      <c r="C1267" s="153">
        <v>9</v>
      </c>
      <c r="D1267" s="152" t="s">
        <v>4352</v>
      </c>
      <c r="E1267" s="153" t="s">
        <v>2874</v>
      </c>
      <c r="F1267" s="152" t="s">
        <v>4378</v>
      </c>
      <c r="K1267" s="8"/>
      <c r="L1267" s="8"/>
      <c r="M1267" s="8"/>
      <c r="N1267" s="8"/>
      <c r="O1267" s="8"/>
      <c r="P1267" s="8"/>
    </row>
    <row r="1268" spans="1:16" ht="15" customHeight="1">
      <c r="A1268" s="301"/>
      <c r="B1268" s="301"/>
      <c r="C1268" s="153">
        <v>10</v>
      </c>
      <c r="D1268" s="152" t="s">
        <v>1152</v>
      </c>
      <c r="E1268" s="153" t="s">
        <v>2874</v>
      </c>
      <c r="F1268" s="152" t="s">
        <v>4356</v>
      </c>
      <c r="K1268" s="8"/>
      <c r="L1268" s="8"/>
      <c r="M1268" s="8"/>
      <c r="N1268" s="8"/>
      <c r="O1268" s="8"/>
      <c r="P1268" s="8"/>
    </row>
    <row r="1269" spans="1:16" ht="15" customHeight="1">
      <c r="A1269" s="301"/>
      <c r="B1269" s="301"/>
      <c r="C1269" s="153">
        <v>11</v>
      </c>
      <c r="D1269" s="152" t="s">
        <v>4353</v>
      </c>
      <c r="E1269" s="153" t="s">
        <v>669</v>
      </c>
      <c r="F1269" s="152" t="s">
        <v>4477</v>
      </c>
      <c r="K1269" s="8"/>
      <c r="L1269" s="8"/>
      <c r="M1269" s="8"/>
      <c r="N1269" s="8"/>
      <c r="O1269" s="8"/>
      <c r="P1269" s="8"/>
    </row>
    <row r="1270" spans="1:16" ht="15" customHeight="1">
      <c r="A1270" s="302"/>
      <c r="B1270" s="302"/>
      <c r="C1270" s="153">
        <v>12</v>
      </c>
      <c r="D1270" s="152" t="s">
        <v>1150</v>
      </c>
      <c r="E1270" s="153" t="s">
        <v>669</v>
      </c>
      <c r="F1270" s="152" t="s">
        <v>4357</v>
      </c>
      <c r="K1270" s="8"/>
      <c r="L1270" s="8"/>
      <c r="M1270" s="8"/>
      <c r="N1270" s="8"/>
      <c r="O1270" s="8"/>
      <c r="P1270" s="8"/>
    </row>
    <row r="1271" spans="1:16" ht="15" customHeight="1">
      <c r="A1271" s="274" t="s">
        <v>1148</v>
      </c>
      <c r="B1271" s="274" t="s">
        <v>4359</v>
      </c>
      <c r="C1271" s="151">
        <v>0</v>
      </c>
      <c r="D1271" s="171" t="s">
        <v>4312</v>
      </c>
      <c r="E1271" s="170" t="s">
        <v>669</v>
      </c>
      <c r="F1271" s="171" t="s">
        <v>2923</v>
      </c>
      <c r="K1271" s="8"/>
      <c r="L1271" s="8"/>
      <c r="M1271" s="8"/>
      <c r="N1271" s="8"/>
      <c r="O1271" s="8"/>
      <c r="P1271" s="8"/>
    </row>
    <row r="1272" spans="1:16" ht="15" customHeight="1">
      <c r="A1272" s="299"/>
      <c r="B1272" s="299"/>
      <c r="C1272" s="151">
        <v>1</v>
      </c>
      <c r="D1272" s="171" t="s">
        <v>1139</v>
      </c>
      <c r="E1272" s="170" t="s">
        <v>2157</v>
      </c>
      <c r="F1272" s="171" t="s">
        <v>4852</v>
      </c>
      <c r="K1272" s="8"/>
      <c r="L1272" s="8"/>
      <c r="M1272" s="8"/>
      <c r="N1272" s="8"/>
      <c r="O1272" s="8"/>
      <c r="P1272" s="8"/>
    </row>
    <row r="1273" spans="1:16" ht="15" customHeight="1">
      <c r="A1273" s="299"/>
      <c r="B1273" s="299"/>
      <c r="C1273" s="151">
        <v>3</v>
      </c>
      <c r="D1273" s="171" t="s">
        <v>1145</v>
      </c>
      <c r="E1273" s="170" t="s">
        <v>2874</v>
      </c>
      <c r="F1273" s="171" t="s">
        <v>2924</v>
      </c>
      <c r="K1273" s="8"/>
      <c r="L1273" s="8"/>
      <c r="M1273" s="8"/>
      <c r="N1273" s="8"/>
      <c r="O1273" s="8"/>
      <c r="P1273" s="8"/>
    </row>
    <row r="1274" spans="1:16" ht="15" customHeight="1">
      <c r="A1274" s="299"/>
      <c r="B1274" s="299"/>
      <c r="C1274" s="174">
        <v>5</v>
      </c>
      <c r="D1274" s="175" t="s">
        <v>4358</v>
      </c>
      <c r="E1274" s="174" t="s">
        <v>2874</v>
      </c>
      <c r="F1274" s="213" t="s">
        <v>4914</v>
      </c>
      <c r="K1274" s="8"/>
      <c r="L1274" s="8"/>
      <c r="M1274" s="8"/>
      <c r="N1274" s="8"/>
      <c r="O1274" s="8"/>
      <c r="P1274" s="8"/>
    </row>
    <row r="1275" spans="1:16" ht="15" customHeight="1">
      <c r="A1275" s="299"/>
      <c r="B1275" s="299"/>
      <c r="C1275" s="151">
        <v>6</v>
      </c>
      <c r="D1275" s="175" t="s">
        <v>1146</v>
      </c>
      <c r="E1275" s="170" t="s">
        <v>2874</v>
      </c>
      <c r="F1275" s="171" t="s">
        <v>4906</v>
      </c>
      <c r="K1275" s="8"/>
      <c r="L1275" s="8"/>
      <c r="M1275" s="8"/>
      <c r="N1275" s="8"/>
      <c r="O1275" s="8"/>
      <c r="P1275" s="8"/>
    </row>
    <row r="1276" spans="1:16" ht="15" customHeight="1">
      <c r="A1276" s="299"/>
      <c r="B1276" s="299"/>
      <c r="C1276" s="151">
        <v>9</v>
      </c>
      <c r="D1276" s="171" t="s">
        <v>4360</v>
      </c>
      <c r="E1276" s="170" t="s">
        <v>1123</v>
      </c>
      <c r="F1276" s="171" t="s">
        <v>4865</v>
      </c>
      <c r="K1276" s="8"/>
      <c r="L1276" s="8"/>
      <c r="M1276" s="8"/>
      <c r="N1276" s="8"/>
      <c r="O1276" s="8"/>
      <c r="P1276" s="8"/>
    </row>
    <row r="1277" spans="1:16" ht="15" customHeight="1">
      <c r="A1277" s="299"/>
      <c r="B1277" s="299"/>
      <c r="C1277" s="151">
        <v>10</v>
      </c>
      <c r="D1277" s="171" t="s">
        <v>1142</v>
      </c>
      <c r="E1277" s="170" t="s">
        <v>669</v>
      </c>
      <c r="F1277" s="171" t="s">
        <v>4837</v>
      </c>
      <c r="K1277" s="8"/>
      <c r="L1277" s="8"/>
      <c r="M1277" s="8"/>
      <c r="N1277" s="8"/>
      <c r="O1277" s="8"/>
      <c r="P1277" s="8"/>
    </row>
    <row r="1278" spans="1:16" ht="15" customHeight="1">
      <c r="A1278" s="299"/>
      <c r="B1278" s="299"/>
      <c r="C1278" s="151">
        <v>11</v>
      </c>
      <c r="D1278" s="171" t="s">
        <v>4361</v>
      </c>
      <c r="E1278" s="170" t="s">
        <v>669</v>
      </c>
      <c r="F1278" s="171" t="s">
        <v>4474</v>
      </c>
      <c r="K1278" s="8"/>
      <c r="L1278" s="8"/>
      <c r="M1278" s="8"/>
      <c r="N1278" s="8"/>
      <c r="O1278" s="8"/>
      <c r="P1278" s="8"/>
    </row>
    <row r="1279" spans="1:16" ht="15" customHeight="1">
      <c r="A1279" s="275"/>
      <c r="B1279" s="275"/>
      <c r="C1279" s="151">
        <v>12</v>
      </c>
      <c r="D1279" s="171" t="s">
        <v>1140</v>
      </c>
      <c r="E1279" s="170" t="s">
        <v>669</v>
      </c>
      <c r="F1279" s="171" t="s">
        <v>4789</v>
      </c>
      <c r="K1279" s="8"/>
      <c r="L1279" s="8"/>
      <c r="M1279" s="8"/>
      <c r="N1279" s="8"/>
      <c r="O1279" s="8"/>
      <c r="P1279" s="8"/>
    </row>
    <row r="1280" spans="1:16" ht="15" customHeight="1">
      <c r="A1280" s="300" t="s">
        <v>4365</v>
      </c>
      <c r="B1280" s="300" t="s">
        <v>4363</v>
      </c>
      <c r="C1280" s="153">
        <v>0</v>
      </c>
      <c r="D1280" s="152" t="s">
        <v>4313</v>
      </c>
      <c r="E1280" s="153" t="s">
        <v>669</v>
      </c>
      <c r="F1280" s="152" t="s">
        <v>2923</v>
      </c>
      <c r="K1280" s="8"/>
      <c r="L1280" s="8"/>
      <c r="M1280" s="8"/>
      <c r="N1280" s="8"/>
      <c r="O1280" s="8"/>
      <c r="P1280" s="8"/>
    </row>
    <row r="1281" spans="1:16" ht="15" customHeight="1">
      <c r="A1281" s="301"/>
      <c r="B1281" s="301"/>
      <c r="C1281" s="153">
        <v>3</v>
      </c>
      <c r="D1281" s="152" t="s">
        <v>1134</v>
      </c>
      <c r="E1281" s="153" t="s">
        <v>2874</v>
      </c>
      <c r="F1281" s="152" t="s">
        <v>4366</v>
      </c>
      <c r="K1281" s="8"/>
      <c r="L1281" s="8"/>
      <c r="M1281" s="8"/>
      <c r="N1281" s="8"/>
      <c r="O1281" s="8"/>
      <c r="P1281" s="8"/>
    </row>
    <row r="1282" spans="1:16" ht="15" customHeight="1">
      <c r="A1282" s="301"/>
      <c r="B1282" s="301"/>
      <c r="C1282" s="153">
        <v>5</v>
      </c>
      <c r="D1282" s="183" t="s">
        <v>1133</v>
      </c>
      <c r="E1282" s="153" t="s">
        <v>2874</v>
      </c>
      <c r="F1282" s="211" t="s">
        <v>4915</v>
      </c>
      <c r="K1282" s="8"/>
      <c r="L1282" s="8"/>
      <c r="M1282" s="8"/>
      <c r="N1282" s="8"/>
      <c r="O1282" s="8"/>
      <c r="P1282" s="8"/>
    </row>
    <row r="1283" spans="1:16" ht="15" customHeight="1">
      <c r="A1283" s="301"/>
      <c r="B1283" s="301"/>
      <c r="C1283" s="153">
        <v>6</v>
      </c>
      <c r="D1283" s="183" t="s">
        <v>1135</v>
      </c>
      <c r="E1283" s="153" t="s">
        <v>2874</v>
      </c>
      <c r="F1283" s="152" t="s">
        <v>4907</v>
      </c>
      <c r="K1283" s="8"/>
      <c r="L1283" s="8"/>
      <c r="M1283" s="8"/>
      <c r="N1283" s="8"/>
      <c r="O1283" s="8"/>
      <c r="P1283" s="8"/>
    </row>
    <row r="1284" spans="1:16" ht="15" customHeight="1">
      <c r="A1284" s="301"/>
      <c r="B1284" s="301"/>
      <c r="C1284" s="182">
        <v>9</v>
      </c>
      <c r="D1284" s="183" t="s">
        <v>4362</v>
      </c>
      <c r="E1284" s="182" t="s">
        <v>1123</v>
      </c>
      <c r="F1284" s="216" t="s">
        <v>4393</v>
      </c>
      <c r="K1284" s="8"/>
      <c r="L1284" s="8"/>
      <c r="M1284" s="8"/>
      <c r="N1284" s="8"/>
      <c r="O1284" s="8"/>
      <c r="P1284" s="8"/>
    </row>
    <row r="1285" spans="1:16" ht="15" customHeight="1">
      <c r="A1285" s="301"/>
      <c r="B1285" s="301"/>
      <c r="C1285" s="153">
        <v>10</v>
      </c>
      <c r="D1285" s="152" t="s">
        <v>1131</v>
      </c>
      <c r="E1285" s="153" t="s">
        <v>669</v>
      </c>
      <c r="F1285" s="152" t="s">
        <v>4367</v>
      </c>
      <c r="K1285" s="8"/>
      <c r="L1285" s="8"/>
      <c r="M1285" s="8"/>
      <c r="N1285" s="8"/>
      <c r="O1285" s="8"/>
      <c r="P1285" s="8"/>
    </row>
    <row r="1286" spans="1:16" ht="15" customHeight="1">
      <c r="A1286" s="301"/>
      <c r="B1286" s="301"/>
      <c r="C1286" s="153">
        <v>11</v>
      </c>
      <c r="D1286" s="152" t="s">
        <v>1130</v>
      </c>
      <c r="E1286" s="153" t="s">
        <v>669</v>
      </c>
      <c r="F1286" s="152" t="s">
        <v>4370</v>
      </c>
      <c r="K1286" s="8"/>
      <c r="L1286" s="8"/>
      <c r="M1286" s="8"/>
      <c r="N1286" s="8"/>
      <c r="O1286" s="8"/>
      <c r="P1286" s="8"/>
    </row>
    <row r="1287" spans="1:16" ht="15" customHeight="1">
      <c r="A1287" s="301"/>
      <c r="B1287" s="301"/>
      <c r="C1287" s="153">
        <v>12</v>
      </c>
      <c r="D1287" s="152" t="s">
        <v>1129</v>
      </c>
      <c r="E1287" s="153" t="s">
        <v>669</v>
      </c>
      <c r="F1287" s="152" t="s">
        <v>4368</v>
      </c>
      <c r="K1287" s="8"/>
      <c r="L1287" s="8"/>
      <c r="M1287" s="8"/>
      <c r="N1287" s="8"/>
      <c r="O1287" s="8"/>
      <c r="P1287" s="8"/>
    </row>
    <row r="1288" spans="1:16" ht="15" customHeight="1">
      <c r="A1288" s="301"/>
      <c r="B1288" s="301"/>
      <c r="C1288" s="153">
        <v>13</v>
      </c>
      <c r="D1288" s="152" t="s">
        <v>1128</v>
      </c>
      <c r="E1288" s="153" t="s">
        <v>2874</v>
      </c>
      <c r="F1288" s="152" t="s">
        <v>4369</v>
      </c>
      <c r="K1288" s="8"/>
      <c r="L1288" s="8"/>
      <c r="M1288" s="8"/>
      <c r="N1288" s="8"/>
      <c r="O1288" s="8"/>
      <c r="P1288" s="8"/>
    </row>
    <row r="1289" spans="1:16" ht="15" customHeight="1">
      <c r="A1289" s="302"/>
      <c r="B1289" s="302"/>
      <c r="C1289" s="182">
        <v>14</v>
      </c>
      <c r="D1289" s="183" t="s">
        <v>4364</v>
      </c>
      <c r="E1289" s="182" t="s">
        <v>669</v>
      </c>
      <c r="F1289" s="183" t="s">
        <v>4813</v>
      </c>
      <c r="K1289" s="8"/>
      <c r="L1289" s="8"/>
      <c r="M1289" s="8"/>
      <c r="N1289" s="8"/>
      <c r="O1289" s="8"/>
      <c r="P1289" s="8"/>
    </row>
    <row r="1290" spans="1:16" ht="15" customHeight="1">
      <c r="A1290" s="274" t="s">
        <v>4372</v>
      </c>
      <c r="B1290" s="274" t="s">
        <v>4371</v>
      </c>
      <c r="C1290" s="151">
        <v>0</v>
      </c>
      <c r="D1290" s="171" t="s">
        <v>4314</v>
      </c>
      <c r="E1290" s="170" t="s">
        <v>669</v>
      </c>
      <c r="F1290" s="171" t="s">
        <v>2920</v>
      </c>
      <c r="K1290" s="8"/>
      <c r="L1290" s="8"/>
      <c r="M1290" s="8"/>
      <c r="N1290" s="8"/>
      <c r="O1290" s="8"/>
      <c r="P1290" s="8"/>
    </row>
    <row r="1291" spans="1:16" ht="15" customHeight="1">
      <c r="A1291" s="299"/>
      <c r="B1291" s="299"/>
      <c r="C1291" s="151">
        <v>5</v>
      </c>
      <c r="D1291" s="175" t="s">
        <v>1118</v>
      </c>
      <c r="E1291" s="170" t="s">
        <v>2874</v>
      </c>
      <c r="F1291" s="213" t="s">
        <v>4916</v>
      </c>
      <c r="K1291" s="8"/>
      <c r="L1291" s="8"/>
      <c r="M1291" s="8"/>
      <c r="N1291" s="8"/>
      <c r="O1291" s="8"/>
      <c r="P1291" s="8"/>
    </row>
    <row r="1292" spans="1:16" ht="15" customHeight="1">
      <c r="A1292" s="299"/>
      <c r="B1292" s="299"/>
      <c r="C1292" s="151">
        <v>9</v>
      </c>
      <c r="D1292" s="175" t="s">
        <v>1117</v>
      </c>
      <c r="E1292" s="170" t="s">
        <v>2874</v>
      </c>
      <c r="F1292" s="215" t="s">
        <v>4963</v>
      </c>
      <c r="K1292" s="8"/>
      <c r="L1292" s="8"/>
      <c r="M1292" s="8"/>
      <c r="N1292" s="8"/>
      <c r="O1292" s="8"/>
      <c r="P1292" s="8"/>
    </row>
    <row r="1293" spans="1:16" ht="15" customHeight="1">
      <c r="A1293" s="299"/>
      <c r="B1293" s="299"/>
      <c r="C1293" s="151">
        <v>10</v>
      </c>
      <c r="D1293" s="171" t="s">
        <v>1116</v>
      </c>
      <c r="E1293" s="170" t="s">
        <v>669</v>
      </c>
      <c r="F1293" s="171" t="s">
        <v>4373</v>
      </c>
      <c r="K1293" s="8"/>
      <c r="L1293" s="8"/>
      <c r="M1293" s="8"/>
      <c r="N1293" s="8"/>
      <c r="O1293" s="8"/>
      <c r="P1293" s="8"/>
    </row>
    <row r="1294" spans="1:16" ht="15" customHeight="1">
      <c r="A1294" s="299"/>
      <c r="B1294" s="299"/>
      <c r="C1294" s="151">
        <v>11</v>
      </c>
      <c r="D1294" s="171" t="s">
        <v>1115</v>
      </c>
      <c r="E1294" s="170" t="s">
        <v>669</v>
      </c>
      <c r="F1294" s="171" t="s">
        <v>4374</v>
      </c>
      <c r="K1294" s="8"/>
      <c r="L1294" s="8"/>
      <c r="M1294" s="8"/>
      <c r="N1294" s="8"/>
      <c r="O1294" s="8"/>
      <c r="P1294" s="8"/>
    </row>
    <row r="1295" spans="1:16" ht="15" customHeight="1">
      <c r="A1295" s="299"/>
      <c r="B1295" s="299"/>
      <c r="C1295" s="151">
        <v>12</v>
      </c>
      <c r="D1295" s="171" t="s">
        <v>1114</v>
      </c>
      <c r="E1295" s="170" t="s">
        <v>669</v>
      </c>
      <c r="F1295" s="171" t="s">
        <v>4375</v>
      </c>
      <c r="K1295" s="8"/>
      <c r="L1295" s="8"/>
      <c r="M1295" s="8"/>
      <c r="N1295" s="8"/>
      <c r="O1295" s="8"/>
      <c r="P1295" s="8"/>
    </row>
    <row r="1296" spans="1:16" ht="15" customHeight="1">
      <c r="A1296" s="275"/>
      <c r="B1296" s="275"/>
      <c r="C1296" s="151">
        <v>13</v>
      </c>
      <c r="D1296" s="171" t="s">
        <v>1113</v>
      </c>
      <c r="E1296" s="170" t="s">
        <v>1123</v>
      </c>
      <c r="F1296" s="171" t="s">
        <v>4376</v>
      </c>
      <c r="K1296" s="8"/>
      <c r="L1296" s="8"/>
      <c r="M1296" s="8"/>
      <c r="N1296" s="8"/>
      <c r="O1296" s="8"/>
      <c r="P1296" s="8"/>
    </row>
    <row r="1297" spans="1:16" ht="15" customHeight="1">
      <c r="A1297" s="188" t="s">
        <v>1112</v>
      </c>
      <c r="B1297" s="198" t="s">
        <v>330</v>
      </c>
      <c r="C1297" s="153" t="s">
        <v>2852</v>
      </c>
      <c r="D1297" s="152" t="s">
        <v>330</v>
      </c>
      <c r="E1297" s="153" t="s">
        <v>505</v>
      </c>
      <c r="F1297" s="152" t="s">
        <v>2922</v>
      </c>
      <c r="K1297" s="8"/>
      <c r="L1297" s="8"/>
      <c r="M1297" s="8"/>
      <c r="N1297" s="8"/>
      <c r="O1297" s="8"/>
      <c r="P1297" s="8"/>
    </row>
    <row r="1298" spans="1:16" ht="15" customHeight="1">
      <c r="A1298" s="155" t="s">
        <v>2921</v>
      </c>
      <c r="B1298" s="154"/>
      <c r="C1298" s="159"/>
      <c r="D1298" s="154"/>
      <c r="E1298" s="155"/>
      <c r="F1298" s="158"/>
      <c r="K1298" s="8"/>
      <c r="L1298" s="8"/>
      <c r="M1298" s="8"/>
      <c r="N1298" s="8"/>
      <c r="O1298" s="8"/>
      <c r="P1298" s="8"/>
    </row>
    <row r="1299" spans="1:16" ht="15" customHeight="1">
      <c r="A1299" s="182" t="s">
        <v>1109</v>
      </c>
      <c r="B1299" s="152" t="s">
        <v>678</v>
      </c>
      <c r="C1299" s="153" t="s">
        <v>2852</v>
      </c>
      <c r="D1299" s="152" t="s">
        <v>1108</v>
      </c>
      <c r="E1299" s="153" t="s">
        <v>669</v>
      </c>
      <c r="F1299" s="152" t="s">
        <v>2919</v>
      </c>
      <c r="G1299" s="116"/>
      <c r="H1299" s="116"/>
      <c r="K1299" s="8"/>
      <c r="L1299" s="8"/>
      <c r="M1299" s="8"/>
      <c r="N1299" s="8"/>
      <c r="O1299" s="8"/>
      <c r="P1299" s="8"/>
    </row>
    <row r="1300" spans="1:16" ht="15" customHeight="1">
      <c r="A1300" s="195" t="s">
        <v>1107</v>
      </c>
      <c r="B1300" s="150" t="s">
        <v>710</v>
      </c>
      <c r="C1300" s="151" t="s">
        <v>2852</v>
      </c>
      <c r="D1300" s="171" t="s">
        <v>1106</v>
      </c>
      <c r="E1300" s="170" t="s">
        <v>669</v>
      </c>
      <c r="F1300" s="171" t="s">
        <v>2918</v>
      </c>
      <c r="K1300" s="8"/>
      <c r="L1300" s="8"/>
      <c r="M1300" s="8"/>
      <c r="N1300" s="8"/>
      <c r="O1300" s="8"/>
      <c r="P1300" s="8"/>
    </row>
    <row r="1301" spans="1:16" ht="15" customHeight="1">
      <c r="A1301" s="182" t="s">
        <v>1105</v>
      </c>
      <c r="B1301" s="152" t="s">
        <v>628</v>
      </c>
      <c r="C1301" s="153" t="s">
        <v>2852</v>
      </c>
      <c r="D1301" s="152" t="s">
        <v>1103</v>
      </c>
      <c r="E1301" s="153" t="s">
        <v>1123</v>
      </c>
      <c r="F1301" s="152" t="s">
        <v>2917</v>
      </c>
      <c r="K1301" s="8"/>
      <c r="L1301" s="8"/>
      <c r="M1301" s="8"/>
      <c r="N1301" s="8"/>
      <c r="O1301" s="8"/>
      <c r="P1301" s="8"/>
    </row>
    <row r="1302" spans="1:16" ht="33.75" customHeight="1">
      <c r="A1302" s="195" t="s">
        <v>1102</v>
      </c>
      <c r="B1302" s="150" t="s">
        <v>611</v>
      </c>
      <c r="C1302" s="151" t="s">
        <v>2852</v>
      </c>
      <c r="D1302" s="171" t="s">
        <v>1101</v>
      </c>
      <c r="E1302" s="170" t="s">
        <v>1123</v>
      </c>
      <c r="F1302" s="171" t="s">
        <v>4489</v>
      </c>
      <c r="K1302" s="8"/>
      <c r="L1302" s="8"/>
      <c r="M1302" s="8"/>
      <c r="N1302" s="8"/>
      <c r="O1302" s="8"/>
      <c r="P1302" s="8"/>
    </row>
    <row r="1303" spans="1:16" ht="15" customHeight="1">
      <c r="A1303" s="182" t="s">
        <v>1100</v>
      </c>
      <c r="B1303" s="152" t="s">
        <v>644</v>
      </c>
      <c r="C1303" s="153" t="s">
        <v>2852</v>
      </c>
      <c r="D1303" s="152" t="s">
        <v>1099</v>
      </c>
      <c r="E1303" s="153" t="s">
        <v>1123</v>
      </c>
      <c r="F1303" s="152" t="s">
        <v>2913</v>
      </c>
      <c r="K1303" s="8"/>
      <c r="L1303" s="8"/>
      <c r="M1303" s="8"/>
      <c r="N1303" s="8"/>
      <c r="O1303" s="8"/>
      <c r="P1303" s="8"/>
    </row>
    <row r="1304" spans="1:16" ht="15" customHeight="1">
      <c r="A1304" s="195" t="s">
        <v>1098</v>
      </c>
      <c r="B1304" s="150" t="s">
        <v>677</v>
      </c>
      <c r="C1304" s="151" t="s">
        <v>2852</v>
      </c>
      <c r="D1304" s="171" t="s">
        <v>1097</v>
      </c>
      <c r="E1304" s="170" t="s">
        <v>669</v>
      </c>
      <c r="F1304" s="171" t="s">
        <v>2916</v>
      </c>
      <c r="K1304" s="8"/>
      <c r="L1304" s="8"/>
      <c r="M1304" s="8"/>
      <c r="N1304" s="8"/>
      <c r="O1304" s="8"/>
      <c r="P1304" s="8"/>
    </row>
    <row r="1305" spans="1:16" ht="15" customHeight="1">
      <c r="A1305" s="182" t="s">
        <v>1096</v>
      </c>
      <c r="B1305" s="152" t="s">
        <v>709</v>
      </c>
      <c r="C1305" s="153" t="s">
        <v>2852</v>
      </c>
      <c r="D1305" s="152" t="s">
        <v>1095</v>
      </c>
      <c r="E1305" s="153" t="s">
        <v>669</v>
      </c>
      <c r="F1305" s="152" t="s">
        <v>2915</v>
      </c>
      <c r="K1305" s="8"/>
      <c r="L1305" s="8"/>
      <c r="M1305" s="8"/>
      <c r="N1305" s="8"/>
      <c r="O1305" s="8"/>
      <c r="P1305" s="8"/>
    </row>
    <row r="1306" spans="1:16" ht="15" customHeight="1">
      <c r="A1306" s="195" t="s">
        <v>1094</v>
      </c>
      <c r="B1306" s="150" t="s">
        <v>708</v>
      </c>
      <c r="C1306" s="151" t="s">
        <v>2852</v>
      </c>
      <c r="D1306" s="171" t="s">
        <v>1092</v>
      </c>
      <c r="E1306" s="170" t="s">
        <v>1123</v>
      </c>
      <c r="F1306" s="171" t="s">
        <v>2914</v>
      </c>
      <c r="K1306" s="8"/>
      <c r="L1306" s="8"/>
      <c r="M1306" s="8"/>
      <c r="N1306" s="8"/>
      <c r="O1306" s="8"/>
      <c r="P1306" s="8"/>
    </row>
    <row r="1307" spans="1:16" ht="31.5" customHeight="1">
      <c r="A1307" s="182" t="s">
        <v>1091</v>
      </c>
      <c r="B1307" s="152" t="s">
        <v>675</v>
      </c>
      <c r="C1307" s="153" t="s">
        <v>2852</v>
      </c>
      <c r="D1307" s="152" t="s">
        <v>1089</v>
      </c>
      <c r="E1307" s="153" t="s">
        <v>1123</v>
      </c>
      <c r="F1307" s="152" t="s">
        <v>4490</v>
      </c>
      <c r="K1307" s="8"/>
      <c r="L1307" s="8"/>
      <c r="M1307" s="8"/>
      <c r="N1307" s="8"/>
      <c r="O1307" s="8"/>
      <c r="P1307" s="8"/>
    </row>
    <row r="1308" spans="1:16" ht="15" customHeight="1">
      <c r="A1308" s="195" t="s">
        <v>1088</v>
      </c>
      <c r="B1308" s="150" t="s">
        <v>593</v>
      </c>
      <c r="C1308" s="151" t="s">
        <v>2852</v>
      </c>
      <c r="D1308" s="171" t="s">
        <v>1087</v>
      </c>
      <c r="E1308" s="170" t="s">
        <v>1123</v>
      </c>
      <c r="F1308" s="171" t="s">
        <v>2913</v>
      </c>
      <c r="K1308" s="8"/>
      <c r="L1308" s="8"/>
      <c r="M1308" s="8"/>
      <c r="N1308" s="8"/>
      <c r="O1308" s="8"/>
      <c r="P1308" s="8"/>
    </row>
    <row r="1309" spans="1:16" ht="15" customHeight="1">
      <c r="A1309" s="182" t="s">
        <v>1086</v>
      </c>
      <c r="B1309" s="152" t="s">
        <v>557</v>
      </c>
      <c r="C1309" s="153" t="s">
        <v>2852</v>
      </c>
      <c r="D1309" s="152" t="s">
        <v>2912</v>
      </c>
      <c r="E1309" s="153" t="s">
        <v>505</v>
      </c>
      <c r="F1309" s="152" t="s">
        <v>2911</v>
      </c>
      <c r="K1309" s="8"/>
      <c r="L1309" s="8"/>
      <c r="M1309" s="8"/>
      <c r="N1309" s="8"/>
      <c r="O1309" s="8"/>
      <c r="P1309" s="8"/>
    </row>
    <row r="1310" spans="1:16" ht="15" customHeight="1">
      <c r="A1310" s="195" t="s">
        <v>1085</v>
      </c>
      <c r="B1310" s="150" t="s">
        <v>558</v>
      </c>
      <c r="C1310" s="151" t="s">
        <v>2852</v>
      </c>
      <c r="D1310" s="171" t="s">
        <v>2910</v>
      </c>
      <c r="E1310" s="170" t="s">
        <v>505</v>
      </c>
      <c r="F1310" s="171" t="s">
        <v>2909</v>
      </c>
      <c r="K1310" s="8"/>
      <c r="L1310" s="8"/>
      <c r="M1310" s="8"/>
      <c r="N1310" s="8"/>
      <c r="O1310" s="8"/>
      <c r="P1310" s="8"/>
    </row>
    <row r="1311" spans="1:16" ht="15" customHeight="1">
      <c r="A1311" s="182" t="s">
        <v>1084</v>
      </c>
      <c r="B1311" s="152" t="s">
        <v>556</v>
      </c>
      <c r="C1311" s="153" t="s">
        <v>2852</v>
      </c>
      <c r="D1311" s="152" t="s">
        <v>2908</v>
      </c>
      <c r="E1311" s="153" t="s">
        <v>505</v>
      </c>
      <c r="F1311" s="152" t="s">
        <v>2907</v>
      </c>
      <c r="K1311" s="8"/>
      <c r="L1311" s="8"/>
      <c r="M1311" s="8"/>
      <c r="N1311" s="8"/>
      <c r="O1311" s="8"/>
      <c r="P1311" s="8"/>
    </row>
    <row r="1312" spans="1:16" ht="15" customHeight="1">
      <c r="A1312" s="155" t="s">
        <v>4491</v>
      </c>
      <c r="B1312" s="154"/>
      <c r="C1312" s="155"/>
      <c r="D1312" s="154"/>
      <c r="E1312" s="155"/>
      <c r="F1312" s="154"/>
      <c r="K1312" s="8"/>
      <c r="L1312" s="8"/>
      <c r="M1312" s="8"/>
      <c r="N1312" s="8"/>
      <c r="O1312" s="8"/>
      <c r="P1312" s="8"/>
    </row>
    <row r="1313" spans="1:16" ht="15" customHeight="1">
      <c r="A1313" s="182" t="s">
        <v>1081</v>
      </c>
      <c r="B1313" s="202" t="s">
        <v>591</v>
      </c>
      <c r="C1313" s="153" t="s">
        <v>2852</v>
      </c>
      <c r="D1313" s="202" t="s">
        <v>591</v>
      </c>
      <c r="E1313" s="153" t="s">
        <v>669</v>
      </c>
      <c r="F1313" s="152" t="s">
        <v>2906</v>
      </c>
      <c r="K1313" s="8"/>
      <c r="L1313" s="8"/>
      <c r="M1313" s="8"/>
      <c r="N1313" s="8"/>
      <c r="O1313" s="8"/>
      <c r="P1313" s="8"/>
    </row>
    <row r="1314" spans="1:16" ht="15" customHeight="1">
      <c r="A1314" s="195" t="s">
        <v>1080</v>
      </c>
      <c r="B1314" s="204" t="s">
        <v>590</v>
      </c>
      <c r="C1314" s="151" t="s">
        <v>2852</v>
      </c>
      <c r="D1314" s="171" t="s">
        <v>1079</v>
      </c>
      <c r="E1314" s="170" t="s">
        <v>669</v>
      </c>
      <c r="F1314" s="171" t="s">
        <v>2905</v>
      </c>
      <c r="K1314" s="8"/>
      <c r="L1314" s="8"/>
      <c r="M1314" s="8"/>
      <c r="N1314" s="8"/>
      <c r="O1314" s="8"/>
      <c r="P1314" s="8"/>
    </row>
    <row r="1315" spans="1:16" ht="15" customHeight="1">
      <c r="A1315" s="287" t="s">
        <v>1078</v>
      </c>
      <c r="B1315" s="296" t="s">
        <v>4565</v>
      </c>
      <c r="C1315" s="153" t="s">
        <v>2852</v>
      </c>
      <c r="D1315" s="183" t="s">
        <v>4558</v>
      </c>
      <c r="E1315" s="153" t="s">
        <v>2874</v>
      </c>
      <c r="F1315" s="152" t="s">
        <v>2904</v>
      </c>
      <c r="I1315" s="157"/>
      <c r="K1315" s="8"/>
      <c r="L1315" s="8"/>
      <c r="M1315" s="8"/>
      <c r="N1315" s="8"/>
      <c r="O1315" s="8"/>
      <c r="P1315" s="8"/>
    </row>
    <row r="1316" spans="1:16" ht="15" customHeight="1">
      <c r="A1316" s="287"/>
      <c r="B1316" s="296"/>
      <c r="C1316" s="153" t="s">
        <v>753</v>
      </c>
      <c r="D1316" s="183" t="s">
        <v>4566</v>
      </c>
      <c r="E1316" s="153" t="s">
        <v>2874</v>
      </c>
      <c r="F1316" s="152" t="s">
        <v>2903</v>
      </c>
      <c r="G1316" s="157"/>
      <c r="H1316" s="157"/>
      <c r="K1316" s="8"/>
      <c r="L1316" s="8"/>
      <c r="M1316" s="8"/>
      <c r="N1316" s="8"/>
      <c r="O1316" s="8"/>
      <c r="P1316" s="8"/>
    </row>
    <row r="1317" spans="1:16" ht="15" customHeight="1">
      <c r="A1317" s="287"/>
      <c r="B1317" s="296"/>
      <c r="C1317" s="182" t="s">
        <v>753</v>
      </c>
      <c r="D1317" s="183" t="s">
        <v>4513</v>
      </c>
      <c r="E1317" s="182" t="s">
        <v>2874</v>
      </c>
      <c r="F1317" s="183" t="s">
        <v>4515</v>
      </c>
      <c r="G1317" s="157"/>
      <c r="H1317" s="157"/>
      <c r="K1317" s="8"/>
      <c r="L1317" s="8"/>
      <c r="M1317" s="8"/>
      <c r="N1317" s="8"/>
      <c r="O1317" s="8"/>
      <c r="P1317" s="8"/>
    </row>
    <row r="1318" spans="1:16" ht="15" customHeight="1">
      <c r="A1318" s="286" t="s">
        <v>1077</v>
      </c>
      <c r="B1318" s="297" t="s">
        <v>4567</v>
      </c>
      <c r="C1318" s="151" t="s">
        <v>753</v>
      </c>
      <c r="D1318" s="175" t="s">
        <v>4559</v>
      </c>
      <c r="E1318" s="170" t="s">
        <v>2874</v>
      </c>
      <c r="F1318" s="171" t="s">
        <v>2902</v>
      </c>
      <c r="I1318" s="157"/>
      <c r="K1318" s="8"/>
      <c r="L1318" s="8"/>
      <c r="M1318" s="8"/>
      <c r="N1318" s="8"/>
      <c r="O1318" s="8"/>
      <c r="P1318" s="8"/>
    </row>
    <row r="1319" spans="1:16" ht="15" customHeight="1">
      <c r="A1319" s="286"/>
      <c r="B1319" s="297"/>
      <c r="C1319" s="151" t="s">
        <v>753</v>
      </c>
      <c r="D1319" s="175" t="s">
        <v>4568</v>
      </c>
      <c r="E1319" s="170" t="s">
        <v>2874</v>
      </c>
      <c r="F1319" s="171" t="s">
        <v>2901</v>
      </c>
      <c r="G1319" s="157"/>
      <c r="H1319" s="157"/>
      <c r="K1319" s="8"/>
      <c r="L1319" s="8"/>
      <c r="M1319" s="8"/>
      <c r="N1319" s="8"/>
      <c r="O1319" s="8"/>
      <c r="P1319" s="8"/>
    </row>
    <row r="1320" spans="1:16" ht="15" customHeight="1">
      <c r="A1320" s="286"/>
      <c r="B1320" s="297"/>
      <c r="C1320" s="195" t="s">
        <v>753</v>
      </c>
      <c r="D1320" s="175" t="s">
        <v>4516</v>
      </c>
      <c r="E1320" s="195" t="s">
        <v>2874</v>
      </c>
      <c r="F1320" s="175" t="s">
        <v>4551</v>
      </c>
      <c r="G1320" s="157"/>
      <c r="H1320" s="157"/>
      <c r="K1320" s="8"/>
      <c r="L1320" s="8"/>
      <c r="M1320" s="8"/>
      <c r="N1320" s="8"/>
      <c r="O1320" s="8"/>
      <c r="P1320" s="8"/>
    </row>
    <row r="1321" spans="1:16" ht="15" customHeight="1">
      <c r="A1321" s="284" t="s">
        <v>1076</v>
      </c>
      <c r="B1321" s="298" t="s">
        <v>4560</v>
      </c>
      <c r="C1321" s="153" t="s">
        <v>753</v>
      </c>
      <c r="D1321" s="183" t="s">
        <v>4561</v>
      </c>
      <c r="E1321" s="153" t="s">
        <v>1123</v>
      </c>
      <c r="F1321" s="152" t="s">
        <v>2900</v>
      </c>
      <c r="I1321" s="157"/>
      <c r="K1321" s="8"/>
      <c r="L1321" s="8"/>
      <c r="M1321" s="8"/>
      <c r="N1321" s="8"/>
      <c r="O1321" s="8"/>
      <c r="P1321" s="8"/>
    </row>
    <row r="1322" spans="1:16" ht="15" customHeight="1">
      <c r="A1322" s="284"/>
      <c r="B1322" s="298"/>
      <c r="C1322" s="153" t="s">
        <v>753</v>
      </c>
      <c r="D1322" s="183" t="s">
        <v>4563</v>
      </c>
      <c r="E1322" s="153" t="s">
        <v>1123</v>
      </c>
      <c r="F1322" s="152" t="s">
        <v>2899</v>
      </c>
      <c r="G1322" s="157"/>
      <c r="H1322" s="157"/>
      <c r="K1322" s="8"/>
      <c r="L1322" s="8"/>
      <c r="M1322" s="8"/>
      <c r="N1322" s="8"/>
      <c r="O1322" s="8"/>
      <c r="P1322" s="8"/>
    </row>
    <row r="1323" spans="1:16" ht="15" customHeight="1">
      <c r="A1323" s="284"/>
      <c r="B1323" s="298"/>
      <c r="C1323" s="182" t="s">
        <v>753</v>
      </c>
      <c r="D1323" s="183" t="s">
        <v>4518</v>
      </c>
      <c r="E1323" s="182" t="s">
        <v>1123</v>
      </c>
      <c r="F1323" s="183" t="s">
        <v>4519</v>
      </c>
      <c r="G1323" s="157"/>
      <c r="H1323" s="157"/>
      <c r="K1323" s="8"/>
      <c r="L1323" s="8"/>
      <c r="M1323" s="8"/>
      <c r="N1323" s="8"/>
      <c r="O1323" s="8"/>
      <c r="P1323" s="8"/>
    </row>
    <row r="1324" spans="1:16" ht="15" customHeight="1">
      <c r="A1324" s="286" t="s">
        <v>1075</v>
      </c>
      <c r="B1324" s="297" t="s">
        <v>4520</v>
      </c>
      <c r="C1324" s="151" t="s">
        <v>753</v>
      </c>
      <c r="D1324" s="175" t="s">
        <v>4562</v>
      </c>
      <c r="E1324" s="170" t="s">
        <v>1123</v>
      </c>
      <c r="F1324" s="171" t="s">
        <v>2898</v>
      </c>
      <c r="I1324" s="157"/>
      <c r="K1324" s="8"/>
      <c r="L1324" s="8"/>
      <c r="M1324" s="8"/>
      <c r="N1324" s="8"/>
      <c r="O1324" s="8"/>
      <c r="P1324" s="8"/>
    </row>
    <row r="1325" spans="1:16" ht="15" customHeight="1">
      <c r="A1325" s="286"/>
      <c r="B1325" s="297"/>
      <c r="C1325" s="151" t="s">
        <v>753</v>
      </c>
      <c r="D1325" s="175" t="s">
        <v>4564</v>
      </c>
      <c r="E1325" s="170" t="s">
        <v>1123</v>
      </c>
      <c r="F1325" s="171" t="s">
        <v>2897</v>
      </c>
      <c r="G1325" s="157"/>
      <c r="H1325" s="157"/>
      <c r="K1325" s="8"/>
      <c r="L1325" s="8"/>
      <c r="M1325" s="8"/>
      <c r="N1325" s="8"/>
      <c r="O1325" s="8"/>
      <c r="P1325" s="8"/>
    </row>
    <row r="1326" spans="1:16" ht="15" customHeight="1">
      <c r="A1326" s="286"/>
      <c r="B1326" s="297"/>
      <c r="C1326" s="195" t="s">
        <v>753</v>
      </c>
      <c r="D1326" s="175" t="s">
        <v>4521</v>
      </c>
      <c r="E1326" s="195" t="s">
        <v>1123</v>
      </c>
      <c r="F1326" s="175" t="s">
        <v>4523</v>
      </c>
      <c r="G1326" s="157"/>
      <c r="H1326" s="157"/>
      <c r="K1326" s="8"/>
      <c r="L1326" s="8"/>
      <c r="M1326" s="8"/>
      <c r="N1326" s="8"/>
      <c r="O1326" s="8"/>
      <c r="P1326" s="8"/>
    </row>
    <row r="1327" spans="1:16" ht="33.75" customHeight="1">
      <c r="A1327" s="182" t="s">
        <v>1074</v>
      </c>
      <c r="B1327" s="202" t="s">
        <v>4552</v>
      </c>
      <c r="C1327" s="153" t="s">
        <v>753</v>
      </c>
      <c r="D1327" s="183" t="s">
        <v>510</v>
      </c>
      <c r="E1327" s="153" t="s">
        <v>505</v>
      </c>
      <c r="F1327" s="152" t="s">
        <v>4524</v>
      </c>
      <c r="K1327" s="8"/>
      <c r="L1327" s="8"/>
      <c r="M1327" s="8"/>
      <c r="N1327" s="8"/>
      <c r="O1327" s="8"/>
      <c r="P1327" s="8"/>
    </row>
    <row r="1328" spans="1:16" ht="15" customHeight="1">
      <c r="A1328" s="194" t="s">
        <v>1073</v>
      </c>
      <c r="B1328" s="209" t="s">
        <v>4553</v>
      </c>
      <c r="C1328" s="151" t="s">
        <v>753</v>
      </c>
      <c r="D1328" s="175" t="s">
        <v>509</v>
      </c>
      <c r="E1328" s="170" t="s">
        <v>505</v>
      </c>
      <c r="F1328" s="171" t="s">
        <v>4525</v>
      </c>
      <c r="K1328" s="8"/>
      <c r="L1328" s="8"/>
      <c r="M1328" s="8"/>
      <c r="N1328" s="8"/>
      <c r="O1328" s="8"/>
      <c r="P1328" s="8"/>
    </row>
    <row r="1329" spans="1:16" ht="15" customHeight="1">
      <c r="A1329" s="193" t="s">
        <v>1072</v>
      </c>
      <c r="B1329" s="208" t="s">
        <v>573</v>
      </c>
      <c r="C1329" s="153" t="s">
        <v>753</v>
      </c>
      <c r="D1329" s="208" t="s">
        <v>573</v>
      </c>
      <c r="E1329" s="153" t="s">
        <v>669</v>
      </c>
      <c r="F1329" s="152" t="s">
        <v>4526</v>
      </c>
      <c r="K1329" s="8"/>
      <c r="L1329" s="8"/>
      <c r="M1329" s="8"/>
      <c r="N1329" s="8"/>
      <c r="O1329" s="8"/>
      <c r="P1329" s="8"/>
    </row>
    <row r="1330" spans="1:16" ht="15" customHeight="1">
      <c r="A1330" s="195" t="s">
        <v>1071</v>
      </c>
      <c r="B1330" s="204" t="s">
        <v>572</v>
      </c>
      <c r="C1330" s="151" t="s">
        <v>753</v>
      </c>
      <c r="D1330" s="171" t="s">
        <v>4512</v>
      </c>
      <c r="E1330" s="170" t="s">
        <v>669</v>
      </c>
      <c r="F1330" s="171" t="s">
        <v>4527</v>
      </c>
      <c r="K1330" s="8"/>
      <c r="L1330" s="8"/>
      <c r="M1330" s="8"/>
      <c r="N1330" s="8"/>
      <c r="O1330" s="8"/>
      <c r="P1330" s="8"/>
    </row>
    <row r="1331" spans="1:16" ht="15" customHeight="1">
      <c r="A1331" s="287" t="s">
        <v>1070</v>
      </c>
      <c r="B1331" s="296" t="s">
        <v>4509</v>
      </c>
      <c r="C1331" s="153" t="s">
        <v>753</v>
      </c>
      <c r="D1331" s="183" t="s">
        <v>4507</v>
      </c>
      <c r="E1331" s="153" t="s">
        <v>2874</v>
      </c>
      <c r="F1331" s="152" t="s">
        <v>4510</v>
      </c>
      <c r="I1331" s="157"/>
      <c r="K1331" s="8"/>
      <c r="L1331" s="8"/>
      <c r="M1331" s="8"/>
      <c r="N1331" s="8"/>
      <c r="O1331" s="8"/>
      <c r="P1331" s="8"/>
    </row>
    <row r="1332" spans="1:16" ht="15" customHeight="1">
      <c r="A1332" s="287"/>
      <c r="B1332" s="296"/>
      <c r="C1332" s="153" t="s">
        <v>753</v>
      </c>
      <c r="D1332" s="183" t="s">
        <v>4508</v>
      </c>
      <c r="E1332" s="153" t="s">
        <v>2874</v>
      </c>
      <c r="F1332" s="152" t="s">
        <v>4511</v>
      </c>
      <c r="G1332" s="157"/>
      <c r="H1332" s="157"/>
      <c r="K1332" s="8"/>
      <c r="L1332" s="8"/>
      <c r="M1332" s="8"/>
      <c r="N1332" s="8"/>
      <c r="O1332" s="8"/>
      <c r="P1332" s="8"/>
    </row>
    <row r="1333" spans="1:16" ht="15" customHeight="1">
      <c r="A1333" s="287"/>
      <c r="B1333" s="296"/>
      <c r="C1333" s="153" t="s">
        <v>753</v>
      </c>
      <c r="D1333" s="183" t="s">
        <v>3422</v>
      </c>
      <c r="E1333" s="153" t="s">
        <v>2874</v>
      </c>
      <c r="F1333" s="152" t="s">
        <v>4514</v>
      </c>
      <c r="G1333" s="157"/>
      <c r="H1333" s="157"/>
      <c r="K1333" s="8"/>
      <c r="L1333" s="8"/>
      <c r="M1333" s="8"/>
      <c r="N1333" s="8"/>
      <c r="O1333" s="8"/>
      <c r="P1333" s="8"/>
    </row>
    <row r="1334" spans="1:16" ht="15" customHeight="1">
      <c r="A1334" s="286" t="s">
        <v>1069</v>
      </c>
      <c r="B1334" s="297" t="s">
        <v>4505</v>
      </c>
      <c r="C1334" s="151" t="s">
        <v>753</v>
      </c>
      <c r="D1334" s="175" t="s">
        <v>4503</v>
      </c>
      <c r="E1334" s="170" t="s">
        <v>2874</v>
      </c>
      <c r="F1334" s="171" t="s">
        <v>4537</v>
      </c>
      <c r="I1334" s="157"/>
      <c r="K1334" s="8"/>
      <c r="L1334" s="8"/>
      <c r="M1334" s="8"/>
      <c r="N1334" s="8"/>
      <c r="O1334" s="8"/>
      <c r="P1334" s="8"/>
    </row>
    <row r="1335" spans="1:16" ht="15" customHeight="1">
      <c r="A1335" s="286"/>
      <c r="B1335" s="297"/>
      <c r="C1335" s="151" t="s">
        <v>753</v>
      </c>
      <c r="D1335" s="175" t="s">
        <v>4504</v>
      </c>
      <c r="E1335" s="170" t="s">
        <v>2874</v>
      </c>
      <c r="F1335" s="171" t="s">
        <v>4506</v>
      </c>
      <c r="G1335" s="157"/>
      <c r="H1335" s="157"/>
      <c r="K1335" s="8"/>
      <c r="L1335" s="8"/>
      <c r="M1335" s="8"/>
      <c r="N1335" s="8"/>
      <c r="O1335" s="8"/>
      <c r="P1335" s="8"/>
    </row>
    <row r="1336" spans="1:16" ht="15" customHeight="1">
      <c r="A1336" s="286"/>
      <c r="B1336" s="297"/>
      <c r="C1336" s="151" t="s">
        <v>753</v>
      </c>
      <c r="D1336" s="175" t="s">
        <v>3423</v>
      </c>
      <c r="E1336" s="170" t="s">
        <v>2874</v>
      </c>
      <c r="F1336" s="171" t="s">
        <v>4517</v>
      </c>
      <c r="G1336" s="157"/>
      <c r="H1336" s="157"/>
      <c r="K1336" s="8"/>
      <c r="L1336" s="8"/>
      <c r="M1336" s="8"/>
      <c r="N1336" s="8"/>
      <c r="O1336" s="8"/>
      <c r="P1336" s="8"/>
    </row>
    <row r="1337" spans="1:16" ht="15" customHeight="1">
      <c r="A1337" s="287" t="s">
        <v>1068</v>
      </c>
      <c r="B1337" s="296" t="s">
        <v>4501</v>
      </c>
      <c r="C1337" s="153" t="s">
        <v>753</v>
      </c>
      <c r="D1337" s="183" t="s">
        <v>4499</v>
      </c>
      <c r="E1337" s="153" t="s">
        <v>1123</v>
      </c>
      <c r="F1337" s="152" t="s">
        <v>4536</v>
      </c>
      <c r="I1337" s="157"/>
      <c r="K1337" s="8"/>
      <c r="L1337" s="8"/>
      <c r="M1337" s="8"/>
      <c r="N1337" s="8"/>
      <c r="O1337" s="8"/>
      <c r="P1337" s="8"/>
    </row>
    <row r="1338" spans="1:16" ht="15" customHeight="1">
      <c r="A1338" s="287"/>
      <c r="B1338" s="296"/>
      <c r="C1338" s="153" t="s">
        <v>753</v>
      </c>
      <c r="D1338" s="183" t="s">
        <v>4500</v>
      </c>
      <c r="E1338" s="153" t="s">
        <v>1123</v>
      </c>
      <c r="F1338" s="152" t="s">
        <v>4502</v>
      </c>
      <c r="G1338" s="157"/>
      <c r="H1338" s="157"/>
      <c r="K1338" s="8"/>
      <c r="L1338" s="8"/>
      <c r="M1338" s="8"/>
      <c r="N1338" s="8"/>
      <c r="O1338" s="8"/>
      <c r="P1338" s="8"/>
    </row>
    <row r="1339" spans="1:16" ht="15" customHeight="1">
      <c r="A1339" s="287"/>
      <c r="B1339" s="296"/>
      <c r="C1339" s="153" t="s">
        <v>753</v>
      </c>
      <c r="D1339" s="183" t="s">
        <v>3424</v>
      </c>
      <c r="E1339" s="153" t="s">
        <v>1123</v>
      </c>
      <c r="F1339" s="152" t="s">
        <v>4538</v>
      </c>
      <c r="G1339" s="157"/>
      <c r="H1339" s="157"/>
      <c r="K1339" s="8"/>
      <c r="L1339" s="8"/>
      <c r="M1339" s="8"/>
      <c r="N1339" s="8"/>
      <c r="O1339" s="8"/>
      <c r="P1339" s="8"/>
    </row>
    <row r="1340" spans="1:16" ht="15" customHeight="1">
      <c r="A1340" s="285" t="s">
        <v>1067</v>
      </c>
      <c r="B1340" s="303" t="s">
        <v>4496</v>
      </c>
      <c r="C1340" s="151" t="s">
        <v>753</v>
      </c>
      <c r="D1340" s="175" t="s">
        <v>4494</v>
      </c>
      <c r="E1340" s="170" t="s">
        <v>1123</v>
      </c>
      <c r="F1340" s="171" t="s">
        <v>4498</v>
      </c>
      <c r="I1340" s="157"/>
      <c r="K1340" s="8"/>
      <c r="L1340" s="8"/>
      <c r="M1340" s="8"/>
      <c r="N1340" s="8"/>
      <c r="O1340" s="8"/>
      <c r="P1340" s="8"/>
    </row>
    <row r="1341" spans="1:16" ht="15" customHeight="1">
      <c r="A1341" s="285"/>
      <c r="B1341" s="303"/>
      <c r="C1341" s="151" t="s">
        <v>753</v>
      </c>
      <c r="D1341" s="175" t="s">
        <v>4495</v>
      </c>
      <c r="E1341" s="170" t="s">
        <v>1123</v>
      </c>
      <c r="F1341" s="171" t="s">
        <v>4497</v>
      </c>
      <c r="G1341" s="157"/>
      <c r="H1341" s="157"/>
      <c r="K1341" s="8"/>
      <c r="L1341" s="8"/>
      <c r="M1341" s="8"/>
      <c r="N1341" s="8"/>
      <c r="O1341" s="8"/>
      <c r="P1341" s="8"/>
    </row>
    <row r="1342" spans="1:16" ht="15" customHeight="1">
      <c r="A1342" s="285"/>
      <c r="B1342" s="303"/>
      <c r="C1342" s="151" t="s">
        <v>753</v>
      </c>
      <c r="D1342" s="175" t="s">
        <v>3425</v>
      </c>
      <c r="E1342" s="170" t="s">
        <v>1123</v>
      </c>
      <c r="F1342" s="171" t="s">
        <v>4522</v>
      </c>
      <c r="G1342" s="157"/>
      <c r="H1342" s="157"/>
      <c r="K1342" s="8"/>
      <c r="L1342" s="8"/>
      <c r="M1342" s="8"/>
      <c r="N1342" s="8"/>
      <c r="O1342" s="8"/>
      <c r="P1342" s="8"/>
    </row>
    <row r="1343" spans="1:16" ht="28.5" customHeight="1">
      <c r="A1343" s="182" t="s">
        <v>1066</v>
      </c>
      <c r="B1343" s="202" t="s">
        <v>487</v>
      </c>
      <c r="C1343" s="153" t="s">
        <v>753</v>
      </c>
      <c r="D1343" s="152" t="s">
        <v>5006</v>
      </c>
      <c r="E1343" s="153" t="s">
        <v>505</v>
      </c>
      <c r="F1343" s="152" t="s">
        <v>4528</v>
      </c>
      <c r="K1343" s="8"/>
      <c r="L1343" s="8"/>
      <c r="M1343" s="8"/>
      <c r="N1343" s="8"/>
      <c r="O1343" s="8"/>
      <c r="P1343" s="8"/>
    </row>
    <row r="1344" spans="1:16" ht="15" customHeight="1">
      <c r="A1344" s="194" t="s">
        <v>1064</v>
      </c>
      <c r="B1344" s="209" t="s">
        <v>486</v>
      </c>
      <c r="C1344" s="151" t="s">
        <v>753</v>
      </c>
      <c r="D1344" s="171" t="s">
        <v>486</v>
      </c>
      <c r="E1344" s="170" t="s">
        <v>505</v>
      </c>
      <c r="F1344" s="171" t="s">
        <v>4529</v>
      </c>
      <c r="K1344" s="8"/>
      <c r="L1344" s="8"/>
      <c r="M1344" s="8"/>
      <c r="N1344" s="8"/>
      <c r="O1344" s="8"/>
      <c r="P1344" s="8"/>
    </row>
    <row r="1345" spans="1:16" ht="15" customHeight="1">
      <c r="A1345" s="182" t="s">
        <v>1063</v>
      </c>
      <c r="B1345" s="202" t="s">
        <v>529</v>
      </c>
      <c r="C1345" s="193" t="s">
        <v>753</v>
      </c>
      <c r="D1345" s="196" t="s">
        <v>529</v>
      </c>
      <c r="E1345" s="193" t="s">
        <v>669</v>
      </c>
      <c r="F1345" s="196" t="s">
        <v>4554</v>
      </c>
      <c r="K1345" s="8"/>
      <c r="L1345" s="8"/>
      <c r="M1345" s="8"/>
      <c r="N1345" s="8"/>
      <c r="O1345" s="8"/>
      <c r="P1345" s="8"/>
    </row>
    <row r="1346" spans="1:16" ht="15" customHeight="1">
      <c r="A1346" s="195" t="s">
        <v>1062</v>
      </c>
      <c r="B1346" s="204" t="s">
        <v>528</v>
      </c>
      <c r="C1346" s="195" t="s">
        <v>753</v>
      </c>
      <c r="D1346" s="175" t="s">
        <v>528</v>
      </c>
      <c r="E1346" s="195" t="s">
        <v>669</v>
      </c>
      <c r="F1346" s="175" t="s">
        <v>4555</v>
      </c>
      <c r="K1346" s="8"/>
      <c r="L1346" s="8"/>
      <c r="M1346" s="8"/>
      <c r="N1346" s="8"/>
      <c r="O1346" s="8"/>
      <c r="P1346" s="8"/>
    </row>
    <row r="1347" spans="1:16" ht="15" customHeight="1">
      <c r="A1347" s="272" t="s">
        <v>1061</v>
      </c>
      <c r="B1347" s="276" t="s">
        <v>4531</v>
      </c>
      <c r="C1347" s="193" t="s">
        <v>753</v>
      </c>
      <c r="D1347" s="196" t="s">
        <v>4530</v>
      </c>
      <c r="E1347" s="193" t="s">
        <v>2874</v>
      </c>
      <c r="F1347" s="196" t="s">
        <v>4539</v>
      </c>
      <c r="K1347" s="8"/>
      <c r="L1347" s="8"/>
      <c r="M1347" s="8"/>
      <c r="N1347" s="8"/>
      <c r="O1347" s="8"/>
      <c r="P1347" s="8"/>
    </row>
    <row r="1348" spans="1:16" ht="15" customHeight="1">
      <c r="A1348" s="273"/>
      <c r="B1348" s="277"/>
      <c r="C1348" s="193" t="s">
        <v>753</v>
      </c>
      <c r="D1348" s="196" t="s">
        <v>4532</v>
      </c>
      <c r="E1348" s="193" t="s">
        <v>2874</v>
      </c>
      <c r="F1348" s="196" t="s">
        <v>4540</v>
      </c>
      <c r="K1348" s="8"/>
      <c r="L1348" s="8"/>
      <c r="M1348" s="8"/>
      <c r="N1348" s="8"/>
      <c r="O1348" s="8"/>
      <c r="P1348" s="8"/>
    </row>
    <row r="1349" spans="1:16" ht="15" customHeight="1">
      <c r="A1349" s="293" t="s">
        <v>1060</v>
      </c>
      <c r="B1349" s="290" t="s">
        <v>4534</v>
      </c>
      <c r="C1349" s="195" t="s">
        <v>753</v>
      </c>
      <c r="D1349" s="175" t="s">
        <v>4535</v>
      </c>
      <c r="E1349" s="195" t="s">
        <v>2874</v>
      </c>
      <c r="F1349" s="175" t="s">
        <v>4541</v>
      </c>
      <c r="K1349" s="8"/>
      <c r="L1349" s="8"/>
      <c r="M1349" s="8"/>
      <c r="N1349" s="8"/>
      <c r="O1349" s="8"/>
      <c r="P1349" s="8"/>
    </row>
    <row r="1350" spans="1:16" ht="15" customHeight="1">
      <c r="A1350" s="295"/>
      <c r="B1350" s="291"/>
      <c r="C1350" s="195" t="s">
        <v>753</v>
      </c>
      <c r="D1350" s="175" t="s">
        <v>4533</v>
      </c>
      <c r="E1350" s="195" t="s">
        <v>2874</v>
      </c>
      <c r="F1350" s="175" t="s">
        <v>4542</v>
      </c>
      <c r="K1350" s="8"/>
      <c r="L1350" s="8"/>
      <c r="M1350" s="8"/>
      <c r="N1350" s="8"/>
      <c r="O1350" s="8"/>
      <c r="P1350" s="8"/>
    </row>
    <row r="1351" spans="1:16" ht="15" customHeight="1">
      <c r="A1351" s="300" t="s">
        <v>1059</v>
      </c>
      <c r="B1351" s="276" t="s">
        <v>4543</v>
      </c>
      <c r="C1351" s="193" t="s">
        <v>753</v>
      </c>
      <c r="D1351" s="196" t="s">
        <v>4549</v>
      </c>
      <c r="E1351" s="193" t="s">
        <v>1123</v>
      </c>
      <c r="F1351" s="196" t="s">
        <v>2896</v>
      </c>
      <c r="K1351" s="8"/>
      <c r="L1351" s="8"/>
      <c r="M1351" s="8"/>
      <c r="N1351" s="8"/>
      <c r="O1351" s="8"/>
      <c r="P1351" s="8"/>
    </row>
    <row r="1352" spans="1:16" ht="15" customHeight="1">
      <c r="A1352" s="302"/>
      <c r="B1352" s="277"/>
      <c r="C1352" s="193" t="s">
        <v>753</v>
      </c>
      <c r="D1352" s="196" t="s">
        <v>4544</v>
      </c>
      <c r="E1352" s="193" t="s">
        <v>1123</v>
      </c>
      <c r="F1352" s="196" t="s">
        <v>4548</v>
      </c>
      <c r="K1352" s="8"/>
      <c r="L1352" s="8"/>
      <c r="M1352" s="8"/>
      <c r="N1352" s="8"/>
      <c r="O1352" s="8"/>
      <c r="P1352" s="8"/>
    </row>
    <row r="1353" spans="1:16" ht="15" customHeight="1">
      <c r="A1353" s="274" t="s">
        <v>1058</v>
      </c>
      <c r="B1353" s="278" t="s">
        <v>4545</v>
      </c>
      <c r="C1353" s="195" t="s">
        <v>753</v>
      </c>
      <c r="D1353" s="175" t="s">
        <v>4550</v>
      </c>
      <c r="E1353" s="195" t="s">
        <v>1123</v>
      </c>
      <c r="F1353" s="175" t="s">
        <v>2895</v>
      </c>
      <c r="K1353" s="8"/>
      <c r="L1353" s="8"/>
      <c r="M1353" s="8"/>
      <c r="N1353" s="8"/>
      <c r="O1353" s="8"/>
      <c r="P1353" s="8"/>
    </row>
    <row r="1354" spans="1:16" ht="15" customHeight="1">
      <c r="A1354" s="275"/>
      <c r="B1354" s="279"/>
      <c r="C1354" s="195" t="s">
        <v>753</v>
      </c>
      <c r="D1354" s="175" t="s">
        <v>4546</v>
      </c>
      <c r="E1354" s="195" t="s">
        <v>1123</v>
      </c>
      <c r="F1354" s="175" t="s">
        <v>4547</v>
      </c>
      <c r="K1354" s="8"/>
      <c r="L1354" s="8"/>
      <c r="M1354" s="8"/>
      <c r="N1354" s="8"/>
      <c r="O1354" s="8"/>
      <c r="P1354" s="8"/>
    </row>
    <row r="1355" spans="1:16" ht="15" customHeight="1">
      <c r="A1355" s="193" t="s">
        <v>1057</v>
      </c>
      <c r="B1355" s="208" t="s">
        <v>4492</v>
      </c>
      <c r="C1355" s="193" t="s">
        <v>753</v>
      </c>
      <c r="D1355" s="196" t="s">
        <v>465</v>
      </c>
      <c r="E1355" s="193" t="s">
        <v>505</v>
      </c>
      <c r="F1355" s="196" t="s">
        <v>4556</v>
      </c>
      <c r="K1355" s="8"/>
      <c r="L1355" s="8"/>
      <c r="M1355" s="8"/>
      <c r="N1355" s="8"/>
      <c r="O1355" s="8"/>
      <c r="P1355" s="8"/>
    </row>
    <row r="1356" spans="1:16" ht="15" customHeight="1">
      <c r="A1356" s="195" t="s">
        <v>1056</v>
      </c>
      <c r="B1356" s="204" t="s">
        <v>4493</v>
      </c>
      <c r="C1356" s="195" t="s">
        <v>753</v>
      </c>
      <c r="D1356" s="175" t="s">
        <v>464</v>
      </c>
      <c r="E1356" s="195" t="s">
        <v>505</v>
      </c>
      <c r="F1356" s="175" t="s">
        <v>4557</v>
      </c>
      <c r="K1356" s="8"/>
      <c r="L1356" s="8"/>
      <c r="M1356" s="8"/>
      <c r="N1356" s="8"/>
      <c r="O1356" s="8"/>
      <c r="P1356" s="8"/>
    </row>
    <row r="1357" spans="1:16" ht="15" customHeight="1">
      <c r="A1357" s="155" t="s">
        <v>4569</v>
      </c>
      <c r="B1357" s="154"/>
      <c r="C1357" s="155"/>
      <c r="D1357" s="154"/>
      <c r="E1357" s="155"/>
      <c r="F1357" s="154"/>
      <c r="K1357" s="8"/>
      <c r="L1357" s="8"/>
      <c r="M1357" s="8"/>
      <c r="N1357" s="8"/>
      <c r="O1357" s="8"/>
      <c r="P1357" s="8"/>
    </row>
    <row r="1358" spans="1:16" ht="15" customHeight="1">
      <c r="A1358" s="293" t="s">
        <v>1054</v>
      </c>
      <c r="B1358" s="290" t="s">
        <v>195</v>
      </c>
      <c r="C1358" s="151" t="s">
        <v>2852</v>
      </c>
      <c r="D1358" s="171" t="s">
        <v>1052</v>
      </c>
      <c r="E1358" s="170" t="s">
        <v>669</v>
      </c>
      <c r="F1358" s="171" t="s">
        <v>2892</v>
      </c>
      <c r="I1358" s="157"/>
      <c r="K1358" s="8"/>
      <c r="L1358" s="8"/>
      <c r="M1358" s="8"/>
      <c r="N1358" s="8"/>
      <c r="O1358" s="8"/>
      <c r="P1358" s="8"/>
    </row>
    <row r="1359" spans="1:16" ht="15" customHeight="1">
      <c r="A1359" s="295"/>
      <c r="B1359" s="291"/>
      <c r="C1359" s="151" t="s">
        <v>753</v>
      </c>
      <c r="D1359" s="171" t="s">
        <v>1051</v>
      </c>
      <c r="E1359" s="170" t="s">
        <v>669</v>
      </c>
      <c r="F1359" s="171" t="s">
        <v>2891</v>
      </c>
      <c r="G1359" s="157"/>
      <c r="H1359" s="157"/>
      <c r="K1359" s="8"/>
      <c r="L1359" s="8"/>
      <c r="M1359" s="8"/>
      <c r="N1359" s="8"/>
      <c r="O1359" s="8"/>
      <c r="P1359" s="8"/>
    </row>
    <row r="1360" spans="1:16" ht="15" customHeight="1">
      <c r="A1360" s="272" t="s">
        <v>1050</v>
      </c>
      <c r="B1360" s="276" t="s">
        <v>213</v>
      </c>
      <c r="C1360" s="153" t="s">
        <v>2852</v>
      </c>
      <c r="D1360" s="152" t="s">
        <v>1048</v>
      </c>
      <c r="E1360" s="153" t="s">
        <v>669</v>
      </c>
      <c r="F1360" s="152" t="s">
        <v>2890</v>
      </c>
      <c r="I1360" s="157"/>
      <c r="K1360" s="8"/>
      <c r="L1360" s="8"/>
      <c r="M1360" s="8"/>
      <c r="N1360" s="8"/>
      <c r="O1360" s="8"/>
      <c r="P1360" s="8"/>
    </row>
    <row r="1361" spans="1:16" ht="15" customHeight="1">
      <c r="A1361" s="273"/>
      <c r="B1361" s="277"/>
      <c r="C1361" s="153" t="s">
        <v>753</v>
      </c>
      <c r="D1361" s="152" t="s">
        <v>1047</v>
      </c>
      <c r="E1361" s="153" t="s">
        <v>669</v>
      </c>
      <c r="F1361" s="152" t="s">
        <v>2889</v>
      </c>
      <c r="G1361" s="157"/>
      <c r="H1361" s="157"/>
      <c r="K1361" s="8"/>
      <c r="L1361" s="8"/>
      <c r="M1361" s="8"/>
      <c r="N1361" s="8"/>
      <c r="O1361" s="8"/>
      <c r="P1361" s="8"/>
    </row>
    <row r="1362" spans="1:16" ht="15" customHeight="1">
      <c r="A1362" s="274" t="s">
        <v>1046</v>
      </c>
      <c r="B1362" s="278" t="s">
        <v>138</v>
      </c>
      <c r="C1362" s="151" t="s">
        <v>2852</v>
      </c>
      <c r="D1362" s="171" t="s">
        <v>1045</v>
      </c>
      <c r="E1362" s="170" t="s">
        <v>2874</v>
      </c>
      <c r="F1362" s="171" t="s">
        <v>2888</v>
      </c>
      <c r="I1362" s="157"/>
      <c r="K1362" s="8"/>
      <c r="L1362" s="8"/>
      <c r="M1362" s="8"/>
      <c r="N1362" s="8"/>
      <c r="O1362" s="8"/>
      <c r="P1362" s="8"/>
    </row>
    <row r="1363" spans="1:16" ht="15" customHeight="1">
      <c r="A1363" s="275"/>
      <c r="B1363" s="279"/>
      <c r="C1363" s="151" t="s">
        <v>753</v>
      </c>
      <c r="D1363" s="171" t="s">
        <v>1044</v>
      </c>
      <c r="E1363" s="170" t="s">
        <v>2874</v>
      </c>
      <c r="F1363" s="171" t="s">
        <v>2887</v>
      </c>
      <c r="G1363" s="157"/>
      <c r="H1363" s="157"/>
      <c r="K1363" s="8"/>
      <c r="L1363" s="8"/>
      <c r="M1363" s="8"/>
      <c r="N1363" s="8"/>
      <c r="O1363" s="8"/>
      <c r="P1363" s="8"/>
    </row>
    <row r="1364" spans="1:16" ht="15" customHeight="1">
      <c r="A1364" s="300" t="s">
        <v>1043</v>
      </c>
      <c r="B1364" s="288" t="s">
        <v>110</v>
      </c>
      <c r="C1364" s="153" t="s">
        <v>2852</v>
      </c>
      <c r="D1364" s="152" t="s">
        <v>1041</v>
      </c>
      <c r="E1364" s="153" t="s">
        <v>2874</v>
      </c>
      <c r="F1364" s="152" t="s">
        <v>2886</v>
      </c>
      <c r="I1364" s="157"/>
      <c r="K1364" s="8"/>
      <c r="L1364" s="8"/>
      <c r="M1364" s="8"/>
      <c r="N1364" s="8"/>
      <c r="O1364" s="8"/>
      <c r="P1364" s="8"/>
    </row>
    <row r="1365" spans="1:16" ht="15" customHeight="1">
      <c r="A1365" s="302"/>
      <c r="B1365" s="289"/>
      <c r="C1365" s="153" t="s">
        <v>753</v>
      </c>
      <c r="D1365" s="152" t="s">
        <v>1040</v>
      </c>
      <c r="E1365" s="153" t="s">
        <v>2874</v>
      </c>
      <c r="F1365" s="152" t="s">
        <v>2885</v>
      </c>
      <c r="G1365" s="157"/>
      <c r="H1365" s="157"/>
      <c r="K1365" s="8"/>
      <c r="L1365" s="8"/>
      <c r="M1365" s="8"/>
      <c r="N1365" s="8"/>
      <c r="O1365" s="8"/>
      <c r="P1365" s="8"/>
    </row>
    <row r="1366" spans="1:16" ht="15" customHeight="1">
      <c r="A1366" s="293" t="s">
        <v>1039</v>
      </c>
      <c r="B1366" s="290" t="s">
        <v>109</v>
      </c>
      <c r="C1366" s="151" t="s">
        <v>2852</v>
      </c>
      <c r="D1366" s="171" t="s">
        <v>1038</v>
      </c>
      <c r="E1366" s="170" t="s">
        <v>2874</v>
      </c>
      <c r="F1366" s="171" t="s">
        <v>2884</v>
      </c>
      <c r="I1366" s="157"/>
      <c r="K1366" s="8"/>
      <c r="L1366" s="8"/>
      <c r="M1366" s="8"/>
      <c r="N1366" s="8"/>
      <c r="O1366" s="8"/>
      <c r="P1366" s="8"/>
    </row>
    <row r="1367" spans="1:16" ht="15" customHeight="1">
      <c r="A1367" s="295"/>
      <c r="B1367" s="291"/>
      <c r="C1367" s="151" t="s">
        <v>753</v>
      </c>
      <c r="D1367" s="171" t="s">
        <v>1037</v>
      </c>
      <c r="E1367" s="170" t="s">
        <v>2874</v>
      </c>
      <c r="F1367" s="171" t="s">
        <v>2883</v>
      </c>
      <c r="G1367" s="157"/>
      <c r="H1367" s="157"/>
      <c r="K1367" s="8"/>
      <c r="L1367" s="8"/>
      <c r="M1367" s="8"/>
      <c r="N1367" s="8"/>
      <c r="O1367" s="8"/>
      <c r="P1367" s="8"/>
    </row>
    <row r="1368" spans="1:16" ht="15" customHeight="1">
      <c r="A1368" s="272" t="s">
        <v>1036</v>
      </c>
      <c r="B1368" s="276" t="s">
        <v>136</v>
      </c>
      <c r="C1368" s="153" t="s">
        <v>2852</v>
      </c>
      <c r="D1368" s="152" t="s">
        <v>1035</v>
      </c>
      <c r="E1368" s="153" t="s">
        <v>2874</v>
      </c>
      <c r="F1368" s="152" t="s">
        <v>2882</v>
      </c>
      <c r="I1368" s="157"/>
      <c r="K1368" s="8"/>
      <c r="L1368" s="8"/>
      <c r="M1368" s="8"/>
      <c r="N1368" s="8"/>
      <c r="O1368" s="8"/>
      <c r="P1368" s="8"/>
    </row>
    <row r="1369" spans="1:16" ht="15" customHeight="1">
      <c r="A1369" s="273"/>
      <c r="B1369" s="277"/>
      <c r="C1369" s="153" t="s">
        <v>753</v>
      </c>
      <c r="D1369" s="152" t="s">
        <v>1034</v>
      </c>
      <c r="E1369" s="153" t="s">
        <v>2874</v>
      </c>
      <c r="F1369" s="152" t="s">
        <v>2881</v>
      </c>
      <c r="G1369" s="157"/>
      <c r="H1369" s="157"/>
      <c r="K1369" s="8"/>
      <c r="L1369" s="8"/>
      <c r="M1369" s="8"/>
      <c r="N1369" s="8"/>
      <c r="O1369" s="8"/>
      <c r="P1369" s="8"/>
    </row>
    <row r="1370" spans="1:16" ht="15" customHeight="1">
      <c r="A1370" s="274" t="s">
        <v>1033</v>
      </c>
      <c r="B1370" s="278" t="s">
        <v>135</v>
      </c>
      <c r="C1370" s="151" t="s">
        <v>2852</v>
      </c>
      <c r="D1370" s="171" t="s">
        <v>1032</v>
      </c>
      <c r="E1370" s="170" t="s">
        <v>2874</v>
      </c>
      <c r="F1370" s="171" t="s">
        <v>2880</v>
      </c>
      <c r="I1370" s="157"/>
      <c r="K1370" s="8"/>
      <c r="L1370" s="8"/>
      <c r="M1370" s="8"/>
      <c r="N1370" s="8"/>
      <c r="O1370" s="8"/>
      <c r="P1370" s="8"/>
    </row>
    <row r="1371" spans="1:16" ht="15" customHeight="1">
      <c r="A1371" s="275"/>
      <c r="B1371" s="279"/>
      <c r="C1371" s="151" t="s">
        <v>753</v>
      </c>
      <c r="D1371" s="171" t="s">
        <v>1031</v>
      </c>
      <c r="E1371" s="170" t="s">
        <v>2874</v>
      </c>
      <c r="F1371" s="171" t="s">
        <v>2879</v>
      </c>
      <c r="G1371" s="157"/>
      <c r="H1371" s="157"/>
      <c r="K1371" s="8"/>
      <c r="L1371" s="8"/>
      <c r="M1371" s="8"/>
      <c r="N1371" s="8"/>
      <c r="O1371" s="8"/>
      <c r="P1371" s="8"/>
    </row>
    <row r="1372" spans="1:16" ht="15" customHeight="1">
      <c r="A1372" s="300" t="s">
        <v>1030</v>
      </c>
      <c r="B1372" s="288" t="s">
        <v>108</v>
      </c>
      <c r="C1372" s="153" t="s">
        <v>2852</v>
      </c>
      <c r="D1372" s="152" t="s">
        <v>1029</v>
      </c>
      <c r="E1372" s="153" t="s">
        <v>2874</v>
      </c>
      <c r="F1372" s="152" t="s">
        <v>2878</v>
      </c>
      <c r="I1372" s="157"/>
      <c r="K1372" s="8"/>
      <c r="L1372" s="8"/>
      <c r="M1372" s="8"/>
      <c r="N1372" s="8"/>
      <c r="O1372" s="8"/>
      <c r="P1372" s="8"/>
    </row>
    <row r="1373" spans="1:16" ht="15" customHeight="1">
      <c r="A1373" s="302"/>
      <c r="B1373" s="289"/>
      <c r="C1373" s="153" t="s">
        <v>753</v>
      </c>
      <c r="D1373" s="152" t="s">
        <v>1028</v>
      </c>
      <c r="E1373" s="153" t="s">
        <v>2874</v>
      </c>
      <c r="F1373" s="152" t="s">
        <v>2877</v>
      </c>
      <c r="G1373" s="157"/>
      <c r="H1373" s="157"/>
      <c r="K1373" s="8"/>
      <c r="L1373" s="8"/>
      <c r="M1373" s="8"/>
      <c r="N1373" s="8"/>
      <c r="O1373" s="8"/>
      <c r="P1373" s="8"/>
    </row>
    <row r="1374" spans="1:16" ht="15" customHeight="1">
      <c r="A1374" s="293" t="s">
        <v>1027</v>
      </c>
      <c r="B1374" s="290" t="s">
        <v>111</v>
      </c>
      <c r="C1374" s="151" t="s">
        <v>2852</v>
      </c>
      <c r="D1374" s="171" t="s">
        <v>1026</v>
      </c>
      <c r="E1374" s="170" t="s">
        <v>2874</v>
      </c>
      <c r="F1374" s="171" t="s">
        <v>2876</v>
      </c>
      <c r="I1374" s="157"/>
      <c r="K1374" s="8"/>
      <c r="L1374" s="8"/>
      <c r="M1374" s="8"/>
      <c r="N1374" s="8"/>
      <c r="O1374" s="8"/>
      <c r="P1374" s="8"/>
    </row>
    <row r="1375" spans="1:16" ht="15" customHeight="1">
      <c r="A1375" s="295"/>
      <c r="B1375" s="291"/>
      <c r="C1375" s="151" t="s">
        <v>753</v>
      </c>
      <c r="D1375" s="171" t="s">
        <v>1025</v>
      </c>
      <c r="E1375" s="170" t="s">
        <v>2874</v>
      </c>
      <c r="F1375" s="171" t="s">
        <v>4639</v>
      </c>
      <c r="G1375" s="157"/>
      <c r="H1375" s="157"/>
      <c r="K1375" s="8"/>
      <c r="L1375" s="8"/>
      <c r="M1375" s="8"/>
      <c r="N1375" s="8"/>
      <c r="O1375" s="8"/>
      <c r="P1375" s="8"/>
    </row>
    <row r="1376" spans="1:16" ht="15" customHeight="1">
      <c r="A1376" s="272" t="s">
        <v>1024</v>
      </c>
      <c r="B1376" s="276" t="s">
        <v>139</v>
      </c>
      <c r="C1376" s="153" t="s">
        <v>2852</v>
      </c>
      <c r="D1376" s="152" t="s">
        <v>1023</v>
      </c>
      <c r="E1376" s="153" t="s">
        <v>2874</v>
      </c>
      <c r="F1376" s="152" t="s">
        <v>2875</v>
      </c>
      <c r="I1376" s="157"/>
      <c r="K1376" s="8"/>
      <c r="L1376" s="8"/>
      <c r="M1376" s="8"/>
      <c r="N1376" s="8"/>
      <c r="O1376" s="8"/>
      <c r="P1376" s="8"/>
    </row>
    <row r="1377" spans="1:16" ht="15" customHeight="1">
      <c r="A1377" s="273"/>
      <c r="B1377" s="277"/>
      <c r="C1377" s="153" t="s">
        <v>753</v>
      </c>
      <c r="D1377" s="152" t="s">
        <v>1022</v>
      </c>
      <c r="E1377" s="153" t="s">
        <v>2874</v>
      </c>
      <c r="F1377" s="152" t="s">
        <v>2873</v>
      </c>
      <c r="G1377" s="157"/>
      <c r="H1377" s="157"/>
      <c r="K1377" s="8"/>
      <c r="L1377" s="8"/>
      <c r="M1377" s="8"/>
      <c r="N1377" s="8"/>
      <c r="O1377" s="8"/>
      <c r="P1377" s="8"/>
    </row>
    <row r="1378" spans="1:16" ht="15" customHeight="1">
      <c r="A1378" s="286" t="s">
        <v>1021</v>
      </c>
      <c r="B1378" s="281" t="s">
        <v>289</v>
      </c>
      <c r="C1378" s="151" t="s">
        <v>2852</v>
      </c>
      <c r="D1378" s="171" t="s">
        <v>1020</v>
      </c>
      <c r="E1378" s="170" t="s">
        <v>1123</v>
      </c>
      <c r="F1378" s="171" t="s">
        <v>2872</v>
      </c>
      <c r="I1378" s="157"/>
      <c r="K1378" s="8"/>
      <c r="L1378" s="8"/>
      <c r="M1378" s="8"/>
      <c r="N1378" s="8"/>
      <c r="O1378" s="8"/>
      <c r="P1378" s="8"/>
    </row>
    <row r="1379" spans="1:16" ht="15" customHeight="1">
      <c r="A1379" s="286"/>
      <c r="B1379" s="281"/>
      <c r="C1379" s="151" t="s">
        <v>753</v>
      </c>
      <c r="D1379" s="171" t="s">
        <v>1019</v>
      </c>
      <c r="E1379" s="170" t="s">
        <v>1123</v>
      </c>
      <c r="F1379" s="171" t="s">
        <v>2871</v>
      </c>
      <c r="G1379" s="157"/>
      <c r="H1379" s="157"/>
      <c r="K1379" s="8"/>
      <c r="L1379" s="8"/>
      <c r="M1379" s="8"/>
      <c r="N1379" s="8"/>
      <c r="O1379" s="8"/>
      <c r="P1379" s="8"/>
    </row>
    <row r="1380" spans="1:16" ht="15" customHeight="1">
      <c r="A1380" s="182" t="s">
        <v>1018</v>
      </c>
      <c r="B1380" s="202" t="s">
        <v>269</v>
      </c>
      <c r="C1380" s="153" t="s">
        <v>2852</v>
      </c>
      <c r="D1380" s="152" t="s">
        <v>269</v>
      </c>
      <c r="E1380" s="153" t="s">
        <v>505</v>
      </c>
      <c r="F1380" s="152" t="s">
        <v>2870</v>
      </c>
      <c r="K1380" s="8"/>
      <c r="L1380" s="8"/>
      <c r="M1380" s="8"/>
      <c r="N1380" s="8"/>
      <c r="O1380" s="8"/>
      <c r="P1380" s="8"/>
    </row>
    <row r="1381" spans="1:16" ht="15" customHeight="1">
      <c r="A1381" s="195" t="s">
        <v>1017</v>
      </c>
      <c r="B1381" s="204" t="s">
        <v>290</v>
      </c>
      <c r="C1381" s="151" t="s">
        <v>2852</v>
      </c>
      <c r="D1381" s="171" t="s">
        <v>290</v>
      </c>
      <c r="E1381" s="170" t="s">
        <v>505</v>
      </c>
      <c r="F1381" s="171" t="s">
        <v>2870</v>
      </c>
      <c r="K1381" s="8"/>
      <c r="L1381" s="8"/>
      <c r="M1381" s="8"/>
      <c r="N1381" s="8"/>
      <c r="O1381" s="8"/>
      <c r="P1381" s="8"/>
    </row>
    <row r="1382" spans="1:16" ht="15" customHeight="1">
      <c r="A1382" s="193" t="s">
        <v>1016</v>
      </c>
      <c r="B1382" s="208" t="s">
        <v>267</v>
      </c>
      <c r="C1382" s="153" t="s">
        <v>2852</v>
      </c>
      <c r="D1382" s="152" t="s">
        <v>267</v>
      </c>
      <c r="E1382" s="153" t="s">
        <v>505</v>
      </c>
      <c r="F1382" s="152" t="s">
        <v>2869</v>
      </c>
      <c r="K1382" s="8"/>
      <c r="L1382" s="8"/>
      <c r="M1382" s="8"/>
      <c r="N1382" s="8"/>
      <c r="O1382" s="8"/>
      <c r="P1382" s="8"/>
    </row>
    <row r="1383" spans="1:16" ht="15" customHeight="1">
      <c r="A1383" s="194" t="s">
        <v>1015</v>
      </c>
      <c r="B1383" s="209" t="s">
        <v>268</v>
      </c>
      <c r="C1383" s="151" t="s">
        <v>2852</v>
      </c>
      <c r="D1383" s="171" t="s">
        <v>268</v>
      </c>
      <c r="E1383" s="170" t="s">
        <v>505</v>
      </c>
      <c r="F1383" s="171" t="s">
        <v>2868</v>
      </c>
      <c r="K1383" s="8"/>
      <c r="L1383" s="8"/>
      <c r="M1383" s="8"/>
      <c r="N1383" s="8"/>
      <c r="O1383" s="8"/>
      <c r="P1383" s="8"/>
    </row>
    <row r="1384" spans="1:16" ht="15" customHeight="1">
      <c r="A1384" s="155" t="s">
        <v>4570</v>
      </c>
      <c r="B1384" s="154"/>
      <c r="C1384" s="155"/>
      <c r="D1384" s="154"/>
      <c r="E1384" s="155"/>
      <c r="F1384" s="154"/>
      <c r="K1384" s="8"/>
      <c r="L1384" s="8"/>
      <c r="M1384" s="8"/>
      <c r="N1384" s="8"/>
      <c r="O1384" s="8"/>
      <c r="P1384" s="8"/>
    </row>
    <row r="1385" spans="1:16" ht="15" customHeight="1">
      <c r="A1385" s="189" t="s">
        <v>1013</v>
      </c>
      <c r="B1385" s="199" t="s">
        <v>106</v>
      </c>
      <c r="C1385" s="151" t="s">
        <v>2852</v>
      </c>
      <c r="D1385" s="171" t="s">
        <v>106</v>
      </c>
      <c r="E1385" s="170" t="s">
        <v>2874</v>
      </c>
      <c r="F1385" s="175" t="s">
        <v>4640</v>
      </c>
      <c r="I1385" s="157"/>
      <c r="K1385" s="8"/>
      <c r="L1385" s="8"/>
      <c r="M1385" s="8"/>
      <c r="N1385" s="8"/>
      <c r="O1385" s="8"/>
      <c r="P1385" s="8"/>
    </row>
    <row r="1386" spans="1:16" ht="15" customHeight="1">
      <c r="A1386" s="193" t="s">
        <v>1012</v>
      </c>
      <c r="B1386" s="208" t="s">
        <v>132</v>
      </c>
      <c r="C1386" s="193" t="s">
        <v>753</v>
      </c>
      <c r="D1386" s="196" t="s">
        <v>132</v>
      </c>
      <c r="E1386" s="193" t="s">
        <v>2874</v>
      </c>
      <c r="F1386" s="196" t="s">
        <v>4641</v>
      </c>
      <c r="G1386" s="157"/>
      <c r="H1386" s="157"/>
      <c r="K1386" s="8"/>
      <c r="L1386" s="8"/>
      <c r="M1386" s="8"/>
      <c r="N1386" s="8"/>
      <c r="O1386" s="8"/>
      <c r="P1386" s="8"/>
    </row>
    <row r="1387" spans="1:16" ht="15" customHeight="1">
      <c r="A1387" s="194" t="s">
        <v>1011</v>
      </c>
      <c r="B1387" s="209" t="s">
        <v>194</v>
      </c>
      <c r="C1387" s="194" t="s">
        <v>2852</v>
      </c>
      <c r="D1387" s="197" t="s">
        <v>194</v>
      </c>
      <c r="E1387" s="194" t="s">
        <v>2874</v>
      </c>
      <c r="F1387" s="197" t="s">
        <v>4644</v>
      </c>
      <c r="I1387" s="157"/>
      <c r="K1387" s="8"/>
      <c r="L1387" s="8"/>
      <c r="M1387" s="8"/>
      <c r="N1387" s="8"/>
      <c r="O1387" s="8"/>
      <c r="P1387" s="8"/>
    </row>
    <row r="1388" spans="1:16" ht="15" customHeight="1">
      <c r="A1388" s="182" t="s">
        <v>1010</v>
      </c>
      <c r="B1388" s="202" t="s">
        <v>212</v>
      </c>
      <c r="C1388" s="153" t="s">
        <v>753</v>
      </c>
      <c r="D1388" s="152" t="s">
        <v>212</v>
      </c>
      <c r="E1388" s="153" t="s">
        <v>2874</v>
      </c>
      <c r="F1388" s="196" t="s">
        <v>4645</v>
      </c>
      <c r="G1388" s="157"/>
      <c r="H1388" s="157"/>
      <c r="K1388" s="8"/>
      <c r="L1388" s="8"/>
      <c r="M1388" s="8"/>
      <c r="N1388" s="8"/>
      <c r="O1388" s="8"/>
      <c r="P1388" s="8"/>
    </row>
    <row r="1389" spans="1:16" ht="15" customHeight="1">
      <c r="A1389" s="195" t="s">
        <v>1009</v>
      </c>
      <c r="B1389" s="204" t="s">
        <v>107</v>
      </c>
      <c r="C1389" s="151" t="s">
        <v>2852</v>
      </c>
      <c r="D1389" s="171" t="s">
        <v>107</v>
      </c>
      <c r="E1389" s="170" t="s">
        <v>2874</v>
      </c>
      <c r="F1389" s="171" t="s">
        <v>4646</v>
      </c>
      <c r="I1389" s="157"/>
      <c r="K1389" s="8"/>
      <c r="L1389" s="8"/>
      <c r="M1389" s="8"/>
      <c r="N1389" s="8"/>
      <c r="O1389" s="8"/>
      <c r="P1389" s="8"/>
    </row>
    <row r="1390" spans="1:16" ht="15" customHeight="1">
      <c r="A1390" s="193" t="s">
        <v>1008</v>
      </c>
      <c r="B1390" s="208" t="s">
        <v>133</v>
      </c>
      <c r="C1390" s="193" t="s">
        <v>753</v>
      </c>
      <c r="D1390" s="196" t="s">
        <v>133</v>
      </c>
      <c r="E1390" s="193" t="s">
        <v>2874</v>
      </c>
      <c r="F1390" s="196" t="s">
        <v>4647</v>
      </c>
      <c r="G1390" s="157"/>
      <c r="H1390" s="157"/>
      <c r="K1390" s="8"/>
      <c r="L1390" s="8"/>
      <c r="M1390" s="8"/>
      <c r="N1390" s="8"/>
      <c r="O1390" s="8"/>
      <c r="P1390" s="8"/>
    </row>
    <row r="1391" spans="1:16" ht="15" customHeight="1">
      <c r="A1391" s="194" t="s">
        <v>1007</v>
      </c>
      <c r="B1391" s="209" t="s">
        <v>105</v>
      </c>
      <c r="C1391" s="194" t="s">
        <v>2852</v>
      </c>
      <c r="D1391" s="197" t="s">
        <v>105</v>
      </c>
      <c r="E1391" s="194" t="s">
        <v>2874</v>
      </c>
      <c r="F1391" s="197" t="s">
        <v>4648</v>
      </c>
      <c r="I1391" s="157"/>
      <c r="K1391" s="8"/>
      <c r="L1391" s="8"/>
      <c r="M1391" s="8"/>
      <c r="N1391" s="8"/>
      <c r="O1391" s="8"/>
      <c r="P1391" s="8"/>
    </row>
    <row r="1392" spans="1:16" ht="15" customHeight="1">
      <c r="A1392" s="182" t="s">
        <v>1005</v>
      </c>
      <c r="B1392" s="202" t="s">
        <v>130</v>
      </c>
      <c r="C1392" s="153" t="s">
        <v>753</v>
      </c>
      <c r="D1392" s="152" t="s">
        <v>130</v>
      </c>
      <c r="E1392" s="153" t="s">
        <v>2874</v>
      </c>
      <c r="F1392" s="152" t="s">
        <v>4649</v>
      </c>
      <c r="G1392" s="157"/>
      <c r="H1392" s="157"/>
      <c r="K1392" s="8"/>
      <c r="L1392" s="8"/>
      <c r="M1392" s="8"/>
      <c r="N1392" s="8"/>
      <c r="O1392" s="8"/>
      <c r="P1392" s="8"/>
    </row>
    <row r="1393" spans="1:16" ht="15" customHeight="1">
      <c r="A1393" s="195" t="s">
        <v>1003</v>
      </c>
      <c r="B1393" s="204" t="s">
        <v>104</v>
      </c>
      <c r="C1393" s="151" t="s">
        <v>2852</v>
      </c>
      <c r="D1393" s="171" t="s">
        <v>104</v>
      </c>
      <c r="E1393" s="170" t="s">
        <v>2874</v>
      </c>
      <c r="F1393" s="171" t="s">
        <v>4650</v>
      </c>
      <c r="I1393" s="157"/>
      <c r="K1393" s="8"/>
      <c r="L1393" s="8"/>
      <c r="M1393" s="8"/>
      <c r="N1393" s="8"/>
      <c r="O1393" s="8"/>
      <c r="P1393" s="8"/>
    </row>
    <row r="1394" spans="1:16" ht="15" customHeight="1">
      <c r="A1394" s="193" t="s">
        <v>1001</v>
      </c>
      <c r="B1394" s="208" t="s">
        <v>129</v>
      </c>
      <c r="C1394" s="193" t="s">
        <v>753</v>
      </c>
      <c r="D1394" s="196" t="s">
        <v>129</v>
      </c>
      <c r="E1394" s="193" t="s">
        <v>2874</v>
      </c>
      <c r="F1394" s="196" t="s">
        <v>4651</v>
      </c>
      <c r="G1394" s="157"/>
      <c r="H1394" s="157"/>
      <c r="K1394" s="8"/>
      <c r="L1394" s="8"/>
      <c r="M1394" s="8"/>
      <c r="N1394" s="8"/>
      <c r="O1394" s="8"/>
      <c r="P1394" s="8"/>
    </row>
    <row r="1395" spans="1:16" ht="15" customHeight="1">
      <c r="A1395" s="194" t="s">
        <v>1000</v>
      </c>
      <c r="B1395" s="209" t="s">
        <v>266</v>
      </c>
      <c r="C1395" s="151" t="s">
        <v>2852</v>
      </c>
      <c r="D1395" s="171" t="s">
        <v>266</v>
      </c>
      <c r="E1395" s="170" t="s">
        <v>505</v>
      </c>
      <c r="F1395" s="171" t="s">
        <v>4572</v>
      </c>
      <c r="K1395" s="8"/>
      <c r="L1395" s="8"/>
      <c r="M1395" s="8"/>
      <c r="N1395" s="8"/>
      <c r="O1395" s="8"/>
      <c r="P1395" s="8"/>
    </row>
    <row r="1396" spans="1:16" ht="15" customHeight="1">
      <c r="A1396" s="182" t="s">
        <v>999</v>
      </c>
      <c r="B1396" s="202" t="s">
        <v>288</v>
      </c>
      <c r="C1396" s="153" t="s">
        <v>2852</v>
      </c>
      <c r="D1396" s="152" t="s">
        <v>288</v>
      </c>
      <c r="E1396" s="153" t="s">
        <v>505</v>
      </c>
      <c r="F1396" s="152" t="s">
        <v>4571</v>
      </c>
      <c r="K1396" s="8"/>
      <c r="L1396" s="8"/>
      <c r="M1396" s="8"/>
      <c r="N1396" s="8"/>
      <c r="O1396" s="8"/>
      <c r="P1396" s="8"/>
    </row>
    <row r="1397" spans="1:16" ht="15" customHeight="1">
      <c r="A1397" s="155" t="s">
        <v>4573</v>
      </c>
      <c r="B1397" s="154"/>
      <c r="C1397" s="155"/>
      <c r="D1397" s="154"/>
      <c r="E1397" s="155"/>
      <c r="F1397" s="154"/>
      <c r="K1397" s="8"/>
      <c r="L1397" s="8"/>
      <c r="M1397" s="8"/>
      <c r="N1397" s="8"/>
      <c r="O1397" s="8"/>
      <c r="P1397" s="8"/>
    </row>
    <row r="1398" spans="1:16" ht="15" customHeight="1">
      <c r="A1398" s="226" t="s">
        <v>995</v>
      </c>
      <c r="B1398" s="224" t="s">
        <v>4574</v>
      </c>
      <c r="C1398" s="153" t="s">
        <v>2852</v>
      </c>
      <c r="D1398" s="152" t="s">
        <v>4574</v>
      </c>
      <c r="E1398" s="153" t="s">
        <v>1123</v>
      </c>
      <c r="F1398" s="152" t="s">
        <v>4575</v>
      </c>
      <c r="K1398" s="8"/>
      <c r="L1398" s="8"/>
      <c r="M1398" s="8"/>
      <c r="N1398" s="8"/>
      <c r="O1398" s="8"/>
      <c r="P1398" s="8"/>
    </row>
    <row r="1399" spans="1:16" ht="15" customHeight="1">
      <c r="A1399" s="228" t="s">
        <v>997</v>
      </c>
      <c r="B1399" s="223" t="s">
        <v>996</v>
      </c>
      <c r="C1399" s="151" t="s">
        <v>2852</v>
      </c>
      <c r="D1399" s="171" t="s">
        <v>996</v>
      </c>
      <c r="E1399" s="170" t="s">
        <v>1123</v>
      </c>
      <c r="F1399" s="171" t="s">
        <v>4576</v>
      </c>
      <c r="G1399" s="1"/>
      <c r="H1399" s="1"/>
      <c r="K1399" s="8"/>
      <c r="L1399" s="8"/>
      <c r="M1399" s="8"/>
      <c r="N1399" s="8"/>
      <c r="O1399" s="8"/>
      <c r="P1399" s="8"/>
    </row>
    <row r="1400" spans="1:16" ht="15" customHeight="1">
      <c r="A1400" s="226" t="s">
        <v>991</v>
      </c>
      <c r="B1400" s="224" t="s">
        <v>990</v>
      </c>
      <c r="C1400" s="153" t="s">
        <v>2852</v>
      </c>
      <c r="D1400" s="152" t="s">
        <v>990</v>
      </c>
      <c r="E1400" s="153" t="s">
        <v>1123</v>
      </c>
      <c r="F1400" s="152" t="s">
        <v>4577</v>
      </c>
      <c r="K1400" s="8"/>
      <c r="L1400" s="8"/>
      <c r="M1400" s="8"/>
      <c r="N1400" s="8"/>
      <c r="O1400" s="8"/>
      <c r="P1400" s="8"/>
    </row>
    <row r="1401" spans="1:16" ht="15" customHeight="1">
      <c r="A1401" s="228" t="s">
        <v>993</v>
      </c>
      <c r="B1401" s="223" t="s">
        <v>992</v>
      </c>
      <c r="C1401" s="151" t="s">
        <v>2852</v>
      </c>
      <c r="D1401" s="171" t="s">
        <v>992</v>
      </c>
      <c r="E1401" s="170" t="s">
        <v>1123</v>
      </c>
      <c r="F1401" s="171" t="s">
        <v>4578</v>
      </c>
      <c r="K1401" s="8"/>
      <c r="L1401" s="8"/>
      <c r="M1401" s="8"/>
      <c r="N1401" s="8"/>
      <c r="O1401" s="8"/>
      <c r="P1401" s="8"/>
    </row>
    <row r="1402" spans="1:16" ht="15" customHeight="1">
      <c r="A1402" s="226" t="s">
        <v>987</v>
      </c>
      <c r="B1402" s="224" t="s">
        <v>986</v>
      </c>
      <c r="C1402" s="153" t="s">
        <v>2852</v>
      </c>
      <c r="D1402" s="152" t="s">
        <v>986</v>
      </c>
      <c r="E1402" s="153" t="s">
        <v>1123</v>
      </c>
      <c r="F1402" s="152" t="s">
        <v>4579</v>
      </c>
      <c r="K1402" s="8"/>
      <c r="L1402" s="8"/>
      <c r="M1402" s="8"/>
      <c r="N1402" s="8"/>
      <c r="O1402" s="8"/>
      <c r="P1402" s="8"/>
    </row>
    <row r="1403" spans="1:16" ht="15" customHeight="1">
      <c r="A1403" s="228" t="s">
        <v>989</v>
      </c>
      <c r="B1403" s="223" t="s">
        <v>988</v>
      </c>
      <c r="C1403" s="151" t="s">
        <v>2852</v>
      </c>
      <c r="D1403" s="171" t="s">
        <v>988</v>
      </c>
      <c r="E1403" s="170" t="s">
        <v>1123</v>
      </c>
      <c r="F1403" s="171" t="s">
        <v>4580</v>
      </c>
      <c r="K1403" s="8"/>
      <c r="L1403" s="8"/>
      <c r="M1403" s="8"/>
      <c r="N1403" s="8"/>
      <c r="O1403" s="8"/>
      <c r="P1403" s="8"/>
    </row>
    <row r="1404" spans="1:16" ht="15" customHeight="1">
      <c r="A1404" s="287" t="s">
        <v>983</v>
      </c>
      <c r="B1404" s="280" t="s">
        <v>4581</v>
      </c>
      <c r="C1404" s="153" t="s">
        <v>2852</v>
      </c>
      <c r="D1404" s="183" t="s">
        <v>2894</v>
      </c>
      <c r="E1404" s="153" t="s">
        <v>1123</v>
      </c>
      <c r="F1404" s="152" t="s">
        <v>4642</v>
      </c>
      <c r="I1404" s="157"/>
      <c r="K1404" s="8"/>
      <c r="L1404" s="8"/>
      <c r="M1404" s="8"/>
      <c r="N1404" s="8"/>
      <c r="O1404" s="8"/>
      <c r="P1404" s="8"/>
    </row>
    <row r="1405" spans="1:16" ht="15" customHeight="1">
      <c r="A1405" s="287"/>
      <c r="B1405" s="280"/>
      <c r="C1405" s="153" t="s">
        <v>753</v>
      </c>
      <c r="D1405" s="183" t="s">
        <v>4583</v>
      </c>
      <c r="E1405" s="153" t="s">
        <v>1123</v>
      </c>
      <c r="F1405" s="152" t="s">
        <v>4643</v>
      </c>
      <c r="G1405" s="157"/>
      <c r="H1405" s="157"/>
      <c r="K1405" s="8"/>
      <c r="L1405" s="8"/>
      <c r="M1405" s="8"/>
      <c r="N1405" s="8"/>
      <c r="O1405" s="8"/>
      <c r="P1405" s="8"/>
    </row>
    <row r="1406" spans="1:16" ht="15" customHeight="1">
      <c r="A1406" s="286" t="s">
        <v>985</v>
      </c>
      <c r="B1406" s="281" t="s">
        <v>4582</v>
      </c>
      <c r="C1406" s="194" t="s">
        <v>753</v>
      </c>
      <c r="D1406" s="175" t="s">
        <v>2893</v>
      </c>
      <c r="E1406" s="170" t="s">
        <v>1123</v>
      </c>
      <c r="F1406" s="171" t="s">
        <v>4602</v>
      </c>
      <c r="I1406" s="157"/>
      <c r="K1406" s="8"/>
      <c r="L1406" s="8"/>
      <c r="M1406" s="8"/>
      <c r="N1406" s="8"/>
      <c r="O1406" s="8"/>
      <c r="P1406" s="8"/>
    </row>
    <row r="1407" spans="1:16" ht="15" customHeight="1">
      <c r="A1407" s="286"/>
      <c r="B1407" s="281"/>
      <c r="C1407" s="194" t="s">
        <v>753</v>
      </c>
      <c r="D1407" s="175" t="s">
        <v>4584</v>
      </c>
      <c r="E1407" s="170" t="s">
        <v>1123</v>
      </c>
      <c r="F1407" s="171" t="s">
        <v>4603</v>
      </c>
      <c r="G1407" s="157"/>
      <c r="H1407" s="157"/>
      <c r="K1407" s="8"/>
      <c r="L1407" s="8"/>
      <c r="M1407" s="8"/>
      <c r="N1407" s="8"/>
      <c r="O1407" s="8"/>
      <c r="P1407" s="8"/>
    </row>
    <row r="1408" spans="1:16" ht="15" customHeight="1">
      <c r="A1408" s="284" t="s">
        <v>979</v>
      </c>
      <c r="B1408" s="282" t="s">
        <v>4586</v>
      </c>
      <c r="C1408" s="153" t="s">
        <v>753</v>
      </c>
      <c r="D1408" s="183" t="s">
        <v>4587</v>
      </c>
      <c r="E1408" s="153" t="s">
        <v>1123</v>
      </c>
      <c r="F1408" s="152" t="s">
        <v>4604</v>
      </c>
      <c r="I1408" s="157"/>
      <c r="K1408" s="8"/>
      <c r="L1408" s="8"/>
      <c r="M1408" s="8"/>
      <c r="N1408" s="8"/>
      <c r="O1408" s="8"/>
      <c r="P1408" s="8"/>
    </row>
    <row r="1409" spans="1:16" ht="15" customHeight="1">
      <c r="A1409" s="284"/>
      <c r="B1409" s="282"/>
      <c r="C1409" s="153" t="s">
        <v>753</v>
      </c>
      <c r="D1409" s="152" t="s">
        <v>4585</v>
      </c>
      <c r="E1409" s="153" t="s">
        <v>1123</v>
      </c>
      <c r="F1409" s="152" t="s">
        <v>4605</v>
      </c>
      <c r="G1409" s="157"/>
      <c r="H1409" s="157"/>
      <c r="K1409" s="8"/>
      <c r="L1409" s="8"/>
      <c r="M1409" s="8"/>
      <c r="N1409" s="8"/>
      <c r="O1409" s="8"/>
      <c r="P1409" s="8"/>
    </row>
    <row r="1410" spans="1:16" ht="15" customHeight="1">
      <c r="A1410" s="285" t="s">
        <v>981</v>
      </c>
      <c r="B1410" s="283" t="s">
        <v>4588</v>
      </c>
      <c r="C1410" s="151" t="s">
        <v>753</v>
      </c>
      <c r="D1410" s="171" t="s">
        <v>4590</v>
      </c>
      <c r="E1410" s="170" t="s">
        <v>1123</v>
      </c>
      <c r="F1410" s="171" t="s">
        <v>4606</v>
      </c>
      <c r="I1410" s="157"/>
      <c r="K1410" s="8"/>
      <c r="L1410" s="8"/>
      <c r="M1410" s="8"/>
      <c r="N1410" s="8"/>
      <c r="O1410" s="8"/>
      <c r="P1410" s="8"/>
    </row>
    <row r="1411" spans="1:16" ht="15" customHeight="1">
      <c r="A1411" s="285"/>
      <c r="B1411" s="283"/>
      <c r="C1411" s="151" t="s">
        <v>753</v>
      </c>
      <c r="D1411" s="171" t="s">
        <v>4589</v>
      </c>
      <c r="E1411" s="170" t="s">
        <v>1123</v>
      </c>
      <c r="F1411" s="171" t="s">
        <v>4607</v>
      </c>
      <c r="G1411" s="157"/>
      <c r="H1411" s="157"/>
      <c r="K1411" s="8"/>
      <c r="L1411" s="8"/>
      <c r="M1411" s="8"/>
      <c r="N1411" s="8"/>
      <c r="O1411" s="8"/>
      <c r="P1411" s="8"/>
    </row>
    <row r="1412" spans="1:16" ht="15" customHeight="1">
      <c r="A1412" s="182" t="s">
        <v>976</v>
      </c>
      <c r="B1412" s="202" t="s">
        <v>683</v>
      </c>
      <c r="C1412" s="153" t="s">
        <v>753</v>
      </c>
      <c r="D1412" s="152" t="s">
        <v>683</v>
      </c>
      <c r="E1412" s="153" t="s">
        <v>1123</v>
      </c>
      <c r="F1412" s="152" t="s">
        <v>4608</v>
      </c>
      <c r="K1412" s="8"/>
      <c r="L1412" s="8"/>
      <c r="M1412" s="8"/>
      <c r="N1412" s="8"/>
      <c r="O1412" s="8"/>
      <c r="P1412" s="8"/>
    </row>
    <row r="1413" spans="1:16" ht="15" customHeight="1">
      <c r="A1413" s="194" t="s">
        <v>977</v>
      </c>
      <c r="B1413" s="209" t="s">
        <v>713</v>
      </c>
      <c r="C1413" s="151" t="s">
        <v>753</v>
      </c>
      <c r="D1413" s="171" t="s">
        <v>713</v>
      </c>
      <c r="E1413" s="170" t="s">
        <v>1123</v>
      </c>
      <c r="F1413" s="171" t="s">
        <v>4609</v>
      </c>
      <c r="K1413" s="8"/>
      <c r="L1413" s="8"/>
      <c r="M1413" s="8"/>
      <c r="N1413" s="8"/>
      <c r="O1413" s="8"/>
      <c r="P1413" s="8"/>
    </row>
    <row r="1414" spans="1:16" ht="15" customHeight="1">
      <c r="A1414" s="193" t="s">
        <v>975</v>
      </c>
      <c r="B1414" s="208" t="s">
        <v>974</v>
      </c>
      <c r="C1414" s="153" t="s">
        <v>753</v>
      </c>
      <c r="D1414" s="152" t="s">
        <v>974</v>
      </c>
      <c r="E1414" s="153" t="s">
        <v>505</v>
      </c>
      <c r="F1414" s="152" t="s">
        <v>4610</v>
      </c>
      <c r="I1414" s="157"/>
      <c r="K1414" s="8"/>
      <c r="L1414" s="8"/>
      <c r="M1414" s="8"/>
      <c r="N1414" s="8"/>
      <c r="O1414" s="8"/>
      <c r="P1414" s="8"/>
    </row>
    <row r="1415" spans="1:16" ht="15" customHeight="1">
      <c r="A1415" s="195" t="s">
        <v>972</v>
      </c>
      <c r="B1415" s="204" t="s">
        <v>971</v>
      </c>
      <c r="C1415" s="151" t="s">
        <v>753</v>
      </c>
      <c r="D1415" s="171" t="s">
        <v>971</v>
      </c>
      <c r="E1415" s="170" t="s">
        <v>505</v>
      </c>
      <c r="F1415" s="171" t="s">
        <v>4611</v>
      </c>
      <c r="I1415" s="157"/>
      <c r="K1415" s="8"/>
      <c r="L1415" s="8"/>
      <c r="M1415" s="8"/>
      <c r="N1415" s="8"/>
      <c r="O1415" s="8"/>
      <c r="P1415" s="8"/>
    </row>
    <row r="1416" spans="1:16" ht="15" customHeight="1">
      <c r="A1416" s="193" t="s">
        <v>968</v>
      </c>
      <c r="B1416" s="196" t="s">
        <v>967</v>
      </c>
      <c r="C1416" s="153" t="s">
        <v>753</v>
      </c>
      <c r="D1416" s="152" t="s">
        <v>967</v>
      </c>
      <c r="E1416" s="153" t="s">
        <v>1123</v>
      </c>
      <c r="F1416" s="152" t="s">
        <v>4612</v>
      </c>
      <c r="K1416" s="8"/>
      <c r="L1416" s="8"/>
      <c r="M1416" s="8"/>
      <c r="N1416" s="8"/>
      <c r="O1416" s="8"/>
      <c r="P1416" s="8"/>
    </row>
    <row r="1417" spans="1:16" ht="15" customHeight="1">
      <c r="A1417" s="194" t="s">
        <v>970</v>
      </c>
      <c r="B1417" s="197" t="s">
        <v>969</v>
      </c>
      <c r="C1417" s="151" t="s">
        <v>753</v>
      </c>
      <c r="D1417" s="171" t="s">
        <v>969</v>
      </c>
      <c r="E1417" s="170" t="s">
        <v>1123</v>
      </c>
      <c r="F1417" s="171" t="s">
        <v>4613</v>
      </c>
      <c r="K1417" s="8"/>
      <c r="L1417" s="8"/>
      <c r="M1417" s="8"/>
      <c r="N1417" s="8"/>
      <c r="O1417" s="8"/>
      <c r="P1417" s="8"/>
    </row>
    <row r="1418" spans="1:16" ht="15" customHeight="1">
      <c r="A1418" s="193" t="s">
        <v>964</v>
      </c>
      <c r="B1418" s="196" t="s">
        <v>963</v>
      </c>
      <c r="C1418" s="153" t="s">
        <v>753</v>
      </c>
      <c r="D1418" s="152" t="s">
        <v>963</v>
      </c>
      <c r="E1418" s="153" t="s">
        <v>1123</v>
      </c>
      <c r="F1418" s="152" t="s">
        <v>4614</v>
      </c>
      <c r="K1418" s="8"/>
      <c r="L1418" s="8"/>
      <c r="M1418" s="8"/>
      <c r="N1418" s="8"/>
      <c r="O1418" s="8"/>
      <c r="P1418" s="8"/>
    </row>
    <row r="1419" spans="1:16" ht="15" customHeight="1">
      <c r="A1419" s="194" t="s">
        <v>966</v>
      </c>
      <c r="B1419" s="197" t="s">
        <v>965</v>
      </c>
      <c r="C1419" s="151" t="s">
        <v>753</v>
      </c>
      <c r="D1419" s="171" t="s">
        <v>965</v>
      </c>
      <c r="E1419" s="170" t="s">
        <v>1123</v>
      </c>
      <c r="F1419" s="171" t="s">
        <v>4615</v>
      </c>
      <c r="K1419" s="8"/>
      <c r="L1419" s="8"/>
      <c r="M1419" s="8"/>
      <c r="N1419" s="8"/>
      <c r="O1419" s="8"/>
      <c r="P1419" s="8"/>
    </row>
    <row r="1420" spans="1:16" ht="15" customHeight="1">
      <c r="A1420" s="193" t="s">
        <v>961</v>
      </c>
      <c r="B1420" s="196" t="s">
        <v>612</v>
      </c>
      <c r="C1420" s="153" t="s">
        <v>753</v>
      </c>
      <c r="D1420" s="152" t="s">
        <v>612</v>
      </c>
      <c r="E1420" s="153" t="s">
        <v>1123</v>
      </c>
      <c r="F1420" s="152" t="s">
        <v>4616</v>
      </c>
      <c r="K1420" s="8"/>
      <c r="L1420" s="8"/>
      <c r="M1420" s="8"/>
      <c r="N1420" s="8"/>
      <c r="O1420" s="8"/>
      <c r="P1420" s="8"/>
    </row>
    <row r="1421" spans="1:16" ht="15" customHeight="1">
      <c r="A1421" s="194" t="s">
        <v>962</v>
      </c>
      <c r="B1421" s="197" t="s">
        <v>629</v>
      </c>
      <c r="C1421" s="151" t="s">
        <v>753</v>
      </c>
      <c r="D1421" s="171" t="s">
        <v>629</v>
      </c>
      <c r="E1421" s="170" t="s">
        <v>1123</v>
      </c>
      <c r="F1421" s="171" t="s">
        <v>4617</v>
      </c>
      <c r="K1421" s="8"/>
      <c r="L1421" s="8"/>
      <c r="M1421" s="8"/>
      <c r="N1421" s="8"/>
      <c r="O1421" s="8"/>
      <c r="P1421" s="8"/>
    </row>
    <row r="1422" spans="1:16" ht="15" customHeight="1">
      <c r="A1422" s="272" t="s">
        <v>958</v>
      </c>
      <c r="B1422" s="276" t="s">
        <v>4592</v>
      </c>
      <c r="C1422" s="153" t="s">
        <v>753</v>
      </c>
      <c r="D1422" s="152" t="s">
        <v>4593</v>
      </c>
      <c r="E1422" s="153" t="s">
        <v>1123</v>
      </c>
      <c r="F1422" s="152" t="s">
        <v>4618</v>
      </c>
      <c r="I1422" s="157"/>
      <c r="K1422" s="8"/>
      <c r="L1422" s="8"/>
      <c r="M1422" s="8"/>
      <c r="N1422" s="8"/>
      <c r="O1422" s="8"/>
      <c r="P1422" s="8"/>
    </row>
    <row r="1423" spans="1:16" ht="15" customHeight="1">
      <c r="A1423" s="273"/>
      <c r="B1423" s="277"/>
      <c r="C1423" s="153" t="s">
        <v>753</v>
      </c>
      <c r="D1423" s="152" t="s">
        <v>4591</v>
      </c>
      <c r="E1423" s="153" t="s">
        <v>1123</v>
      </c>
      <c r="F1423" s="152" t="s">
        <v>4619</v>
      </c>
      <c r="G1423" s="157"/>
      <c r="H1423" s="157"/>
      <c r="K1423" s="8"/>
      <c r="L1423" s="8"/>
      <c r="M1423" s="8"/>
      <c r="N1423" s="8"/>
      <c r="O1423" s="8"/>
      <c r="P1423" s="8"/>
    </row>
    <row r="1424" spans="1:16" ht="15" customHeight="1">
      <c r="A1424" s="274" t="s">
        <v>960</v>
      </c>
      <c r="B1424" s="278" t="s">
        <v>4594</v>
      </c>
      <c r="C1424" s="151" t="s">
        <v>753</v>
      </c>
      <c r="D1424" s="175" t="s">
        <v>4595</v>
      </c>
      <c r="E1424" s="170" t="s">
        <v>1123</v>
      </c>
      <c r="F1424" s="171" t="s">
        <v>4620</v>
      </c>
      <c r="I1424" s="157"/>
      <c r="K1424" s="8"/>
      <c r="L1424" s="8"/>
      <c r="M1424" s="8"/>
      <c r="N1424" s="8"/>
      <c r="O1424" s="8"/>
      <c r="P1424" s="8"/>
    </row>
    <row r="1425" spans="1:16" ht="15" customHeight="1">
      <c r="A1425" s="275"/>
      <c r="B1425" s="279"/>
      <c r="C1425" s="151" t="s">
        <v>753</v>
      </c>
      <c r="D1425" s="175" t="s">
        <v>718</v>
      </c>
      <c r="E1425" s="170" t="s">
        <v>1123</v>
      </c>
      <c r="F1425" s="171" t="s">
        <v>4621</v>
      </c>
      <c r="G1425" s="157"/>
      <c r="H1425" s="157"/>
      <c r="K1425" s="8"/>
      <c r="L1425" s="8"/>
      <c r="M1425" s="8"/>
      <c r="N1425" s="8"/>
      <c r="O1425" s="8"/>
      <c r="P1425" s="8"/>
    </row>
    <row r="1426" spans="1:16" ht="15" customHeight="1">
      <c r="A1426" s="272" t="s">
        <v>954</v>
      </c>
      <c r="B1426" s="276" t="s">
        <v>4597</v>
      </c>
      <c r="C1426" s="153" t="s">
        <v>753</v>
      </c>
      <c r="D1426" s="183" t="s">
        <v>4598</v>
      </c>
      <c r="E1426" s="153" t="s">
        <v>1123</v>
      </c>
      <c r="F1426" s="152" t="s">
        <v>4622</v>
      </c>
      <c r="I1426" s="157"/>
      <c r="K1426" s="8"/>
      <c r="L1426" s="8"/>
      <c r="M1426" s="8"/>
      <c r="N1426" s="8"/>
      <c r="O1426" s="8"/>
      <c r="P1426" s="8"/>
    </row>
    <row r="1427" spans="1:16" ht="15" customHeight="1">
      <c r="A1427" s="273"/>
      <c r="B1427" s="277"/>
      <c r="C1427" s="153" t="s">
        <v>753</v>
      </c>
      <c r="D1427" s="152" t="s">
        <v>4596</v>
      </c>
      <c r="E1427" s="153" t="s">
        <v>1123</v>
      </c>
      <c r="F1427" s="152" t="s">
        <v>4623</v>
      </c>
      <c r="G1427" s="157"/>
      <c r="H1427" s="157"/>
      <c r="K1427" s="8"/>
      <c r="L1427" s="8"/>
      <c r="M1427" s="8"/>
      <c r="N1427" s="8"/>
      <c r="O1427" s="8"/>
      <c r="P1427" s="8"/>
    </row>
    <row r="1428" spans="1:16" ht="15" customHeight="1">
      <c r="A1428" s="274" t="s">
        <v>956</v>
      </c>
      <c r="B1428" s="278" t="s">
        <v>4600</v>
      </c>
      <c r="C1428" s="151" t="s">
        <v>753</v>
      </c>
      <c r="D1428" s="175" t="s">
        <v>4601</v>
      </c>
      <c r="E1428" s="170" t="s">
        <v>1123</v>
      </c>
      <c r="F1428" s="171" t="s">
        <v>4624</v>
      </c>
      <c r="I1428" s="157"/>
      <c r="K1428" s="8"/>
      <c r="L1428" s="8"/>
      <c r="M1428" s="8"/>
      <c r="N1428" s="8"/>
      <c r="O1428" s="8"/>
      <c r="P1428" s="8"/>
    </row>
    <row r="1429" spans="1:16" ht="15" customHeight="1">
      <c r="A1429" s="275"/>
      <c r="B1429" s="279"/>
      <c r="C1429" s="151" t="s">
        <v>753</v>
      </c>
      <c r="D1429" s="171" t="s">
        <v>4599</v>
      </c>
      <c r="E1429" s="170" t="s">
        <v>1123</v>
      </c>
      <c r="F1429" s="171" t="s">
        <v>4625</v>
      </c>
      <c r="G1429" s="157"/>
      <c r="H1429" s="157"/>
      <c r="K1429" s="8"/>
      <c r="L1429" s="8"/>
      <c r="M1429" s="8"/>
      <c r="N1429" s="8"/>
      <c r="O1429" s="8"/>
      <c r="P1429" s="8"/>
    </row>
    <row r="1430" spans="1:16" ht="15" customHeight="1">
      <c r="A1430" s="193" t="s">
        <v>951</v>
      </c>
      <c r="B1430" s="196" t="s">
        <v>689</v>
      </c>
      <c r="C1430" s="153" t="s">
        <v>2852</v>
      </c>
      <c r="D1430" s="152" t="s">
        <v>689</v>
      </c>
      <c r="E1430" s="153" t="s">
        <v>1123</v>
      </c>
      <c r="F1430" s="152" t="s">
        <v>4626</v>
      </c>
      <c r="K1430" s="8"/>
      <c r="L1430" s="8"/>
      <c r="M1430" s="8"/>
      <c r="N1430" s="8"/>
      <c r="O1430" s="8"/>
      <c r="P1430" s="8"/>
    </row>
    <row r="1431" spans="1:16" ht="15" customHeight="1">
      <c r="A1431" s="194" t="s">
        <v>952</v>
      </c>
      <c r="B1431" s="197" t="s">
        <v>717</v>
      </c>
      <c r="C1431" s="151" t="s">
        <v>2852</v>
      </c>
      <c r="D1431" s="171" t="s">
        <v>717</v>
      </c>
      <c r="E1431" s="170" t="s">
        <v>1123</v>
      </c>
      <c r="F1431" s="171" t="s">
        <v>4627</v>
      </c>
      <c r="K1431" s="8"/>
      <c r="L1431" s="8"/>
      <c r="M1431" s="8"/>
      <c r="N1431" s="8"/>
      <c r="O1431" s="8"/>
      <c r="P1431" s="8"/>
    </row>
    <row r="1432" spans="1:16" ht="15" customHeight="1">
      <c r="A1432" s="182" t="s">
        <v>949</v>
      </c>
      <c r="B1432" s="183" t="s">
        <v>948</v>
      </c>
      <c r="C1432" s="153" t="s">
        <v>2852</v>
      </c>
      <c r="D1432" s="152" t="s">
        <v>948</v>
      </c>
      <c r="E1432" s="153" t="s">
        <v>505</v>
      </c>
      <c r="F1432" s="152" t="s">
        <v>4628</v>
      </c>
      <c r="I1432" s="157"/>
      <c r="K1432" s="8"/>
      <c r="L1432" s="8"/>
      <c r="M1432" s="8"/>
      <c r="N1432" s="8"/>
      <c r="O1432" s="8"/>
      <c r="P1432" s="8"/>
    </row>
    <row r="1433" spans="1:16" ht="15" customHeight="1">
      <c r="A1433" s="195" t="s">
        <v>947</v>
      </c>
      <c r="B1433" s="175" t="s">
        <v>946</v>
      </c>
      <c r="C1433" s="151" t="s">
        <v>2852</v>
      </c>
      <c r="D1433" s="171" t="s">
        <v>946</v>
      </c>
      <c r="E1433" s="170" t="s">
        <v>505</v>
      </c>
      <c r="F1433" s="171" t="s">
        <v>4629</v>
      </c>
      <c r="I1433" s="157"/>
      <c r="K1433" s="8"/>
      <c r="L1433" s="8"/>
      <c r="M1433" s="8"/>
      <c r="N1433" s="8"/>
      <c r="O1433" s="8"/>
      <c r="P1433" s="8"/>
    </row>
    <row r="1434" spans="1:16" ht="15" customHeight="1">
      <c r="A1434" s="155" t="s">
        <v>4632</v>
      </c>
      <c r="B1434" s="154"/>
      <c r="C1434" s="155"/>
      <c r="D1434" s="154"/>
      <c r="E1434" s="155"/>
      <c r="F1434" s="154"/>
      <c r="K1434" s="8"/>
      <c r="L1434" s="8"/>
      <c r="M1434" s="8"/>
      <c r="N1434" s="8"/>
      <c r="O1434" s="8"/>
      <c r="P1434" s="8"/>
    </row>
    <row r="1435" spans="1:16" ht="15" customHeight="1">
      <c r="A1435" s="195" t="s">
        <v>943</v>
      </c>
      <c r="B1435" s="150" t="s">
        <v>176</v>
      </c>
      <c r="C1435" s="151" t="s">
        <v>2852</v>
      </c>
      <c r="D1435" s="171" t="s">
        <v>176</v>
      </c>
      <c r="E1435" s="170" t="s">
        <v>1123</v>
      </c>
      <c r="F1435" s="171" t="s">
        <v>2867</v>
      </c>
      <c r="K1435" s="8"/>
      <c r="L1435" s="8"/>
      <c r="M1435" s="8"/>
      <c r="N1435" s="8"/>
      <c r="O1435" s="8"/>
      <c r="P1435" s="8"/>
    </row>
    <row r="1436" spans="1:16" ht="15" customHeight="1">
      <c r="A1436" s="182" t="s">
        <v>942</v>
      </c>
      <c r="B1436" s="152" t="s">
        <v>210</v>
      </c>
      <c r="C1436" s="153" t="s">
        <v>2852</v>
      </c>
      <c r="D1436" s="152" t="s">
        <v>210</v>
      </c>
      <c r="E1436" s="153" t="s">
        <v>1123</v>
      </c>
      <c r="F1436" s="152" t="s">
        <v>2866</v>
      </c>
      <c r="K1436" s="8"/>
      <c r="L1436" s="8"/>
      <c r="M1436" s="8"/>
      <c r="N1436" s="8"/>
      <c r="O1436" s="8"/>
      <c r="P1436" s="8"/>
    </row>
    <row r="1437" spans="1:16" ht="15" customHeight="1">
      <c r="A1437" s="195" t="s">
        <v>941</v>
      </c>
      <c r="B1437" s="150" t="s">
        <v>192</v>
      </c>
      <c r="C1437" s="151" t="s">
        <v>2852</v>
      </c>
      <c r="D1437" s="171" t="s">
        <v>192</v>
      </c>
      <c r="E1437" s="170" t="s">
        <v>1123</v>
      </c>
      <c r="F1437" s="171" t="s">
        <v>2865</v>
      </c>
      <c r="K1437" s="8"/>
      <c r="L1437" s="8"/>
      <c r="M1437" s="8"/>
      <c r="N1437" s="8"/>
      <c r="O1437" s="8"/>
      <c r="P1437" s="8"/>
    </row>
    <row r="1438" spans="1:16" ht="15" customHeight="1">
      <c r="A1438" s="182" t="s">
        <v>940</v>
      </c>
      <c r="B1438" s="152" t="s">
        <v>227</v>
      </c>
      <c r="C1438" s="153" t="s">
        <v>2852</v>
      </c>
      <c r="D1438" s="152" t="s">
        <v>227</v>
      </c>
      <c r="E1438" s="153" t="s">
        <v>1123</v>
      </c>
      <c r="F1438" s="152" t="s">
        <v>2864</v>
      </c>
      <c r="K1438" s="8"/>
      <c r="L1438" s="8"/>
      <c r="M1438" s="8"/>
      <c r="N1438" s="8"/>
      <c r="O1438" s="8"/>
      <c r="P1438" s="8"/>
    </row>
    <row r="1439" spans="1:16" ht="15" customHeight="1">
      <c r="A1439" s="195" t="s">
        <v>939</v>
      </c>
      <c r="B1439" s="150" t="s">
        <v>211</v>
      </c>
      <c r="C1439" s="151" t="s">
        <v>2852</v>
      </c>
      <c r="D1439" s="171" t="s">
        <v>211</v>
      </c>
      <c r="E1439" s="170" t="s">
        <v>1123</v>
      </c>
      <c r="F1439" s="171" t="s">
        <v>2863</v>
      </c>
      <c r="K1439" s="8"/>
      <c r="L1439" s="8"/>
      <c r="M1439" s="8"/>
      <c r="N1439" s="8"/>
      <c r="O1439" s="8"/>
      <c r="P1439" s="8"/>
    </row>
    <row r="1440" spans="1:16" ht="15" customHeight="1">
      <c r="A1440" s="182" t="s">
        <v>937</v>
      </c>
      <c r="B1440" s="152" t="s">
        <v>193</v>
      </c>
      <c r="C1440" s="153" t="s">
        <v>2852</v>
      </c>
      <c r="D1440" s="152" t="s">
        <v>193</v>
      </c>
      <c r="E1440" s="153" t="s">
        <v>1123</v>
      </c>
      <c r="F1440" s="152" t="s">
        <v>2862</v>
      </c>
      <c r="K1440" s="8"/>
      <c r="L1440" s="8"/>
      <c r="M1440" s="8"/>
      <c r="N1440" s="8"/>
      <c r="O1440" s="8"/>
      <c r="P1440" s="8"/>
    </row>
    <row r="1441" spans="1:16" ht="15" customHeight="1">
      <c r="A1441" s="195" t="s">
        <v>936</v>
      </c>
      <c r="B1441" s="150" t="s">
        <v>229</v>
      </c>
      <c r="C1441" s="151" t="s">
        <v>2852</v>
      </c>
      <c r="D1441" s="171" t="s">
        <v>229</v>
      </c>
      <c r="E1441" s="170" t="s">
        <v>1123</v>
      </c>
      <c r="F1441" s="171" t="s">
        <v>2861</v>
      </c>
      <c r="K1441" s="8"/>
      <c r="L1441" s="8"/>
      <c r="M1441" s="8"/>
      <c r="N1441" s="8"/>
      <c r="O1441" s="8"/>
      <c r="P1441" s="8"/>
    </row>
    <row r="1442" spans="1:16" ht="15" customHeight="1">
      <c r="A1442" s="182" t="s">
        <v>935</v>
      </c>
      <c r="B1442" s="152" t="s">
        <v>264</v>
      </c>
      <c r="C1442" s="153" t="s">
        <v>2852</v>
      </c>
      <c r="D1442" s="152" t="s">
        <v>264</v>
      </c>
      <c r="E1442" s="153" t="s">
        <v>1123</v>
      </c>
      <c r="F1442" s="152" t="s">
        <v>2860</v>
      </c>
      <c r="K1442" s="8"/>
      <c r="L1442" s="8"/>
      <c r="M1442" s="8"/>
      <c r="N1442" s="8"/>
      <c r="O1442" s="8"/>
      <c r="P1442" s="8"/>
    </row>
    <row r="1443" spans="1:16" ht="15" customHeight="1">
      <c r="A1443" s="195" t="s">
        <v>933</v>
      </c>
      <c r="B1443" s="150" t="s">
        <v>284</v>
      </c>
      <c r="C1443" s="151" t="s">
        <v>2852</v>
      </c>
      <c r="D1443" s="171" t="s">
        <v>284</v>
      </c>
      <c r="E1443" s="170" t="s">
        <v>505</v>
      </c>
      <c r="F1443" s="171" t="s">
        <v>2859</v>
      </c>
      <c r="K1443" s="8"/>
      <c r="L1443" s="8"/>
      <c r="M1443" s="8"/>
      <c r="N1443" s="8"/>
      <c r="O1443" s="8"/>
      <c r="P1443" s="8"/>
    </row>
    <row r="1444" spans="1:16" ht="15" customHeight="1">
      <c r="A1444" s="182" t="s">
        <v>930</v>
      </c>
      <c r="B1444" s="152" t="s">
        <v>929</v>
      </c>
      <c r="C1444" s="153" t="s">
        <v>2852</v>
      </c>
      <c r="D1444" s="152" t="s">
        <v>929</v>
      </c>
      <c r="E1444" s="153" t="s">
        <v>753</v>
      </c>
      <c r="F1444" s="152" t="s">
        <v>5004</v>
      </c>
      <c r="K1444" s="8"/>
      <c r="L1444" s="8"/>
      <c r="M1444" s="8"/>
      <c r="N1444" s="8"/>
      <c r="O1444" s="8"/>
      <c r="P1444" s="8"/>
    </row>
    <row r="1445" spans="1:16" ht="15" customHeight="1">
      <c r="A1445" s="228" t="s">
        <v>928</v>
      </c>
      <c r="B1445" s="223" t="s">
        <v>927</v>
      </c>
      <c r="C1445" s="228" t="s">
        <v>753</v>
      </c>
      <c r="D1445" s="223" t="s">
        <v>927</v>
      </c>
      <c r="E1445" s="228" t="s">
        <v>753</v>
      </c>
      <c r="F1445" s="223" t="s">
        <v>5005</v>
      </c>
      <c r="K1445" s="8"/>
      <c r="L1445" s="8"/>
      <c r="M1445" s="8"/>
      <c r="N1445" s="8"/>
      <c r="O1445" s="8"/>
      <c r="P1445" s="8"/>
    </row>
    <row r="1446" spans="1:16" ht="15" customHeight="1">
      <c r="A1446" s="226" t="s">
        <v>925</v>
      </c>
      <c r="B1446" s="224" t="s">
        <v>442</v>
      </c>
      <c r="C1446" s="226" t="s">
        <v>2852</v>
      </c>
      <c r="D1446" s="224" t="s">
        <v>442</v>
      </c>
      <c r="E1446" s="226" t="s">
        <v>505</v>
      </c>
      <c r="F1446" s="224" t="s">
        <v>2858</v>
      </c>
      <c r="K1446" s="8"/>
      <c r="L1446" s="8"/>
      <c r="M1446" s="8"/>
      <c r="N1446" s="8"/>
      <c r="O1446" s="8"/>
      <c r="P1446" s="8"/>
    </row>
    <row r="1447" spans="1:16" ht="15" customHeight="1">
      <c r="A1447" s="155" t="s">
        <v>4633</v>
      </c>
      <c r="B1447" s="154"/>
      <c r="C1447" s="155"/>
      <c r="D1447" s="154"/>
      <c r="E1447" s="155"/>
      <c r="F1447" s="154"/>
      <c r="K1447" s="8"/>
      <c r="L1447" s="8"/>
      <c r="M1447" s="8"/>
      <c r="N1447" s="8"/>
      <c r="O1447" s="8"/>
      <c r="P1447" s="8"/>
    </row>
    <row r="1448" spans="1:16" ht="15" customHeight="1">
      <c r="A1448" s="195" t="s">
        <v>923</v>
      </c>
      <c r="B1448" s="150" t="s">
        <v>334</v>
      </c>
      <c r="C1448" s="151" t="s">
        <v>2852</v>
      </c>
      <c r="D1448" s="171" t="s">
        <v>334</v>
      </c>
      <c r="E1448" s="170" t="s">
        <v>505</v>
      </c>
      <c r="F1448" s="171" t="s">
        <v>2857</v>
      </c>
      <c r="K1448" s="8"/>
      <c r="L1448" s="8"/>
      <c r="M1448" s="8"/>
      <c r="N1448" s="8"/>
      <c r="O1448" s="8"/>
      <c r="P1448" s="8"/>
    </row>
    <row r="1449" spans="1:16" ht="15" customHeight="1">
      <c r="A1449" s="182" t="s">
        <v>922</v>
      </c>
      <c r="B1449" s="152" t="s">
        <v>333</v>
      </c>
      <c r="C1449" s="153" t="s">
        <v>2852</v>
      </c>
      <c r="D1449" s="152" t="s">
        <v>333</v>
      </c>
      <c r="E1449" s="153" t="s">
        <v>505</v>
      </c>
      <c r="F1449" s="152" t="s">
        <v>2857</v>
      </c>
      <c r="K1449" s="8"/>
      <c r="L1449" s="8"/>
      <c r="M1449" s="8"/>
      <c r="N1449" s="8"/>
      <c r="O1449" s="8"/>
      <c r="P1449" s="8"/>
    </row>
    <row r="1450" spans="1:16" ht="15" customHeight="1">
      <c r="A1450" s="195" t="s">
        <v>921</v>
      </c>
      <c r="B1450" s="150" t="s">
        <v>354</v>
      </c>
      <c r="C1450" s="151" t="s">
        <v>2852</v>
      </c>
      <c r="D1450" s="171" t="s">
        <v>354</v>
      </c>
      <c r="E1450" s="170" t="s">
        <v>505</v>
      </c>
      <c r="F1450" s="171" t="s">
        <v>2857</v>
      </c>
      <c r="K1450" s="8"/>
      <c r="L1450" s="8"/>
      <c r="M1450" s="8"/>
      <c r="N1450" s="8"/>
      <c r="O1450" s="8"/>
      <c r="P1450" s="8"/>
    </row>
    <row r="1451" spans="1:16" ht="15" customHeight="1">
      <c r="A1451" s="182" t="s">
        <v>920</v>
      </c>
      <c r="B1451" s="152" t="s">
        <v>355</v>
      </c>
      <c r="C1451" s="153" t="s">
        <v>2852</v>
      </c>
      <c r="D1451" s="152" t="s">
        <v>355</v>
      </c>
      <c r="E1451" s="153" t="s">
        <v>505</v>
      </c>
      <c r="F1451" s="152" t="s">
        <v>2857</v>
      </c>
      <c r="K1451" s="8"/>
      <c r="L1451" s="8"/>
      <c r="M1451" s="8"/>
      <c r="N1451" s="8"/>
      <c r="O1451" s="8"/>
      <c r="P1451" s="8"/>
    </row>
    <row r="1452" spans="1:16" ht="15" customHeight="1">
      <c r="A1452" s="195" t="s">
        <v>919</v>
      </c>
      <c r="B1452" s="150" t="s">
        <v>356</v>
      </c>
      <c r="C1452" s="151" t="s">
        <v>2852</v>
      </c>
      <c r="D1452" s="171" t="s">
        <v>356</v>
      </c>
      <c r="E1452" s="170" t="s">
        <v>505</v>
      </c>
      <c r="F1452" s="171" t="s">
        <v>2857</v>
      </c>
      <c r="K1452" s="8"/>
      <c r="L1452" s="8"/>
      <c r="M1452" s="8"/>
      <c r="N1452" s="8"/>
      <c r="O1452" s="8"/>
      <c r="P1452" s="8"/>
    </row>
    <row r="1453" spans="1:16" ht="15" customHeight="1">
      <c r="A1453" s="182" t="s">
        <v>918</v>
      </c>
      <c r="B1453" s="152" t="s">
        <v>381</v>
      </c>
      <c r="C1453" s="153" t="s">
        <v>2852</v>
      </c>
      <c r="D1453" s="152" t="s">
        <v>381</v>
      </c>
      <c r="E1453" s="153" t="s">
        <v>505</v>
      </c>
      <c r="F1453" s="152" t="s">
        <v>2856</v>
      </c>
      <c r="K1453" s="8"/>
      <c r="L1453" s="8"/>
      <c r="M1453" s="8"/>
      <c r="N1453" s="8"/>
      <c r="O1453" s="8"/>
      <c r="P1453" s="8"/>
    </row>
    <row r="1454" spans="1:16" ht="15" customHeight="1">
      <c r="A1454" s="195" t="s">
        <v>917</v>
      </c>
      <c r="B1454" s="150" t="s">
        <v>358</v>
      </c>
      <c r="C1454" s="151" t="s">
        <v>2852</v>
      </c>
      <c r="D1454" s="171" t="s">
        <v>358</v>
      </c>
      <c r="E1454" s="170" t="s">
        <v>505</v>
      </c>
      <c r="F1454" s="171" t="s">
        <v>2856</v>
      </c>
      <c r="K1454" s="8"/>
      <c r="L1454" s="8"/>
      <c r="M1454" s="8"/>
      <c r="N1454" s="8"/>
      <c r="O1454" s="8"/>
      <c r="P1454" s="8"/>
    </row>
    <row r="1455" spans="1:16" ht="15" customHeight="1">
      <c r="A1455" s="182" t="s">
        <v>916</v>
      </c>
      <c r="B1455" s="152" t="s">
        <v>337</v>
      </c>
      <c r="C1455" s="153" t="s">
        <v>2852</v>
      </c>
      <c r="D1455" s="152" t="s">
        <v>337</v>
      </c>
      <c r="E1455" s="153" t="s">
        <v>505</v>
      </c>
      <c r="F1455" s="152" t="s">
        <v>2856</v>
      </c>
      <c r="K1455" s="8"/>
      <c r="L1455" s="8"/>
      <c r="M1455" s="8"/>
      <c r="N1455" s="8"/>
      <c r="O1455" s="8"/>
      <c r="P1455" s="8"/>
    </row>
    <row r="1456" spans="1:16" ht="15" customHeight="1">
      <c r="A1456" s="195" t="s">
        <v>915</v>
      </c>
      <c r="B1456" s="150" t="s">
        <v>314</v>
      </c>
      <c r="C1456" s="151" t="s">
        <v>2852</v>
      </c>
      <c r="D1456" s="171" t="s">
        <v>314</v>
      </c>
      <c r="E1456" s="170" t="s">
        <v>505</v>
      </c>
      <c r="F1456" s="171" t="s">
        <v>2856</v>
      </c>
      <c r="K1456" s="8"/>
      <c r="L1456" s="8"/>
      <c r="M1456" s="8"/>
      <c r="N1456" s="8"/>
      <c r="O1456" s="8"/>
      <c r="P1456" s="8"/>
    </row>
    <row r="1457" spans="1:16" ht="15" customHeight="1">
      <c r="A1457" s="182" t="s">
        <v>913</v>
      </c>
      <c r="B1457" s="152" t="s">
        <v>336</v>
      </c>
      <c r="C1457" s="153" t="s">
        <v>2852</v>
      </c>
      <c r="D1457" s="152" t="s">
        <v>336</v>
      </c>
      <c r="E1457" s="153" t="s">
        <v>505</v>
      </c>
      <c r="F1457" s="152" t="s">
        <v>2856</v>
      </c>
      <c r="K1457" s="8"/>
      <c r="L1457" s="8"/>
      <c r="M1457" s="8"/>
      <c r="N1457" s="8"/>
      <c r="O1457" s="8"/>
      <c r="P1457" s="8"/>
    </row>
    <row r="1458" spans="1:16" ht="15" customHeight="1">
      <c r="A1458" s="195" t="s">
        <v>912</v>
      </c>
      <c r="B1458" s="150" t="s">
        <v>357</v>
      </c>
      <c r="C1458" s="151" t="s">
        <v>2852</v>
      </c>
      <c r="D1458" s="171" t="s">
        <v>357</v>
      </c>
      <c r="E1458" s="170" t="s">
        <v>505</v>
      </c>
      <c r="F1458" s="171" t="s">
        <v>2856</v>
      </c>
      <c r="K1458" s="8"/>
      <c r="L1458" s="8"/>
      <c r="M1458" s="8"/>
      <c r="N1458" s="8"/>
      <c r="O1458" s="8"/>
      <c r="P1458" s="8"/>
    </row>
    <row r="1459" spans="1:16" ht="15" customHeight="1">
      <c r="A1459" s="182" t="s">
        <v>911</v>
      </c>
      <c r="B1459" s="152" t="s">
        <v>424</v>
      </c>
      <c r="C1459" s="153" t="s">
        <v>2852</v>
      </c>
      <c r="D1459" s="152" t="s">
        <v>424</v>
      </c>
      <c r="E1459" s="153" t="s">
        <v>505</v>
      </c>
      <c r="F1459" s="152" t="s">
        <v>4634</v>
      </c>
      <c r="K1459" s="8"/>
      <c r="L1459" s="8"/>
      <c r="M1459" s="8"/>
      <c r="N1459" s="8"/>
      <c r="O1459" s="8"/>
      <c r="P1459" s="8"/>
    </row>
    <row r="1460" spans="1:16" ht="15" customHeight="1">
      <c r="A1460" s="195" t="s">
        <v>910</v>
      </c>
      <c r="B1460" s="150" t="s">
        <v>402</v>
      </c>
      <c r="C1460" s="151" t="s">
        <v>2852</v>
      </c>
      <c r="D1460" s="171" t="s">
        <v>402</v>
      </c>
      <c r="E1460" s="170" t="s">
        <v>505</v>
      </c>
      <c r="F1460" s="171" t="s">
        <v>4634</v>
      </c>
      <c r="K1460" s="8"/>
      <c r="L1460" s="8"/>
      <c r="M1460" s="8"/>
      <c r="N1460" s="8"/>
      <c r="O1460" s="8"/>
      <c r="P1460" s="8"/>
    </row>
    <row r="1461" spans="1:16" ht="15" customHeight="1">
      <c r="A1461" s="182" t="s">
        <v>909</v>
      </c>
      <c r="B1461" s="152" t="s">
        <v>422</v>
      </c>
      <c r="C1461" s="153" t="s">
        <v>2852</v>
      </c>
      <c r="D1461" s="152" t="s">
        <v>422</v>
      </c>
      <c r="E1461" s="153" t="s">
        <v>505</v>
      </c>
      <c r="F1461" s="152" t="s">
        <v>2855</v>
      </c>
      <c r="K1461" s="8"/>
      <c r="L1461" s="8"/>
      <c r="M1461" s="8"/>
      <c r="N1461" s="8"/>
      <c r="O1461" s="8"/>
      <c r="P1461" s="8"/>
    </row>
    <row r="1462" spans="1:16" ht="15" customHeight="1">
      <c r="A1462" s="195" t="s">
        <v>908</v>
      </c>
      <c r="B1462" s="150" t="s">
        <v>401</v>
      </c>
      <c r="C1462" s="151" t="s">
        <v>2852</v>
      </c>
      <c r="D1462" s="171" t="s">
        <v>401</v>
      </c>
      <c r="E1462" s="170" t="s">
        <v>505</v>
      </c>
      <c r="F1462" s="171" t="s">
        <v>2855</v>
      </c>
      <c r="K1462" s="8"/>
      <c r="L1462" s="8"/>
      <c r="M1462" s="8"/>
      <c r="N1462" s="8"/>
      <c r="O1462" s="8"/>
      <c r="P1462" s="8"/>
    </row>
    <row r="1463" spans="1:16" ht="15" customHeight="1">
      <c r="A1463" s="182" t="s">
        <v>907</v>
      </c>
      <c r="B1463" s="152" t="s">
        <v>400</v>
      </c>
      <c r="C1463" s="153" t="s">
        <v>2852</v>
      </c>
      <c r="D1463" s="152" t="s">
        <v>400</v>
      </c>
      <c r="E1463" s="153" t="s">
        <v>505</v>
      </c>
      <c r="F1463" s="152" t="s">
        <v>2855</v>
      </c>
      <c r="K1463" s="8"/>
      <c r="L1463" s="8"/>
      <c r="M1463" s="8"/>
      <c r="N1463" s="8"/>
      <c r="O1463" s="8"/>
      <c r="P1463" s="8"/>
    </row>
    <row r="1464" spans="1:16" ht="15" customHeight="1">
      <c r="A1464" s="195" t="s">
        <v>906</v>
      </c>
      <c r="B1464" s="150" t="s">
        <v>471</v>
      </c>
      <c r="C1464" s="151" t="s">
        <v>2852</v>
      </c>
      <c r="D1464" s="171" t="s">
        <v>471</v>
      </c>
      <c r="E1464" s="170" t="s">
        <v>505</v>
      </c>
      <c r="F1464" s="175" t="s">
        <v>2854</v>
      </c>
      <c r="K1464" s="8"/>
      <c r="L1464" s="8"/>
      <c r="M1464" s="8"/>
      <c r="N1464" s="8"/>
      <c r="O1464" s="8"/>
      <c r="P1464" s="8"/>
    </row>
    <row r="1465" spans="1:16" ht="15" customHeight="1">
      <c r="A1465" s="182" t="s">
        <v>905</v>
      </c>
      <c r="B1465" s="152" t="s">
        <v>448</v>
      </c>
      <c r="C1465" s="153" t="s">
        <v>2852</v>
      </c>
      <c r="D1465" s="152" t="s">
        <v>448</v>
      </c>
      <c r="E1465" s="153" t="s">
        <v>505</v>
      </c>
      <c r="F1465" s="224" t="s">
        <v>2854</v>
      </c>
      <c r="K1465" s="8"/>
      <c r="L1465" s="8"/>
      <c r="M1465" s="8"/>
      <c r="N1465" s="8"/>
      <c r="O1465" s="8"/>
      <c r="P1465" s="8"/>
    </row>
    <row r="1466" spans="1:16" ht="15" customHeight="1">
      <c r="A1466" s="195" t="s">
        <v>904</v>
      </c>
      <c r="B1466" s="150" t="s">
        <v>470</v>
      </c>
      <c r="C1466" s="151" t="s">
        <v>2852</v>
      </c>
      <c r="D1466" s="171" t="s">
        <v>470</v>
      </c>
      <c r="E1466" s="170" t="s">
        <v>505</v>
      </c>
      <c r="F1466" s="175" t="s">
        <v>2854</v>
      </c>
      <c r="K1466" s="8"/>
      <c r="L1466" s="8"/>
      <c r="M1466" s="8"/>
      <c r="N1466" s="8"/>
      <c r="O1466" s="8"/>
      <c r="P1466" s="8"/>
    </row>
    <row r="1467" spans="1:16" ht="15" customHeight="1">
      <c r="A1467" s="182" t="s">
        <v>903</v>
      </c>
      <c r="B1467" s="152" t="s">
        <v>447</v>
      </c>
      <c r="C1467" s="153" t="s">
        <v>2852</v>
      </c>
      <c r="D1467" s="152" t="s">
        <v>447</v>
      </c>
      <c r="E1467" s="153" t="s">
        <v>505</v>
      </c>
      <c r="F1467" s="224" t="s">
        <v>2854</v>
      </c>
      <c r="K1467" s="8"/>
      <c r="L1467" s="8"/>
      <c r="M1467" s="8"/>
      <c r="N1467" s="8"/>
      <c r="O1467" s="8"/>
      <c r="P1467" s="8"/>
    </row>
    <row r="1468" spans="1:16" ht="15" customHeight="1">
      <c r="A1468" s="195" t="s">
        <v>902</v>
      </c>
      <c r="B1468" s="150" t="s">
        <v>490</v>
      </c>
      <c r="C1468" s="151" t="s">
        <v>2852</v>
      </c>
      <c r="D1468" s="171" t="s">
        <v>490</v>
      </c>
      <c r="E1468" s="170" t="s">
        <v>505</v>
      </c>
      <c r="F1468" s="175" t="s">
        <v>4635</v>
      </c>
      <c r="K1468" s="8"/>
      <c r="L1468" s="8"/>
      <c r="M1468" s="8"/>
      <c r="N1468" s="8"/>
      <c r="O1468" s="8"/>
      <c r="P1468" s="8"/>
    </row>
    <row r="1469" spans="1:16" ht="15" customHeight="1">
      <c r="A1469" s="182" t="s">
        <v>900</v>
      </c>
      <c r="B1469" s="152" t="s">
        <v>489</v>
      </c>
      <c r="C1469" s="153" t="s">
        <v>2852</v>
      </c>
      <c r="D1469" s="152" t="s">
        <v>489</v>
      </c>
      <c r="E1469" s="153" t="s">
        <v>505</v>
      </c>
      <c r="F1469" s="224" t="s">
        <v>4635</v>
      </c>
      <c r="K1469" s="8"/>
      <c r="L1469" s="8"/>
      <c r="M1469" s="8"/>
      <c r="N1469" s="8"/>
      <c r="O1469" s="8"/>
      <c r="P1469" s="8"/>
    </row>
    <row r="1470" spans="1:16" ht="15" customHeight="1">
      <c r="A1470" s="195" t="s">
        <v>899</v>
      </c>
      <c r="B1470" s="150" t="s">
        <v>469</v>
      </c>
      <c r="C1470" s="151" t="s">
        <v>2852</v>
      </c>
      <c r="D1470" s="171" t="s">
        <v>469</v>
      </c>
      <c r="E1470" s="170" t="s">
        <v>505</v>
      </c>
      <c r="F1470" s="175" t="s">
        <v>4635</v>
      </c>
      <c r="K1470" s="8"/>
      <c r="L1470" s="8"/>
      <c r="M1470" s="8"/>
      <c r="N1470" s="8"/>
      <c r="O1470" s="8"/>
      <c r="P1470" s="8"/>
    </row>
    <row r="1471" spans="1:16" ht="15" customHeight="1">
      <c r="A1471" s="182" t="s">
        <v>897</v>
      </c>
      <c r="B1471" s="152" t="s">
        <v>468</v>
      </c>
      <c r="C1471" s="153" t="s">
        <v>2852</v>
      </c>
      <c r="D1471" s="152" t="s">
        <v>468</v>
      </c>
      <c r="E1471" s="153" t="s">
        <v>505</v>
      </c>
      <c r="F1471" s="224" t="s">
        <v>4635</v>
      </c>
      <c r="K1471" s="8"/>
      <c r="L1471" s="8"/>
      <c r="M1471" s="8"/>
      <c r="N1471" s="8"/>
      <c r="O1471" s="8"/>
      <c r="P1471" s="8"/>
    </row>
    <row r="1472" spans="1:16" ht="15" customHeight="1">
      <c r="A1472" s="195" t="s">
        <v>896</v>
      </c>
      <c r="B1472" s="150" t="s">
        <v>467</v>
      </c>
      <c r="C1472" s="151" t="s">
        <v>2852</v>
      </c>
      <c r="D1472" s="171" t="s">
        <v>467</v>
      </c>
      <c r="E1472" s="170" t="s">
        <v>505</v>
      </c>
      <c r="F1472" s="175" t="s">
        <v>4635</v>
      </c>
      <c r="K1472" s="8"/>
      <c r="L1472" s="8"/>
      <c r="M1472" s="8"/>
      <c r="N1472" s="8"/>
      <c r="O1472" s="8"/>
      <c r="P1472" s="8"/>
    </row>
    <row r="1473" spans="1:16" ht="15" customHeight="1">
      <c r="A1473" s="182" t="s">
        <v>894</v>
      </c>
      <c r="B1473" s="152" t="s">
        <v>446</v>
      </c>
      <c r="C1473" s="153" t="s">
        <v>2852</v>
      </c>
      <c r="D1473" s="152" t="s">
        <v>446</v>
      </c>
      <c r="E1473" s="153" t="s">
        <v>505</v>
      </c>
      <c r="F1473" s="224" t="s">
        <v>4635</v>
      </c>
      <c r="K1473" s="8"/>
      <c r="L1473" s="8"/>
      <c r="M1473" s="8"/>
      <c r="N1473" s="8"/>
      <c r="O1473" s="8"/>
      <c r="P1473" s="8"/>
    </row>
    <row r="1474" spans="1:16" ht="15" customHeight="1">
      <c r="A1474" s="155" t="s">
        <v>4636</v>
      </c>
      <c r="B1474" s="154"/>
      <c r="C1474" s="155"/>
      <c r="D1474" s="154"/>
      <c r="E1474" s="155"/>
      <c r="F1474" s="154"/>
      <c r="K1474" s="8"/>
      <c r="L1474" s="8"/>
      <c r="M1474" s="8"/>
      <c r="N1474" s="8"/>
      <c r="O1474" s="8"/>
      <c r="P1474" s="8"/>
    </row>
    <row r="1475" spans="1:16" ht="15" customHeight="1">
      <c r="A1475" s="182" t="s">
        <v>891</v>
      </c>
      <c r="B1475" s="152" t="s">
        <v>704</v>
      </c>
      <c r="C1475" s="153" t="s">
        <v>2852</v>
      </c>
      <c r="D1475" s="152" t="s">
        <v>704</v>
      </c>
      <c r="E1475" s="153" t="s">
        <v>622</v>
      </c>
      <c r="F1475" s="152" t="s">
        <v>4637</v>
      </c>
      <c r="K1475" s="8"/>
      <c r="L1475" s="8"/>
      <c r="M1475" s="8"/>
      <c r="N1475" s="8"/>
      <c r="O1475" s="8"/>
      <c r="P1475" s="8"/>
    </row>
    <row r="1476" spans="1:16" ht="15" customHeight="1">
      <c r="A1476" s="195" t="s">
        <v>890</v>
      </c>
      <c r="B1476" s="150" t="s">
        <v>691</v>
      </c>
      <c r="C1476" s="151" t="s">
        <v>2852</v>
      </c>
      <c r="D1476" s="171" t="s">
        <v>691</v>
      </c>
      <c r="E1476" s="170" t="s">
        <v>622</v>
      </c>
      <c r="F1476" s="171" t="s">
        <v>2849</v>
      </c>
      <c r="K1476" s="8"/>
      <c r="L1476" s="8"/>
      <c r="M1476" s="8"/>
      <c r="N1476" s="8"/>
      <c r="O1476" s="8"/>
      <c r="P1476" s="8"/>
    </row>
    <row r="1477" spans="1:16" ht="15" customHeight="1">
      <c r="A1477" s="182" t="s">
        <v>889</v>
      </c>
      <c r="B1477" s="152" t="s">
        <v>688</v>
      </c>
      <c r="C1477" s="153" t="s">
        <v>2852</v>
      </c>
      <c r="D1477" s="152" t="s">
        <v>688</v>
      </c>
      <c r="E1477" s="153" t="s">
        <v>622</v>
      </c>
      <c r="F1477" s="152" t="s">
        <v>2849</v>
      </c>
      <c r="K1477" s="8"/>
      <c r="L1477" s="8"/>
      <c r="M1477" s="8"/>
      <c r="N1477" s="8"/>
      <c r="O1477" s="8"/>
      <c r="P1477" s="8"/>
    </row>
    <row r="1478" spans="1:16" ht="15" customHeight="1">
      <c r="A1478" s="195" t="s">
        <v>888</v>
      </c>
      <c r="B1478" s="150" t="s">
        <v>685</v>
      </c>
      <c r="C1478" s="151" t="s">
        <v>2852</v>
      </c>
      <c r="D1478" s="171" t="s">
        <v>685</v>
      </c>
      <c r="E1478" s="170" t="s">
        <v>622</v>
      </c>
      <c r="F1478" s="171" t="s">
        <v>2849</v>
      </c>
      <c r="K1478" s="8"/>
      <c r="L1478" s="8"/>
      <c r="M1478" s="8"/>
      <c r="N1478" s="8"/>
      <c r="O1478" s="8"/>
      <c r="P1478" s="8"/>
    </row>
    <row r="1479" spans="1:16" ht="15" customHeight="1">
      <c r="A1479" s="182" t="s">
        <v>887</v>
      </c>
      <c r="B1479" s="152" t="s">
        <v>682</v>
      </c>
      <c r="C1479" s="153" t="s">
        <v>2852</v>
      </c>
      <c r="D1479" s="152" t="s">
        <v>682</v>
      </c>
      <c r="E1479" s="153" t="s">
        <v>622</v>
      </c>
      <c r="F1479" s="152" t="s">
        <v>2849</v>
      </c>
      <c r="K1479" s="8"/>
      <c r="L1479" s="8"/>
      <c r="M1479" s="8"/>
      <c r="N1479" s="8"/>
      <c r="O1479" s="8"/>
      <c r="P1479" s="8"/>
    </row>
    <row r="1480" spans="1:16" ht="15" customHeight="1">
      <c r="A1480" s="195" t="s">
        <v>886</v>
      </c>
      <c r="B1480" s="150" t="s">
        <v>679</v>
      </c>
      <c r="C1480" s="151" t="s">
        <v>2852</v>
      </c>
      <c r="D1480" s="171" t="s">
        <v>679</v>
      </c>
      <c r="E1480" s="170" t="s">
        <v>622</v>
      </c>
      <c r="F1480" s="171" t="s">
        <v>2849</v>
      </c>
      <c r="K1480" s="8"/>
      <c r="L1480" s="8"/>
      <c r="M1480" s="8"/>
      <c r="N1480" s="8"/>
      <c r="O1480" s="8"/>
      <c r="P1480" s="8"/>
    </row>
    <row r="1481" spans="1:16" ht="15" customHeight="1">
      <c r="A1481" s="182" t="s">
        <v>885</v>
      </c>
      <c r="B1481" s="152" t="s">
        <v>676</v>
      </c>
      <c r="C1481" s="153" t="s">
        <v>2852</v>
      </c>
      <c r="D1481" s="152" t="s">
        <v>676</v>
      </c>
      <c r="E1481" s="153" t="s">
        <v>622</v>
      </c>
      <c r="F1481" s="152" t="s">
        <v>2849</v>
      </c>
      <c r="K1481" s="8"/>
      <c r="L1481" s="8"/>
      <c r="M1481" s="8"/>
      <c r="N1481" s="8"/>
      <c r="O1481" s="8"/>
      <c r="P1481" s="8"/>
    </row>
    <row r="1482" spans="1:16" ht="15" customHeight="1">
      <c r="A1482" s="195" t="s">
        <v>884</v>
      </c>
      <c r="B1482" s="150" t="s">
        <v>674</v>
      </c>
      <c r="C1482" s="151" t="s">
        <v>2852</v>
      </c>
      <c r="D1482" s="171" t="s">
        <v>674</v>
      </c>
      <c r="E1482" s="170" t="s">
        <v>622</v>
      </c>
      <c r="F1482" s="171" t="s">
        <v>2849</v>
      </c>
      <c r="K1482" s="8"/>
      <c r="L1482" s="8"/>
      <c r="M1482" s="8"/>
      <c r="N1482" s="8"/>
      <c r="O1482" s="8"/>
      <c r="P1482" s="8"/>
    </row>
    <row r="1483" spans="1:16" ht="15" customHeight="1">
      <c r="A1483" s="182" t="s">
        <v>883</v>
      </c>
      <c r="B1483" s="152" t="s">
        <v>671</v>
      </c>
      <c r="C1483" s="153" t="s">
        <v>2852</v>
      </c>
      <c r="D1483" s="152" t="s">
        <v>671</v>
      </c>
      <c r="E1483" s="153" t="s">
        <v>622</v>
      </c>
      <c r="F1483" s="152" t="s">
        <v>2849</v>
      </c>
      <c r="K1483" s="8"/>
      <c r="L1483" s="8"/>
      <c r="M1483" s="8"/>
      <c r="N1483" s="8"/>
      <c r="O1483" s="8"/>
      <c r="P1483" s="8"/>
    </row>
    <row r="1484" spans="1:16" ht="15" customHeight="1">
      <c r="A1484" s="195" t="s">
        <v>882</v>
      </c>
      <c r="B1484" s="150" t="s">
        <v>666</v>
      </c>
      <c r="C1484" s="151" t="s">
        <v>2852</v>
      </c>
      <c r="D1484" s="171" t="s">
        <v>666</v>
      </c>
      <c r="E1484" s="170" t="s">
        <v>622</v>
      </c>
      <c r="F1484" s="171" t="s">
        <v>2849</v>
      </c>
      <c r="K1484" s="8"/>
      <c r="L1484" s="8"/>
      <c r="M1484" s="8"/>
      <c r="N1484" s="8"/>
      <c r="O1484" s="8"/>
      <c r="P1484" s="8"/>
    </row>
    <row r="1485" spans="1:16" ht="15" customHeight="1">
      <c r="A1485" s="182" t="s">
        <v>881</v>
      </c>
      <c r="B1485" s="152" t="s">
        <v>641</v>
      </c>
      <c r="C1485" s="153" t="s">
        <v>2852</v>
      </c>
      <c r="D1485" s="152" t="s">
        <v>641</v>
      </c>
      <c r="E1485" s="153" t="s">
        <v>622</v>
      </c>
      <c r="F1485" s="152" t="s">
        <v>2849</v>
      </c>
      <c r="K1485" s="8"/>
      <c r="L1485" s="8"/>
      <c r="M1485" s="8"/>
      <c r="N1485" s="8"/>
      <c r="O1485" s="8"/>
      <c r="P1485" s="8"/>
    </row>
    <row r="1486" spans="1:16" ht="15" customHeight="1">
      <c r="A1486" s="195" t="s">
        <v>880</v>
      </c>
      <c r="B1486" s="150" t="s">
        <v>588</v>
      </c>
      <c r="C1486" s="151" t="s">
        <v>2852</v>
      </c>
      <c r="D1486" s="171" t="s">
        <v>588</v>
      </c>
      <c r="E1486" s="170" t="s">
        <v>622</v>
      </c>
      <c r="F1486" s="171" t="s">
        <v>2849</v>
      </c>
      <c r="K1486" s="8"/>
      <c r="L1486" s="8"/>
      <c r="M1486" s="8"/>
      <c r="N1486" s="8"/>
      <c r="O1486" s="8"/>
      <c r="P1486" s="8"/>
    </row>
    <row r="1487" spans="1:16" ht="15" customHeight="1">
      <c r="A1487" s="182" t="s">
        <v>879</v>
      </c>
      <c r="B1487" s="152" t="s">
        <v>551</v>
      </c>
      <c r="C1487" s="153" t="s">
        <v>2852</v>
      </c>
      <c r="D1487" s="152" t="s">
        <v>551</v>
      </c>
      <c r="E1487" s="153" t="s">
        <v>622</v>
      </c>
      <c r="F1487" s="152" t="s">
        <v>2849</v>
      </c>
      <c r="K1487" s="8"/>
      <c r="L1487" s="8"/>
      <c r="M1487" s="8"/>
      <c r="N1487" s="8"/>
      <c r="O1487" s="8"/>
      <c r="P1487" s="8"/>
    </row>
    <row r="1488" spans="1:16" ht="15" customHeight="1">
      <c r="A1488" s="195" t="s">
        <v>878</v>
      </c>
      <c r="B1488" s="150" t="s">
        <v>647</v>
      </c>
      <c r="C1488" s="151" t="s">
        <v>2852</v>
      </c>
      <c r="D1488" s="171" t="s">
        <v>647</v>
      </c>
      <c r="E1488" s="170" t="s">
        <v>622</v>
      </c>
      <c r="F1488" s="171" t="s">
        <v>2849</v>
      </c>
      <c r="K1488" s="8"/>
      <c r="L1488" s="8"/>
      <c r="M1488" s="8"/>
      <c r="N1488" s="8"/>
      <c r="O1488" s="8"/>
      <c r="P1488" s="8"/>
    </row>
    <row r="1489" spans="1:16" ht="15" customHeight="1">
      <c r="A1489" s="182" t="s">
        <v>877</v>
      </c>
      <c r="B1489" s="152" t="s">
        <v>646</v>
      </c>
      <c r="C1489" s="153" t="s">
        <v>2852</v>
      </c>
      <c r="D1489" s="152" t="s">
        <v>646</v>
      </c>
      <c r="E1489" s="153" t="s">
        <v>622</v>
      </c>
      <c r="F1489" s="152" t="s">
        <v>2849</v>
      </c>
      <c r="K1489" s="8"/>
      <c r="L1489" s="8"/>
      <c r="M1489" s="8"/>
      <c r="N1489" s="8"/>
      <c r="O1489" s="8"/>
      <c r="P1489" s="8"/>
    </row>
    <row r="1490" spans="1:16" ht="15" customHeight="1">
      <c r="A1490" s="195" t="s">
        <v>876</v>
      </c>
      <c r="B1490" s="150" t="s">
        <v>645</v>
      </c>
      <c r="C1490" s="151" t="s">
        <v>2852</v>
      </c>
      <c r="D1490" s="171" t="s">
        <v>645</v>
      </c>
      <c r="E1490" s="170" t="s">
        <v>622</v>
      </c>
      <c r="F1490" s="171" t="s">
        <v>2849</v>
      </c>
      <c r="K1490" s="8"/>
      <c r="L1490" s="8"/>
      <c r="M1490" s="8"/>
      <c r="N1490" s="8"/>
      <c r="O1490" s="8"/>
      <c r="P1490" s="8"/>
    </row>
    <row r="1491" spans="1:16" ht="15" customHeight="1">
      <c r="A1491" s="182" t="s">
        <v>875</v>
      </c>
      <c r="B1491" s="152" t="s">
        <v>625</v>
      </c>
      <c r="C1491" s="153" t="s">
        <v>2852</v>
      </c>
      <c r="D1491" s="152" t="s">
        <v>625</v>
      </c>
      <c r="E1491" s="153" t="s">
        <v>622</v>
      </c>
      <c r="F1491" s="152" t="s">
        <v>2849</v>
      </c>
      <c r="K1491" s="8"/>
      <c r="L1491" s="8"/>
      <c r="M1491" s="8"/>
      <c r="N1491" s="8"/>
      <c r="O1491" s="8"/>
      <c r="P1491" s="8"/>
    </row>
    <row r="1492" spans="1:16" ht="15" customHeight="1">
      <c r="A1492" s="195" t="s">
        <v>874</v>
      </c>
      <c r="B1492" s="150" t="s">
        <v>597</v>
      </c>
      <c r="C1492" s="151" t="s">
        <v>2852</v>
      </c>
      <c r="D1492" s="171" t="s">
        <v>597</v>
      </c>
      <c r="E1492" s="170" t="s">
        <v>622</v>
      </c>
      <c r="F1492" s="171" t="s">
        <v>2849</v>
      </c>
      <c r="K1492" s="8"/>
      <c r="L1492" s="8"/>
      <c r="M1492" s="8"/>
      <c r="N1492" s="8"/>
      <c r="O1492" s="8"/>
      <c r="P1492" s="8"/>
    </row>
    <row r="1493" spans="1:16" ht="15" customHeight="1">
      <c r="A1493" s="182" t="s">
        <v>873</v>
      </c>
      <c r="B1493" s="152" t="s">
        <v>596</v>
      </c>
      <c r="C1493" s="153" t="s">
        <v>2852</v>
      </c>
      <c r="D1493" s="152" t="s">
        <v>596</v>
      </c>
      <c r="E1493" s="153" t="s">
        <v>622</v>
      </c>
      <c r="F1493" s="152" t="s">
        <v>2849</v>
      </c>
      <c r="K1493" s="8"/>
      <c r="L1493" s="8"/>
      <c r="M1493" s="8"/>
      <c r="N1493" s="8"/>
      <c r="O1493" s="8"/>
      <c r="P1493" s="8"/>
    </row>
    <row r="1494" spans="1:16" ht="15" customHeight="1">
      <c r="A1494" s="195" t="s">
        <v>872</v>
      </c>
      <c r="B1494" s="150" t="s">
        <v>595</v>
      </c>
      <c r="C1494" s="151" t="s">
        <v>2852</v>
      </c>
      <c r="D1494" s="171" t="s">
        <v>595</v>
      </c>
      <c r="E1494" s="170" t="s">
        <v>622</v>
      </c>
      <c r="F1494" s="171" t="s">
        <v>2849</v>
      </c>
      <c r="K1494" s="8"/>
      <c r="L1494" s="8"/>
      <c r="M1494" s="8"/>
      <c r="N1494" s="8"/>
      <c r="O1494" s="8"/>
      <c r="P1494" s="8"/>
    </row>
    <row r="1495" spans="1:16" ht="15" customHeight="1">
      <c r="A1495" s="182" t="s">
        <v>871</v>
      </c>
      <c r="B1495" s="152" t="s">
        <v>594</v>
      </c>
      <c r="C1495" s="153" t="s">
        <v>2852</v>
      </c>
      <c r="D1495" s="152" t="s">
        <v>594</v>
      </c>
      <c r="E1495" s="153" t="s">
        <v>622</v>
      </c>
      <c r="F1495" s="152" t="s">
        <v>2849</v>
      </c>
      <c r="K1495" s="8"/>
      <c r="L1495" s="8"/>
      <c r="M1495" s="8"/>
      <c r="N1495" s="8"/>
      <c r="O1495" s="8"/>
      <c r="P1495" s="8"/>
    </row>
    <row r="1496" spans="1:16" ht="15" customHeight="1">
      <c r="A1496" s="195" t="s">
        <v>870</v>
      </c>
      <c r="B1496" s="150" t="s">
        <v>592</v>
      </c>
      <c r="C1496" s="151" t="s">
        <v>2852</v>
      </c>
      <c r="D1496" s="171" t="s">
        <v>592</v>
      </c>
      <c r="E1496" s="170" t="s">
        <v>622</v>
      </c>
      <c r="F1496" s="171" t="s">
        <v>2849</v>
      </c>
      <c r="K1496" s="8"/>
      <c r="L1496" s="8"/>
      <c r="M1496" s="8"/>
      <c r="N1496" s="8"/>
      <c r="O1496" s="8"/>
      <c r="P1496" s="8"/>
    </row>
    <row r="1497" spans="1:16" ht="15" customHeight="1">
      <c r="A1497" s="182" t="s">
        <v>869</v>
      </c>
      <c r="B1497" s="152" t="s">
        <v>589</v>
      </c>
      <c r="C1497" s="153" t="s">
        <v>2852</v>
      </c>
      <c r="D1497" s="152" t="s">
        <v>589</v>
      </c>
      <c r="E1497" s="153" t="s">
        <v>622</v>
      </c>
      <c r="F1497" s="152" t="s">
        <v>2849</v>
      </c>
      <c r="K1497" s="8"/>
      <c r="L1497" s="8"/>
      <c r="M1497" s="8"/>
      <c r="N1497" s="8"/>
      <c r="O1497" s="8"/>
      <c r="P1497" s="8"/>
    </row>
    <row r="1498" spans="1:16" ht="15" customHeight="1">
      <c r="A1498" s="195" t="s">
        <v>868</v>
      </c>
      <c r="B1498" s="150" t="s">
        <v>574</v>
      </c>
      <c r="C1498" s="151" t="s">
        <v>2852</v>
      </c>
      <c r="D1498" s="171" t="s">
        <v>574</v>
      </c>
      <c r="E1498" s="170" t="s">
        <v>622</v>
      </c>
      <c r="F1498" s="171" t="s">
        <v>2849</v>
      </c>
      <c r="K1498" s="8"/>
      <c r="L1498" s="8"/>
      <c r="M1498" s="8"/>
      <c r="N1498" s="8"/>
      <c r="O1498" s="8"/>
      <c r="P1498" s="8"/>
    </row>
    <row r="1499" spans="1:16" ht="15" customHeight="1">
      <c r="A1499" s="182" t="s">
        <v>867</v>
      </c>
      <c r="B1499" s="152" t="s">
        <v>571</v>
      </c>
      <c r="C1499" s="153" t="s">
        <v>2852</v>
      </c>
      <c r="D1499" s="152" t="s">
        <v>571</v>
      </c>
      <c r="E1499" s="153" t="s">
        <v>622</v>
      </c>
      <c r="F1499" s="152" t="s">
        <v>2849</v>
      </c>
      <c r="K1499" s="8"/>
      <c r="L1499" s="8"/>
      <c r="M1499" s="8"/>
      <c r="N1499" s="8"/>
      <c r="O1499" s="8"/>
      <c r="P1499" s="8"/>
    </row>
    <row r="1500" spans="1:16" ht="15" customHeight="1">
      <c r="A1500" s="195" t="s">
        <v>866</v>
      </c>
      <c r="B1500" s="150" t="s">
        <v>530</v>
      </c>
      <c r="C1500" s="151" t="s">
        <v>2852</v>
      </c>
      <c r="D1500" s="171" t="s">
        <v>530</v>
      </c>
      <c r="E1500" s="170" t="s">
        <v>622</v>
      </c>
      <c r="F1500" s="171" t="s">
        <v>2849</v>
      </c>
      <c r="K1500" s="8"/>
      <c r="L1500" s="8"/>
      <c r="M1500" s="8"/>
      <c r="N1500" s="8"/>
      <c r="O1500" s="8"/>
      <c r="P1500" s="8"/>
    </row>
    <row r="1501" spans="1:16" ht="15" customHeight="1">
      <c r="A1501" s="182" t="s">
        <v>865</v>
      </c>
      <c r="B1501" s="152" t="s">
        <v>527</v>
      </c>
      <c r="C1501" s="153" t="s">
        <v>2852</v>
      </c>
      <c r="D1501" s="152" t="s">
        <v>527</v>
      </c>
      <c r="E1501" s="153" t="s">
        <v>622</v>
      </c>
      <c r="F1501" s="152" t="s">
        <v>2849</v>
      </c>
      <c r="K1501" s="8"/>
      <c r="L1501" s="8"/>
      <c r="M1501" s="8"/>
      <c r="N1501" s="8"/>
      <c r="O1501" s="8"/>
      <c r="P1501" s="8"/>
    </row>
    <row r="1502" spans="1:16" ht="15" customHeight="1">
      <c r="A1502" s="195" t="s">
        <v>864</v>
      </c>
      <c r="B1502" s="150" t="s">
        <v>560</v>
      </c>
      <c r="C1502" s="151" t="s">
        <v>2852</v>
      </c>
      <c r="D1502" s="171" t="s">
        <v>560</v>
      </c>
      <c r="E1502" s="170" t="s">
        <v>622</v>
      </c>
      <c r="F1502" s="171" t="s">
        <v>2849</v>
      </c>
      <c r="K1502" s="8"/>
      <c r="L1502" s="8"/>
      <c r="M1502" s="8"/>
      <c r="N1502" s="8"/>
      <c r="O1502" s="8"/>
      <c r="P1502" s="8"/>
    </row>
    <row r="1503" spans="1:16" ht="15" customHeight="1">
      <c r="A1503" s="182" t="s">
        <v>863</v>
      </c>
      <c r="B1503" s="152" t="s">
        <v>559</v>
      </c>
      <c r="C1503" s="153" t="s">
        <v>2852</v>
      </c>
      <c r="D1503" s="152" t="s">
        <v>559</v>
      </c>
      <c r="E1503" s="153" t="s">
        <v>622</v>
      </c>
      <c r="F1503" s="152" t="s">
        <v>2849</v>
      </c>
      <c r="K1503" s="8"/>
      <c r="L1503" s="8"/>
      <c r="M1503" s="8"/>
      <c r="N1503" s="8"/>
      <c r="O1503" s="8"/>
      <c r="P1503" s="8"/>
    </row>
    <row r="1504" spans="1:16" ht="15" customHeight="1">
      <c r="A1504" s="195" t="s">
        <v>862</v>
      </c>
      <c r="B1504" s="150" t="s">
        <v>553</v>
      </c>
      <c r="C1504" s="151" t="s">
        <v>2852</v>
      </c>
      <c r="D1504" s="171" t="s">
        <v>553</v>
      </c>
      <c r="E1504" s="170" t="s">
        <v>622</v>
      </c>
      <c r="F1504" s="171" t="s">
        <v>2849</v>
      </c>
      <c r="K1504" s="8"/>
      <c r="L1504" s="8"/>
      <c r="M1504" s="8"/>
      <c r="N1504" s="8"/>
      <c r="O1504" s="8"/>
      <c r="P1504" s="8"/>
    </row>
    <row r="1505" spans="1:16" ht="15" customHeight="1">
      <c r="A1505" s="182" t="s">
        <v>861</v>
      </c>
      <c r="B1505" s="152" t="s">
        <v>537</v>
      </c>
      <c r="C1505" s="153" t="s">
        <v>2852</v>
      </c>
      <c r="D1505" s="152" t="s">
        <v>537</v>
      </c>
      <c r="E1505" s="153" t="s">
        <v>622</v>
      </c>
      <c r="F1505" s="152" t="s">
        <v>2849</v>
      </c>
      <c r="K1505" s="8"/>
      <c r="L1505" s="8"/>
      <c r="M1505" s="8"/>
      <c r="N1505" s="8"/>
      <c r="O1505" s="8"/>
      <c r="P1505" s="8"/>
    </row>
    <row r="1506" spans="1:16" ht="15" customHeight="1">
      <c r="A1506" s="195" t="s">
        <v>860</v>
      </c>
      <c r="B1506" s="150" t="s">
        <v>536</v>
      </c>
      <c r="C1506" s="151" t="s">
        <v>2852</v>
      </c>
      <c r="D1506" s="171" t="s">
        <v>536</v>
      </c>
      <c r="E1506" s="170" t="s">
        <v>622</v>
      </c>
      <c r="F1506" s="171" t="s">
        <v>2849</v>
      </c>
      <c r="K1506" s="8"/>
      <c r="L1506" s="8"/>
      <c r="M1506" s="8"/>
      <c r="N1506" s="8"/>
      <c r="O1506" s="8"/>
      <c r="P1506" s="8"/>
    </row>
    <row r="1507" spans="1:16" ht="15" customHeight="1">
      <c r="A1507" s="182" t="s">
        <v>859</v>
      </c>
      <c r="B1507" s="152" t="s">
        <v>534</v>
      </c>
      <c r="C1507" s="153" t="s">
        <v>2852</v>
      </c>
      <c r="D1507" s="152" t="s">
        <v>534</v>
      </c>
      <c r="E1507" s="153" t="s">
        <v>622</v>
      </c>
      <c r="F1507" s="152" t="s">
        <v>2849</v>
      </c>
      <c r="K1507" s="8"/>
      <c r="L1507" s="8"/>
      <c r="M1507" s="8"/>
      <c r="N1507" s="8"/>
      <c r="O1507" s="8"/>
      <c r="P1507" s="8"/>
    </row>
    <row r="1508" spans="1:16" ht="15" customHeight="1">
      <c r="A1508" s="195" t="s">
        <v>858</v>
      </c>
      <c r="B1508" s="150" t="s">
        <v>533</v>
      </c>
      <c r="C1508" s="151" t="s">
        <v>2852</v>
      </c>
      <c r="D1508" s="171" t="s">
        <v>533</v>
      </c>
      <c r="E1508" s="170" t="s">
        <v>622</v>
      </c>
      <c r="F1508" s="171" t="s">
        <v>2849</v>
      </c>
      <c r="K1508" s="8"/>
      <c r="L1508" s="8"/>
      <c r="M1508" s="8"/>
      <c r="N1508" s="8"/>
      <c r="O1508" s="8"/>
      <c r="P1508" s="8"/>
    </row>
    <row r="1509" spans="1:16" ht="15" customHeight="1">
      <c r="A1509" s="182" t="s">
        <v>857</v>
      </c>
      <c r="B1509" s="152" t="s">
        <v>514</v>
      </c>
      <c r="C1509" s="153" t="s">
        <v>2852</v>
      </c>
      <c r="D1509" s="152" t="s">
        <v>514</v>
      </c>
      <c r="E1509" s="153" t="s">
        <v>622</v>
      </c>
      <c r="F1509" s="152" t="s">
        <v>2849</v>
      </c>
      <c r="K1509" s="8"/>
      <c r="L1509" s="8"/>
      <c r="M1509" s="8"/>
      <c r="N1509" s="8"/>
      <c r="O1509" s="8"/>
      <c r="P1509" s="8"/>
    </row>
    <row r="1510" spans="1:16" ht="15" customHeight="1">
      <c r="A1510" s="195" t="s">
        <v>856</v>
      </c>
      <c r="B1510" s="150" t="s">
        <v>513</v>
      </c>
      <c r="C1510" s="151" t="s">
        <v>2852</v>
      </c>
      <c r="D1510" s="171" t="s">
        <v>513</v>
      </c>
      <c r="E1510" s="170" t="s">
        <v>622</v>
      </c>
      <c r="F1510" s="171" t="s">
        <v>2849</v>
      </c>
      <c r="K1510" s="8"/>
      <c r="L1510" s="8"/>
      <c r="M1510" s="8"/>
      <c r="N1510" s="8"/>
      <c r="O1510" s="8"/>
      <c r="P1510" s="8"/>
    </row>
    <row r="1511" spans="1:16" ht="15" customHeight="1">
      <c r="A1511" s="182" t="s">
        <v>855</v>
      </c>
      <c r="B1511" s="152" t="s">
        <v>512</v>
      </c>
      <c r="C1511" s="153" t="s">
        <v>2852</v>
      </c>
      <c r="D1511" s="152" t="s">
        <v>512</v>
      </c>
      <c r="E1511" s="153" t="s">
        <v>622</v>
      </c>
      <c r="F1511" s="152" t="s">
        <v>2849</v>
      </c>
      <c r="K1511" s="8"/>
      <c r="L1511" s="8"/>
      <c r="M1511" s="8"/>
      <c r="N1511" s="8"/>
      <c r="O1511" s="8"/>
      <c r="P1511" s="8"/>
    </row>
    <row r="1512" spans="1:16" ht="15" customHeight="1">
      <c r="A1512" s="195" t="s">
        <v>854</v>
      </c>
      <c r="B1512" s="150" t="s">
        <v>511</v>
      </c>
      <c r="C1512" s="151" t="s">
        <v>2852</v>
      </c>
      <c r="D1512" s="171" t="s">
        <v>511</v>
      </c>
      <c r="E1512" s="170" t="s">
        <v>622</v>
      </c>
      <c r="F1512" s="171" t="s">
        <v>2849</v>
      </c>
      <c r="K1512" s="8"/>
      <c r="L1512" s="8"/>
      <c r="M1512" s="8"/>
      <c r="N1512" s="8"/>
      <c r="O1512" s="8"/>
      <c r="P1512" s="8"/>
    </row>
    <row r="1513" spans="1:16" ht="15" customHeight="1">
      <c r="A1513" s="182" t="s">
        <v>853</v>
      </c>
      <c r="B1513" s="152" t="s">
        <v>508</v>
      </c>
      <c r="C1513" s="153" t="s">
        <v>2852</v>
      </c>
      <c r="D1513" s="152" t="s">
        <v>508</v>
      </c>
      <c r="E1513" s="153" t="s">
        <v>622</v>
      </c>
      <c r="F1513" s="152" t="s">
        <v>2849</v>
      </c>
      <c r="K1513" s="8"/>
      <c r="L1513" s="8"/>
      <c r="M1513" s="8"/>
      <c r="N1513" s="8"/>
      <c r="O1513" s="8"/>
      <c r="P1513" s="8"/>
    </row>
    <row r="1514" spans="1:16" ht="15" customHeight="1">
      <c r="A1514" s="195" t="s">
        <v>852</v>
      </c>
      <c r="B1514" s="150" t="s">
        <v>488</v>
      </c>
      <c r="C1514" s="151" t="s">
        <v>2852</v>
      </c>
      <c r="D1514" s="171" t="s">
        <v>488</v>
      </c>
      <c r="E1514" s="170" t="s">
        <v>622</v>
      </c>
      <c r="F1514" s="171" t="s">
        <v>2849</v>
      </c>
      <c r="K1514" s="8"/>
      <c r="L1514" s="8"/>
      <c r="M1514" s="8"/>
      <c r="N1514" s="8"/>
      <c r="O1514" s="8"/>
      <c r="P1514" s="8"/>
    </row>
    <row r="1515" spans="1:16" ht="15" customHeight="1">
      <c r="A1515" s="182" t="s">
        <v>851</v>
      </c>
      <c r="B1515" s="152" t="s">
        <v>485</v>
      </c>
      <c r="C1515" s="153" t="s">
        <v>2852</v>
      </c>
      <c r="D1515" s="152" t="s">
        <v>485</v>
      </c>
      <c r="E1515" s="153" t="s">
        <v>622</v>
      </c>
      <c r="F1515" s="152" t="s">
        <v>2849</v>
      </c>
      <c r="K1515" s="8"/>
      <c r="L1515" s="8"/>
      <c r="M1515" s="8"/>
      <c r="N1515" s="8"/>
      <c r="O1515" s="8"/>
      <c r="P1515" s="8"/>
    </row>
    <row r="1516" spans="1:16" ht="15" customHeight="1">
      <c r="A1516" s="195" t="s">
        <v>850</v>
      </c>
      <c r="B1516" s="150" t="s">
        <v>466</v>
      </c>
      <c r="C1516" s="151" t="s">
        <v>2852</v>
      </c>
      <c r="D1516" s="171" t="s">
        <v>466</v>
      </c>
      <c r="E1516" s="170" t="s">
        <v>622</v>
      </c>
      <c r="F1516" s="171" t="s">
        <v>2849</v>
      </c>
      <c r="K1516" s="8"/>
      <c r="L1516" s="8"/>
      <c r="M1516" s="8"/>
      <c r="N1516" s="8"/>
      <c r="O1516" s="8"/>
      <c r="P1516" s="8"/>
    </row>
    <row r="1517" spans="1:16" ht="15" customHeight="1">
      <c r="A1517" s="182" t="s">
        <v>849</v>
      </c>
      <c r="B1517" s="152" t="s">
        <v>137</v>
      </c>
      <c r="C1517" s="153" t="s">
        <v>2852</v>
      </c>
      <c r="D1517" s="152" t="s">
        <v>137</v>
      </c>
      <c r="E1517" s="153" t="s">
        <v>622</v>
      </c>
      <c r="F1517" s="152" t="s">
        <v>2849</v>
      </c>
      <c r="K1517" s="8"/>
      <c r="L1517" s="8"/>
      <c r="M1517" s="8"/>
      <c r="N1517" s="8"/>
      <c r="O1517" s="8"/>
      <c r="P1517" s="8"/>
    </row>
    <row r="1518" spans="1:16" ht="15" customHeight="1">
      <c r="A1518" s="195" t="s">
        <v>848</v>
      </c>
      <c r="B1518" s="150" t="s">
        <v>134</v>
      </c>
      <c r="C1518" s="151" t="s">
        <v>2852</v>
      </c>
      <c r="D1518" s="171" t="s">
        <v>134</v>
      </c>
      <c r="E1518" s="170" t="s">
        <v>622</v>
      </c>
      <c r="F1518" s="171" t="s">
        <v>2849</v>
      </c>
      <c r="K1518" s="8"/>
      <c r="L1518" s="8"/>
      <c r="M1518" s="8"/>
      <c r="N1518" s="8"/>
      <c r="O1518" s="8"/>
      <c r="P1518" s="8"/>
    </row>
    <row r="1519" spans="1:16" ht="15" customHeight="1">
      <c r="A1519" s="182" t="s">
        <v>847</v>
      </c>
      <c r="B1519" s="152" t="s">
        <v>131</v>
      </c>
      <c r="C1519" s="153" t="s">
        <v>2852</v>
      </c>
      <c r="D1519" s="152" t="s">
        <v>131</v>
      </c>
      <c r="E1519" s="153" t="s">
        <v>622</v>
      </c>
      <c r="F1519" s="152" t="s">
        <v>2849</v>
      </c>
      <c r="K1519" s="8"/>
      <c r="L1519" s="8"/>
      <c r="M1519" s="8"/>
      <c r="N1519" s="8"/>
      <c r="O1519" s="8"/>
      <c r="P1519" s="8"/>
    </row>
    <row r="1520" spans="1:16" ht="15" customHeight="1">
      <c r="A1520" s="195" t="s">
        <v>846</v>
      </c>
      <c r="B1520" s="150" t="s">
        <v>231</v>
      </c>
      <c r="C1520" s="151" t="s">
        <v>2852</v>
      </c>
      <c r="D1520" s="171" t="s">
        <v>231</v>
      </c>
      <c r="E1520" s="170" t="s">
        <v>622</v>
      </c>
      <c r="F1520" s="171" t="s">
        <v>2849</v>
      </c>
      <c r="K1520" s="8"/>
      <c r="L1520" s="8"/>
      <c r="M1520" s="8"/>
      <c r="N1520" s="8"/>
      <c r="O1520" s="8"/>
      <c r="P1520" s="8"/>
    </row>
    <row r="1521" spans="1:16" ht="15" customHeight="1">
      <c r="A1521" s="182" t="s">
        <v>845</v>
      </c>
      <c r="B1521" s="152" t="s">
        <v>230</v>
      </c>
      <c r="C1521" s="153" t="s">
        <v>2852</v>
      </c>
      <c r="D1521" s="152" t="s">
        <v>230</v>
      </c>
      <c r="E1521" s="153" t="s">
        <v>622</v>
      </c>
      <c r="F1521" s="152" t="s">
        <v>2849</v>
      </c>
      <c r="K1521" s="8"/>
      <c r="L1521" s="8"/>
      <c r="M1521" s="8"/>
      <c r="N1521" s="8"/>
      <c r="O1521" s="8"/>
      <c r="P1521" s="8"/>
    </row>
    <row r="1522" spans="1:16" ht="15" customHeight="1">
      <c r="A1522" s="195" t="s">
        <v>844</v>
      </c>
      <c r="B1522" s="150" t="s">
        <v>228</v>
      </c>
      <c r="C1522" s="151" t="s">
        <v>2852</v>
      </c>
      <c r="D1522" s="171" t="s">
        <v>228</v>
      </c>
      <c r="E1522" s="170" t="s">
        <v>622</v>
      </c>
      <c r="F1522" s="171" t="s">
        <v>2849</v>
      </c>
      <c r="K1522" s="8"/>
      <c r="L1522" s="8"/>
      <c r="M1522" s="8"/>
      <c r="N1522" s="8"/>
      <c r="O1522" s="8"/>
      <c r="P1522" s="8"/>
    </row>
    <row r="1523" spans="1:16" ht="15" customHeight="1">
      <c r="A1523" s="182" t="s">
        <v>843</v>
      </c>
      <c r="B1523" s="152" t="s">
        <v>180</v>
      </c>
      <c r="C1523" s="153" t="s">
        <v>2852</v>
      </c>
      <c r="D1523" s="152" t="s">
        <v>180</v>
      </c>
      <c r="E1523" s="153" t="s">
        <v>622</v>
      </c>
      <c r="F1523" s="152" t="s">
        <v>2849</v>
      </c>
      <c r="K1523" s="8"/>
      <c r="L1523" s="8"/>
      <c r="M1523" s="8"/>
      <c r="N1523" s="8"/>
      <c r="O1523" s="8"/>
      <c r="P1523" s="8"/>
    </row>
    <row r="1524" spans="1:16" ht="15" customHeight="1">
      <c r="A1524" s="195" t="s">
        <v>842</v>
      </c>
      <c r="B1524" s="150" t="s">
        <v>179</v>
      </c>
      <c r="C1524" s="151" t="s">
        <v>2852</v>
      </c>
      <c r="D1524" s="171" t="s">
        <v>179</v>
      </c>
      <c r="E1524" s="170" t="s">
        <v>622</v>
      </c>
      <c r="F1524" s="171" t="s">
        <v>2849</v>
      </c>
      <c r="K1524" s="8"/>
      <c r="L1524" s="8"/>
      <c r="M1524" s="8"/>
      <c r="N1524" s="8"/>
      <c r="O1524" s="8"/>
      <c r="P1524" s="8"/>
    </row>
    <row r="1525" spans="1:16" ht="15" customHeight="1">
      <c r="A1525" s="182" t="s">
        <v>841</v>
      </c>
      <c r="B1525" s="152" t="s">
        <v>178</v>
      </c>
      <c r="C1525" s="153" t="s">
        <v>2852</v>
      </c>
      <c r="D1525" s="152" t="s">
        <v>178</v>
      </c>
      <c r="E1525" s="153" t="s">
        <v>622</v>
      </c>
      <c r="F1525" s="152" t="s">
        <v>2849</v>
      </c>
      <c r="K1525" s="8"/>
      <c r="L1525" s="8"/>
      <c r="M1525" s="8"/>
      <c r="N1525" s="8"/>
      <c r="O1525" s="8"/>
      <c r="P1525" s="8"/>
    </row>
    <row r="1526" spans="1:16" ht="15" customHeight="1">
      <c r="A1526" s="195" t="s">
        <v>840</v>
      </c>
      <c r="B1526" s="150" t="s">
        <v>177</v>
      </c>
      <c r="C1526" s="151" t="s">
        <v>2852</v>
      </c>
      <c r="D1526" s="171" t="s">
        <v>177</v>
      </c>
      <c r="E1526" s="170" t="s">
        <v>622</v>
      </c>
      <c r="F1526" s="171" t="s">
        <v>2849</v>
      </c>
      <c r="K1526" s="8"/>
      <c r="L1526" s="8"/>
      <c r="M1526" s="8"/>
      <c r="N1526" s="8"/>
      <c r="O1526" s="8"/>
      <c r="P1526" s="8"/>
    </row>
    <row r="1527" spans="1:16" ht="15" customHeight="1">
      <c r="A1527" s="182" t="s">
        <v>839</v>
      </c>
      <c r="B1527" s="152" t="s">
        <v>313</v>
      </c>
      <c r="C1527" s="153" t="s">
        <v>2852</v>
      </c>
      <c r="D1527" s="152" t="s">
        <v>313</v>
      </c>
      <c r="E1527" s="153" t="s">
        <v>622</v>
      </c>
      <c r="F1527" s="152" t="s">
        <v>2849</v>
      </c>
      <c r="K1527" s="8"/>
      <c r="L1527" s="8"/>
      <c r="M1527" s="8"/>
      <c r="N1527" s="8"/>
      <c r="O1527" s="8"/>
      <c r="P1527" s="8"/>
    </row>
    <row r="1528" spans="1:16" ht="15" customHeight="1">
      <c r="A1528" s="195" t="s">
        <v>838</v>
      </c>
      <c r="B1528" s="150" t="s">
        <v>312</v>
      </c>
      <c r="C1528" s="151" t="s">
        <v>2852</v>
      </c>
      <c r="D1528" s="171" t="s">
        <v>312</v>
      </c>
      <c r="E1528" s="170" t="s">
        <v>622</v>
      </c>
      <c r="F1528" s="171" t="s">
        <v>2849</v>
      </c>
      <c r="K1528" s="8"/>
      <c r="L1528" s="8"/>
      <c r="M1528" s="8"/>
      <c r="N1528" s="8"/>
      <c r="O1528" s="8"/>
      <c r="P1528" s="8"/>
    </row>
    <row r="1529" spans="1:16" ht="15" customHeight="1">
      <c r="A1529" s="182" t="s">
        <v>837</v>
      </c>
      <c r="B1529" s="152" t="s">
        <v>311</v>
      </c>
      <c r="C1529" s="153" t="s">
        <v>2852</v>
      </c>
      <c r="D1529" s="152" t="s">
        <v>311</v>
      </c>
      <c r="E1529" s="153" t="s">
        <v>622</v>
      </c>
      <c r="F1529" s="152" t="s">
        <v>2849</v>
      </c>
      <c r="K1529" s="8"/>
      <c r="L1529" s="8"/>
      <c r="M1529" s="8"/>
      <c r="N1529" s="8"/>
      <c r="O1529" s="8"/>
      <c r="P1529" s="8"/>
    </row>
    <row r="1530" spans="1:16" ht="15" customHeight="1">
      <c r="A1530" s="155" t="s">
        <v>4638</v>
      </c>
      <c r="B1530" s="154"/>
      <c r="C1530" s="155"/>
      <c r="D1530" s="154"/>
      <c r="E1530" s="155"/>
      <c r="F1530" s="154"/>
      <c r="K1530" s="8"/>
      <c r="L1530" s="8"/>
      <c r="M1530" s="8"/>
      <c r="N1530" s="8"/>
      <c r="O1530" s="8"/>
      <c r="P1530" s="8"/>
    </row>
    <row r="1531" spans="1:16" ht="15" customHeight="1">
      <c r="A1531" s="195" t="s">
        <v>835</v>
      </c>
      <c r="B1531" s="150" t="s">
        <v>726</v>
      </c>
      <c r="C1531" s="151" t="s">
        <v>2852</v>
      </c>
      <c r="D1531" s="171" t="s">
        <v>726</v>
      </c>
      <c r="E1531" s="170" t="s">
        <v>622</v>
      </c>
      <c r="F1531" s="171" t="s">
        <v>2853</v>
      </c>
      <c r="K1531" s="8"/>
      <c r="L1531" s="8"/>
      <c r="M1531" s="8"/>
      <c r="N1531" s="8"/>
      <c r="O1531" s="8"/>
      <c r="P1531" s="8"/>
    </row>
    <row r="1532" spans="1:16" ht="15" customHeight="1">
      <c r="A1532" s="182" t="s">
        <v>834</v>
      </c>
      <c r="B1532" s="152" t="s">
        <v>701</v>
      </c>
      <c r="C1532" s="153" t="s">
        <v>2852</v>
      </c>
      <c r="D1532" s="152" t="s">
        <v>701</v>
      </c>
      <c r="E1532" s="153" t="s">
        <v>622</v>
      </c>
      <c r="F1532" s="152" t="s">
        <v>2853</v>
      </c>
      <c r="K1532" s="8"/>
      <c r="L1532" s="8"/>
      <c r="M1532" s="8"/>
      <c r="N1532" s="8"/>
      <c r="O1532" s="8"/>
      <c r="P1532" s="8"/>
    </row>
    <row r="1533" spans="1:16" ht="15" customHeight="1">
      <c r="A1533" s="195" t="s">
        <v>833</v>
      </c>
      <c r="B1533" s="150" t="s">
        <v>697</v>
      </c>
      <c r="C1533" s="151" t="s">
        <v>2852</v>
      </c>
      <c r="D1533" s="171" t="s">
        <v>697</v>
      </c>
      <c r="E1533" s="170" t="s">
        <v>622</v>
      </c>
      <c r="F1533" s="171" t="s">
        <v>2853</v>
      </c>
      <c r="K1533" s="8"/>
      <c r="L1533" s="8"/>
      <c r="M1533" s="8"/>
      <c r="N1533" s="8"/>
      <c r="O1533" s="8"/>
      <c r="P1533" s="8"/>
    </row>
    <row r="1534" spans="1:16" ht="15" customHeight="1">
      <c r="A1534" s="182" t="s">
        <v>832</v>
      </c>
      <c r="B1534" s="152" t="s">
        <v>667</v>
      </c>
      <c r="C1534" s="153" t="s">
        <v>2852</v>
      </c>
      <c r="D1534" s="152" t="s">
        <v>667</v>
      </c>
      <c r="E1534" s="153" t="s">
        <v>622</v>
      </c>
      <c r="F1534" s="152" t="s">
        <v>2853</v>
      </c>
      <c r="K1534" s="8"/>
      <c r="L1534" s="8"/>
      <c r="M1534" s="8"/>
      <c r="N1534" s="8"/>
      <c r="O1534" s="8"/>
      <c r="P1534" s="8"/>
    </row>
    <row r="1535" spans="1:16" ht="15" customHeight="1">
      <c r="A1535" s="195" t="s">
        <v>831</v>
      </c>
      <c r="B1535" s="150" t="s">
        <v>654</v>
      </c>
      <c r="C1535" s="151" t="s">
        <v>2852</v>
      </c>
      <c r="D1535" s="171" t="s">
        <v>654</v>
      </c>
      <c r="E1535" s="170" t="s">
        <v>622</v>
      </c>
      <c r="F1535" s="171" t="s">
        <v>2853</v>
      </c>
      <c r="K1535" s="8"/>
      <c r="L1535" s="8"/>
      <c r="M1535" s="8"/>
      <c r="N1535" s="8"/>
      <c r="O1535" s="8"/>
      <c r="P1535" s="8"/>
    </row>
    <row r="1536" spans="1:16" ht="15" customHeight="1">
      <c r="A1536" s="182" t="s">
        <v>830</v>
      </c>
      <c r="B1536" s="152" t="s">
        <v>580</v>
      </c>
      <c r="C1536" s="153" t="s">
        <v>2852</v>
      </c>
      <c r="D1536" s="152" t="s">
        <v>580</v>
      </c>
      <c r="E1536" s="153" t="s">
        <v>622</v>
      </c>
      <c r="F1536" s="152" t="s">
        <v>2853</v>
      </c>
      <c r="K1536" s="8"/>
      <c r="L1536" s="8"/>
      <c r="M1536" s="8"/>
      <c r="N1536" s="8"/>
      <c r="O1536" s="8"/>
      <c r="P1536" s="8"/>
    </row>
    <row r="1537" spans="1:16" ht="15" customHeight="1">
      <c r="A1537" s="195" t="s">
        <v>829</v>
      </c>
      <c r="B1537" s="150" t="s">
        <v>506</v>
      </c>
      <c r="C1537" s="151" t="s">
        <v>2852</v>
      </c>
      <c r="D1537" s="171" t="s">
        <v>506</v>
      </c>
      <c r="E1537" s="170" t="s">
        <v>622</v>
      </c>
      <c r="F1537" s="171" t="s">
        <v>2853</v>
      </c>
      <c r="K1537" s="8"/>
      <c r="L1537" s="8"/>
      <c r="M1537" s="8"/>
      <c r="N1537" s="8"/>
      <c r="O1537" s="8"/>
      <c r="P1537" s="8"/>
    </row>
    <row r="1538" spans="1:16" ht="15" customHeight="1">
      <c r="A1538" s="182" t="s">
        <v>828</v>
      </c>
      <c r="B1538" s="152" t="s">
        <v>503</v>
      </c>
      <c r="C1538" s="153" t="s">
        <v>2852</v>
      </c>
      <c r="D1538" s="152" t="s">
        <v>503</v>
      </c>
      <c r="E1538" s="153" t="s">
        <v>622</v>
      </c>
      <c r="F1538" s="152" t="s">
        <v>2853</v>
      </c>
      <c r="K1538" s="8"/>
      <c r="L1538" s="8"/>
      <c r="M1538" s="8"/>
      <c r="N1538" s="8"/>
      <c r="O1538" s="8"/>
      <c r="P1538" s="8"/>
    </row>
    <row r="1539" spans="1:16" ht="15" customHeight="1">
      <c r="A1539" s="195" t="s">
        <v>827</v>
      </c>
      <c r="B1539" s="150" t="s">
        <v>460</v>
      </c>
      <c r="C1539" s="151" t="s">
        <v>2852</v>
      </c>
      <c r="D1539" s="171" t="s">
        <v>460</v>
      </c>
      <c r="E1539" s="170" t="s">
        <v>622</v>
      </c>
      <c r="F1539" s="171" t="s">
        <v>2853</v>
      </c>
      <c r="K1539" s="8"/>
      <c r="L1539" s="8"/>
      <c r="M1539" s="8"/>
      <c r="N1539" s="8"/>
      <c r="O1539" s="8"/>
      <c r="P1539" s="8"/>
    </row>
    <row r="1540" spans="1:16" ht="15" customHeight="1">
      <c r="A1540" s="182" t="s">
        <v>826</v>
      </c>
      <c r="B1540" s="152" t="s">
        <v>433</v>
      </c>
      <c r="C1540" s="153" t="s">
        <v>2852</v>
      </c>
      <c r="D1540" s="152" t="s">
        <v>433</v>
      </c>
      <c r="E1540" s="153" t="s">
        <v>622</v>
      </c>
      <c r="F1540" s="152" t="s">
        <v>2853</v>
      </c>
      <c r="K1540" s="8"/>
      <c r="L1540" s="8"/>
      <c r="M1540" s="8"/>
      <c r="N1540" s="8"/>
      <c r="O1540" s="8"/>
      <c r="P1540" s="8"/>
    </row>
    <row r="1541" spans="1:16" ht="15" customHeight="1">
      <c r="A1541" s="195" t="s">
        <v>825</v>
      </c>
      <c r="B1541" s="150" t="s">
        <v>388</v>
      </c>
      <c r="C1541" s="151" t="s">
        <v>2852</v>
      </c>
      <c r="D1541" s="171" t="s">
        <v>388</v>
      </c>
      <c r="E1541" s="170" t="s">
        <v>622</v>
      </c>
      <c r="F1541" s="171" t="s">
        <v>2853</v>
      </c>
      <c r="K1541" s="8"/>
      <c r="L1541" s="8"/>
      <c r="M1541" s="8"/>
      <c r="N1541" s="8"/>
      <c r="O1541" s="8"/>
      <c r="P1541" s="8"/>
    </row>
    <row r="1542" spans="1:16" ht="15" customHeight="1">
      <c r="A1542" s="182" t="s">
        <v>824</v>
      </c>
      <c r="B1542" s="152" t="s">
        <v>369</v>
      </c>
      <c r="C1542" s="153" t="s">
        <v>2852</v>
      </c>
      <c r="D1542" s="152" t="s">
        <v>369</v>
      </c>
      <c r="E1542" s="153" t="s">
        <v>622</v>
      </c>
      <c r="F1542" s="152" t="s">
        <v>2853</v>
      </c>
      <c r="K1542" s="8"/>
      <c r="L1542" s="8"/>
      <c r="M1542" s="8"/>
      <c r="N1542" s="8"/>
      <c r="O1542" s="8"/>
      <c r="P1542" s="8"/>
    </row>
    <row r="1543" spans="1:16" ht="15" customHeight="1">
      <c r="A1543" s="195" t="s">
        <v>823</v>
      </c>
      <c r="B1543" s="150" t="s">
        <v>326</v>
      </c>
      <c r="C1543" s="151" t="s">
        <v>2852</v>
      </c>
      <c r="D1543" s="171" t="s">
        <v>326</v>
      </c>
      <c r="E1543" s="170" t="s">
        <v>622</v>
      </c>
      <c r="F1543" s="171" t="s">
        <v>2853</v>
      </c>
      <c r="K1543" s="8"/>
      <c r="L1543" s="8"/>
      <c r="M1543" s="8"/>
      <c r="N1543" s="8"/>
      <c r="O1543" s="8"/>
      <c r="P1543" s="8"/>
    </row>
    <row r="1544" spans="1:16" ht="15" customHeight="1">
      <c r="A1544" s="182" t="s">
        <v>822</v>
      </c>
      <c r="B1544" s="152" t="s">
        <v>248</v>
      </c>
      <c r="C1544" s="153" t="s">
        <v>2852</v>
      </c>
      <c r="D1544" s="152" t="s">
        <v>248</v>
      </c>
      <c r="E1544" s="153" t="s">
        <v>622</v>
      </c>
      <c r="F1544" s="152" t="s">
        <v>2853</v>
      </c>
      <c r="K1544" s="8"/>
      <c r="L1544" s="8"/>
      <c r="M1544" s="8"/>
      <c r="N1544" s="8"/>
      <c r="O1544" s="8"/>
      <c r="P1544" s="8"/>
    </row>
    <row r="1545" spans="1:16" ht="15" customHeight="1">
      <c r="A1545" s="195" t="s">
        <v>821</v>
      </c>
      <c r="B1545" s="150" t="s">
        <v>188</v>
      </c>
      <c r="C1545" s="151" t="s">
        <v>2852</v>
      </c>
      <c r="D1545" s="171" t="s">
        <v>188</v>
      </c>
      <c r="E1545" s="170" t="s">
        <v>622</v>
      </c>
      <c r="F1545" s="171" t="s">
        <v>2853</v>
      </c>
      <c r="K1545" s="8"/>
      <c r="L1545" s="8"/>
      <c r="M1545" s="8"/>
      <c r="N1545" s="8"/>
      <c r="O1545" s="8"/>
      <c r="P1545" s="8"/>
    </row>
    <row r="1546" spans="1:16" ht="15" customHeight="1">
      <c r="A1546" s="182" t="s">
        <v>820</v>
      </c>
      <c r="B1546" s="152" t="s">
        <v>152</v>
      </c>
      <c r="C1546" s="153" t="s">
        <v>2852</v>
      </c>
      <c r="D1546" s="152" t="s">
        <v>152</v>
      </c>
      <c r="E1546" s="153" t="s">
        <v>622</v>
      </c>
      <c r="F1546" s="152" t="s">
        <v>2853</v>
      </c>
      <c r="K1546" s="8"/>
      <c r="L1546" s="8"/>
      <c r="M1546" s="8"/>
      <c r="N1546" s="8"/>
      <c r="O1546" s="8"/>
      <c r="P1546" s="8"/>
    </row>
    <row r="1547" spans="1:16" ht="15" customHeight="1">
      <c r="A1547" s="195" t="s">
        <v>819</v>
      </c>
      <c r="B1547" s="150" t="s">
        <v>140</v>
      </c>
      <c r="C1547" s="151" t="s">
        <v>2852</v>
      </c>
      <c r="D1547" s="171" t="s">
        <v>140</v>
      </c>
      <c r="E1547" s="170" t="s">
        <v>622</v>
      </c>
      <c r="F1547" s="171" t="s">
        <v>2853</v>
      </c>
      <c r="K1547" s="8"/>
      <c r="L1547" s="8"/>
      <c r="M1547" s="8"/>
      <c r="N1547" s="8"/>
      <c r="O1547" s="8"/>
      <c r="P1547" s="8"/>
    </row>
    <row r="1548" spans="1:16" ht="15" customHeight="1">
      <c r="A1548" s="182" t="s">
        <v>818</v>
      </c>
      <c r="B1548" s="152" t="s">
        <v>128</v>
      </c>
      <c r="C1548" s="153" t="s">
        <v>2852</v>
      </c>
      <c r="D1548" s="152" t="s">
        <v>128</v>
      </c>
      <c r="E1548" s="153" t="s">
        <v>622</v>
      </c>
      <c r="F1548" s="152" t="s">
        <v>2853</v>
      </c>
      <c r="K1548" s="8"/>
      <c r="L1548" s="8"/>
      <c r="M1548" s="8"/>
      <c r="N1548" s="8"/>
      <c r="O1548" s="8"/>
      <c r="P1548" s="8"/>
    </row>
    <row r="1549" spans="1:16" ht="15" customHeight="1">
      <c r="A1549" s="195" t="s">
        <v>817</v>
      </c>
      <c r="B1549" s="150" t="s">
        <v>124</v>
      </c>
      <c r="C1549" s="151" t="s">
        <v>2852</v>
      </c>
      <c r="D1549" s="171" t="s">
        <v>124</v>
      </c>
      <c r="E1549" s="170" t="s">
        <v>622</v>
      </c>
      <c r="F1549" s="171" t="s">
        <v>2853</v>
      </c>
      <c r="K1549" s="8"/>
      <c r="L1549" s="8"/>
      <c r="M1549" s="8"/>
      <c r="N1549" s="8"/>
      <c r="O1549" s="8"/>
      <c r="P1549" s="8"/>
    </row>
    <row r="1550" spans="1:16" ht="15" customHeight="1">
      <c r="A1550" s="182" t="s">
        <v>816</v>
      </c>
      <c r="B1550" s="152" t="s">
        <v>101</v>
      </c>
      <c r="C1550" s="153" t="s">
        <v>2852</v>
      </c>
      <c r="D1550" s="152" t="s">
        <v>101</v>
      </c>
      <c r="E1550" s="153" t="s">
        <v>622</v>
      </c>
      <c r="F1550" s="152" t="s">
        <v>2853</v>
      </c>
      <c r="K1550" s="8"/>
      <c r="L1550" s="8"/>
      <c r="M1550" s="8"/>
      <c r="N1550" s="8"/>
      <c r="O1550" s="8"/>
      <c r="P1550" s="8"/>
    </row>
    <row r="1551" spans="1:16" ht="15" customHeight="1">
      <c r="A1551" s="195" t="s">
        <v>815</v>
      </c>
      <c r="B1551" s="150" t="s">
        <v>651</v>
      </c>
      <c r="C1551" s="151" t="s">
        <v>2852</v>
      </c>
      <c r="D1551" s="171" t="s">
        <v>651</v>
      </c>
      <c r="E1551" s="170" t="s">
        <v>622</v>
      </c>
      <c r="F1551" s="171" t="s">
        <v>2853</v>
      </c>
      <c r="K1551" s="8"/>
      <c r="L1551" s="8"/>
      <c r="M1551" s="8"/>
      <c r="N1551" s="8"/>
      <c r="O1551" s="8"/>
      <c r="P1551" s="8"/>
    </row>
    <row r="1552" spans="1:16" ht="15" customHeight="1">
      <c r="A1552" s="182" t="s">
        <v>814</v>
      </c>
      <c r="B1552" s="152" t="s">
        <v>637</v>
      </c>
      <c r="C1552" s="153" t="s">
        <v>2852</v>
      </c>
      <c r="D1552" s="152" t="s">
        <v>637</v>
      </c>
      <c r="E1552" s="153" t="s">
        <v>622</v>
      </c>
      <c r="F1552" s="152" t="s">
        <v>2853</v>
      </c>
      <c r="K1552" s="8"/>
      <c r="L1552" s="8"/>
      <c r="M1552" s="8"/>
      <c r="N1552" s="8"/>
      <c r="O1552" s="8"/>
      <c r="P1552" s="8"/>
    </row>
    <row r="1553" spans="1:16" ht="15" customHeight="1">
      <c r="A1553" s="195" t="s">
        <v>813</v>
      </c>
      <c r="B1553" s="150" t="s">
        <v>600</v>
      </c>
      <c r="C1553" s="151" t="s">
        <v>2852</v>
      </c>
      <c r="D1553" s="171" t="s">
        <v>600</v>
      </c>
      <c r="E1553" s="170" t="s">
        <v>622</v>
      </c>
      <c r="F1553" s="171" t="s">
        <v>2853</v>
      </c>
      <c r="K1553" s="8"/>
      <c r="L1553" s="8"/>
      <c r="M1553" s="8"/>
      <c r="N1553" s="8"/>
      <c r="O1553" s="8"/>
      <c r="P1553" s="8"/>
    </row>
    <row r="1554" spans="1:16" ht="15" customHeight="1">
      <c r="A1554" s="182" t="s">
        <v>812</v>
      </c>
      <c r="B1554" s="152" t="s">
        <v>578</v>
      </c>
      <c r="C1554" s="153" t="s">
        <v>2852</v>
      </c>
      <c r="D1554" s="152" t="s">
        <v>578</v>
      </c>
      <c r="E1554" s="153" t="s">
        <v>622</v>
      </c>
      <c r="F1554" s="152" t="s">
        <v>2853</v>
      </c>
      <c r="K1554" s="8"/>
      <c r="L1554" s="8"/>
      <c r="M1554" s="8"/>
      <c r="N1554" s="8"/>
      <c r="O1554" s="8"/>
      <c r="P1554" s="8"/>
    </row>
    <row r="1555" spans="1:16" ht="15" customHeight="1">
      <c r="A1555" s="195" t="s">
        <v>811</v>
      </c>
      <c r="B1555" s="150" t="s">
        <v>575</v>
      </c>
      <c r="C1555" s="151" t="s">
        <v>2852</v>
      </c>
      <c r="D1555" s="171" t="s">
        <v>575</v>
      </c>
      <c r="E1555" s="170" t="s">
        <v>622</v>
      </c>
      <c r="F1555" s="171" t="s">
        <v>2853</v>
      </c>
      <c r="K1555" s="8"/>
      <c r="L1555" s="8"/>
      <c r="M1555" s="8"/>
      <c r="N1555" s="8"/>
      <c r="O1555" s="8"/>
      <c r="P1555" s="8"/>
    </row>
    <row r="1556" spans="1:16" ht="15" customHeight="1">
      <c r="A1556" s="182" t="s">
        <v>810</v>
      </c>
      <c r="B1556" s="152" t="s">
        <v>547</v>
      </c>
      <c r="C1556" s="153" t="s">
        <v>2852</v>
      </c>
      <c r="D1556" s="152" t="s">
        <v>547</v>
      </c>
      <c r="E1556" s="153" t="s">
        <v>622</v>
      </c>
      <c r="F1556" s="152" t="s">
        <v>2853</v>
      </c>
      <c r="K1556" s="8"/>
      <c r="L1556" s="8"/>
      <c r="M1556" s="8"/>
      <c r="N1556" s="8"/>
      <c r="O1556" s="8"/>
      <c r="P1556" s="8"/>
    </row>
    <row r="1557" spans="1:16" ht="15" customHeight="1">
      <c r="A1557" s="195" t="s">
        <v>809</v>
      </c>
      <c r="B1557" s="150" t="s">
        <v>544</v>
      </c>
      <c r="C1557" s="151" t="s">
        <v>2852</v>
      </c>
      <c r="D1557" s="171" t="s">
        <v>544</v>
      </c>
      <c r="E1557" s="170" t="s">
        <v>622</v>
      </c>
      <c r="F1557" s="171" t="s">
        <v>2853</v>
      </c>
      <c r="K1557" s="8"/>
      <c r="L1557" s="8"/>
      <c r="M1557" s="8"/>
      <c r="N1557" s="8"/>
      <c r="O1557" s="8"/>
      <c r="P1557" s="8"/>
    </row>
    <row r="1558" spans="1:16" ht="15" customHeight="1">
      <c r="A1558" s="182" t="s">
        <v>808</v>
      </c>
      <c r="B1558" s="152" t="s">
        <v>501</v>
      </c>
      <c r="C1558" s="153" t="s">
        <v>2852</v>
      </c>
      <c r="D1558" s="152" t="s">
        <v>501</v>
      </c>
      <c r="E1558" s="153" t="s">
        <v>622</v>
      </c>
      <c r="F1558" s="152" t="s">
        <v>2853</v>
      </c>
      <c r="K1558" s="8"/>
      <c r="L1558" s="8"/>
      <c r="M1558" s="8"/>
      <c r="N1558" s="8"/>
      <c r="O1558" s="8"/>
      <c r="P1558" s="8"/>
    </row>
    <row r="1559" spans="1:16" ht="15" customHeight="1">
      <c r="A1559" s="195" t="s">
        <v>807</v>
      </c>
      <c r="B1559" s="150" t="s">
        <v>498</v>
      </c>
      <c r="C1559" s="151" t="s">
        <v>2852</v>
      </c>
      <c r="D1559" s="171" t="s">
        <v>498</v>
      </c>
      <c r="E1559" s="170" t="s">
        <v>622</v>
      </c>
      <c r="F1559" s="171" t="s">
        <v>2853</v>
      </c>
      <c r="K1559" s="8"/>
      <c r="L1559" s="8"/>
      <c r="M1559" s="8"/>
      <c r="N1559" s="8"/>
      <c r="O1559" s="8"/>
      <c r="P1559" s="8"/>
    </row>
    <row r="1560" spans="1:16" ht="15" customHeight="1">
      <c r="A1560" s="182" t="s">
        <v>806</v>
      </c>
      <c r="B1560" s="152" t="s">
        <v>457</v>
      </c>
      <c r="C1560" s="153" t="s">
        <v>2852</v>
      </c>
      <c r="D1560" s="152" t="s">
        <v>457</v>
      </c>
      <c r="E1560" s="153" t="s">
        <v>622</v>
      </c>
      <c r="F1560" s="152" t="s">
        <v>2853</v>
      </c>
      <c r="K1560" s="8"/>
      <c r="L1560" s="8"/>
      <c r="M1560" s="8"/>
      <c r="N1560" s="8"/>
      <c r="O1560" s="8"/>
      <c r="P1560" s="8"/>
    </row>
    <row r="1561" spans="1:16" ht="15" customHeight="1">
      <c r="A1561" s="195" t="s">
        <v>805</v>
      </c>
      <c r="B1561" s="150" t="s">
        <v>454</v>
      </c>
      <c r="C1561" s="151" t="s">
        <v>2852</v>
      </c>
      <c r="D1561" s="171" t="s">
        <v>454</v>
      </c>
      <c r="E1561" s="170" t="s">
        <v>622</v>
      </c>
      <c r="F1561" s="171" t="s">
        <v>2853</v>
      </c>
      <c r="K1561" s="8"/>
      <c r="L1561" s="8"/>
      <c r="M1561" s="8"/>
      <c r="N1561" s="8"/>
      <c r="O1561" s="8"/>
      <c r="P1561" s="8"/>
    </row>
    <row r="1562" spans="1:16" ht="15" customHeight="1">
      <c r="A1562" s="182" t="s">
        <v>804</v>
      </c>
      <c r="B1562" s="152" t="s">
        <v>410</v>
      </c>
      <c r="C1562" s="153" t="s">
        <v>2852</v>
      </c>
      <c r="D1562" s="152" t="s">
        <v>410</v>
      </c>
      <c r="E1562" s="153" t="s">
        <v>622</v>
      </c>
      <c r="F1562" s="152" t="s">
        <v>2853</v>
      </c>
      <c r="K1562" s="8"/>
      <c r="L1562" s="8"/>
      <c r="M1562" s="8"/>
      <c r="N1562" s="8"/>
      <c r="O1562" s="8"/>
      <c r="P1562" s="8"/>
    </row>
    <row r="1563" spans="1:16" ht="15" customHeight="1">
      <c r="A1563" s="195" t="s">
        <v>803</v>
      </c>
      <c r="B1563" s="150" t="s">
        <v>323</v>
      </c>
      <c r="C1563" s="151" t="s">
        <v>2852</v>
      </c>
      <c r="D1563" s="171" t="s">
        <v>323</v>
      </c>
      <c r="E1563" s="170" t="s">
        <v>622</v>
      </c>
      <c r="F1563" s="171" t="s">
        <v>2853</v>
      </c>
      <c r="K1563" s="8"/>
      <c r="L1563" s="8"/>
      <c r="M1563" s="8"/>
      <c r="N1563" s="8"/>
      <c r="O1563" s="8"/>
      <c r="P1563" s="8"/>
    </row>
    <row r="1564" spans="1:16" ht="15" customHeight="1">
      <c r="A1564" s="182" t="s">
        <v>802</v>
      </c>
      <c r="B1564" s="152" t="s">
        <v>320</v>
      </c>
      <c r="C1564" s="153" t="s">
        <v>2852</v>
      </c>
      <c r="D1564" s="152" t="s">
        <v>320</v>
      </c>
      <c r="E1564" s="153" t="s">
        <v>622</v>
      </c>
      <c r="F1564" s="152" t="s">
        <v>2853</v>
      </c>
      <c r="K1564" s="8"/>
      <c r="L1564" s="8"/>
      <c r="M1564" s="8"/>
      <c r="N1564" s="8"/>
      <c r="O1564" s="8"/>
      <c r="P1564" s="8"/>
    </row>
    <row r="1565" spans="1:16" ht="15" customHeight="1">
      <c r="A1565" s="195" t="s">
        <v>801</v>
      </c>
      <c r="B1565" s="150" t="s">
        <v>279</v>
      </c>
      <c r="C1565" s="151" t="s">
        <v>2852</v>
      </c>
      <c r="D1565" s="171" t="s">
        <v>279</v>
      </c>
      <c r="E1565" s="170" t="s">
        <v>622</v>
      </c>
      <c r="F1565" s="171" t="s">
        <v>2853</v>
      </c>
      <c r="K1565" s="8"/>
      <c r="L1565" s="8"/>
      <c r="M1565" s="8"/>
      <c r="N1565" s="8"/>
      <c r="O1565" s="8"/>
      <c r="P1565" s="8"/>
    </row>
    <row r="1566" spans="1:16" ht="15" customHeight="1">
      <c r="A1566" s="182" t="s">
        <v>800</v>
      </c>
      <c r="B1566" s="152" t="s">
        <v>276</v>
      </c>
      <c r="C1566" s="153" t="s">
        <v>2852</v>
      </c>
      <c r="D1566" s="152" t="s">
        <v>276</v>
      </c>
      <c r="E1566" s="153" t="s">
        <v>622</v>
      </c>
      <c r="F1566" s="152" t="s">
        <v>2853</v>
      </c>
      <c r="K1566" s="8"/>
      <c r="L1566" s="8"/>
      <c r="M1566" s="8"/>
      <c r="N1566" s="8"/>
      <c r="O1566" s="8"/>
      <c r="P1566" s="8"/>
    </row>
    <row r="1567" spans="1:16" ht="15" customHeight="1">
      <c r="A1567" s="195" t="s">
        <v>799</v>
      </c>
      <c r="B1567" s="150" t="s">
        <v>246</v>
      </c>
      <c r="C1567" s="151" t="s">
        <v>2852</v>
      </c>
      <c r="D1567" s="171" t="s">
        <v>246</v>
      </c>
      <c r="E1567" s="170" t="s">
        <v>622</v>
      </c>
      <c r="F1567" s="171" t="s">
        <v>2853</v>
      </c>
      <c r="K1567" s="8"/>
      <c r="L1567" s="8"/>
      <c r="M1567" s="8"/>
      <c r="N1567" s="8"/>
      <c r="O1567" s="8"/>
      <c r="P1567" s="8"/>
    </row>
    <row r="1568" spans="1:16" ht="15" customHeight="1">
      <c r="A1568" s="182" t="s">
        <v>798</v>
      </c>
      <c r="B1568" s="152" t="s">
        <v>243</v>
      </c>
      <c r="C1568" s="153" t="s">
        <v>2852</v>
      </c>
      <c r="D1568" s="152" t="s">
        <v>243</v>
      </c>
      <c r="E1568" s="153" t="s">
        <v>622</v>
      </c>
      <c r="F1568" s="152" t="s">
        <v>2853</v>
      </c>
      <c r="K1568" s="8"/>
      <c r="L1568" s="8"/>
      <c r="M1568" s="8"/>
      <c r="N1568" s="8"/>
      <c r="O1568" s="8"/>
      <c r="P1568" s="8"/>
    </row>
    <row r="1569" spans="1:16" ht="15" customHeight="1">
      <c r="A1569" s="195" t="s">
        <v>797</v>
      </c>
      <c r="B1569" s="150" t="s">
        <v>234</v>
      </c>
      <c r="C1569" s="151" t="s">
        <v>2851</v>
      </c>
      <c r="D1569" s="171" t="s">
        <v>234</v>
      </c>
      <c r="E1569" s="170" t="s">
        <v>622</v>
      </c>
      <c r="F1569" s="171" t="s">
        <v>2853</v>
      </c>
      <c r="K1569" s="8"/>
      <c r="L1569" s="8"/>
      <c r="M1569" s="8"/>
      <c r="N1569" s="8"/>
      <c r="O1569" s="8"/>
      <c r="P1569" s="8"/>
    </row>
    <row r="1570" spans="1:16" ht="15" customHeight="1">
      <c r="A1570" s="182" t="s">
        <v>796</v>
      </c>
      <c r="B1570" s="152" t="s">
        <v>233</v>
      </c>
      <c r="C1570" s="153" t="s">
        <v>2852</v>
      </c>
      <c r="D1570" s="152" t="s">
        <v>233</v>
      </c>
      <c r="E1570" s="153" t="s">
        <v>622</v>
      </c>
      <c r="F1570" s="152" t="s">
        <v>2853</v>
      </c>
      <c r="K1570" s="8"/>
      <c r="L1570" s="8"/>
      <c r="M1570" s="8"/>
      <c r="N1570" s="8"/>
      <c r="O1570" s="8"/>
      <c r="P1570" s="8"/>
    </row>
    <row r="1571" spans="1:16" ht="15" customHeight="1">
      <c r="A1571" s="195" t="s">
        <v>795</v>
      </c>
      <c r="B1571" s="150" t="s">
        <v>232</v>
      </c>
      <c r="C1571" s="151" t="s">
        <v>2852</v>
      </c>
      <c r="D1571" s="171" t="s">
        <v>232</v>
      </c>
      <c r="E1571" s="170" t="s">
        <v>622</v>
      </c>
      <c r="F1571" s="171" t="s">
        <v>2853</v>
      </c>
      <c r="K1571" s="8"/>
      <c r="L1571" s="8"/>
      <c r="M1571" s="8"/>
      <c r="N1571" s="8"/>
      <c r="O1571" s="8"/>
      <c r="P1571" s="8"/>
    </row>
    <row r="1572" spans="1:16" ht="15" customHeight="1">
      <c r="A1572" s="182" t="s">
        <v>794</v>
      </c>
      <c r="B1572" s="152" t="s">
        <v>220</v>
      </c>
      <c r="C1572" s="153" t="s">
        <v>2852</v>
      </c>
      <c r="D1572" s="152" t="s">
        <v>220</v>
      </c>
      <c r="E1572" s="153" t="s">
        <v>622</v>
      </c>
      <c r="F1572" s="152" t="s">
        <v>2853</v>
      </c>
      <c r="K1572" s="8"/>
      <c r="L1572" s="8"/>
      <c r="M1572" s="8"/>
      <c r="N1572" s="8"/>
      <c r="O1572" s="8"/>
      <c r="P1572" s="8"/>
    </row>
    <row r="1573" spans="1:16" ht="15" customHeight="1">
      <c r="A1573" s="195" t="s">
        <v>793</v>
      </c>
      <c r="B1573" s="150" t="s">
        <v>186</v>
      </c>
      <c r="C1573" s="151" t="s">
        <v>2852</v>
      </c>
      <c r="D1573" s="171" t="s">
        <v>186</v>
      </c>
      <c r="E1573" s="170" t="s">
        <v>622</v>
      </c>
      <c r="F1573" s="171" t="s">
        <v>2853</v>
      </c>
      <c r="K1573" s="8"/>
      <c r="L1573" s="8"/>
      <c r="M1573" s="8"/>
      <c r="N1573" s="8"/>
      <c r="O1573" s="8"/>
      <c r="P1573" s="8"/>
    </row>
    <row r="1574" spans="1:16" ht="15" customHeight="1">
      <c r="A1574" s="182" t="s">
        <v>792</v>
      </c>
      <c r="B1574" s="152" t="s">
        <v>185</v>
      </c>
      <c r="C1574" s="153" t="s">
        <v>2852</v>
      </c>
      <c r="D1574" s="152" t="s">
        <v>185</v>
      </c>
      <c r="E1574" s="153" t="s">
        <v>622</v>
      </c>
      <c r="F1574" s="152" t="s">
        <v>2853</v>
      </c>
      <c r="K1574" s="8"/>
      <c r="L1574" s="8"/>
      <c r="M1574" s="8"/>
      <c r="N1574" s="8"/>
      <c r="O1574" s="8"/>
      <c r="P1574" s="8"/>
    </row>
    <row r="1575" spans="1:16" ht="15" customHeight="1">
      <c r="A1575" s="195" t="s">
        <v>791</v>
      </c>
      <c r="B1575" s="150" t="s">
        <v>175</v>
      </c>
      <c r="C1575" s="151" t="s">
        <v>2852</v>
      </c>
      <c r="D1575" s="171" t="s">
        <v>175</v>
      </c>
      <c r="E1575" s="170" t="s">
        <v>622</v>
      </c>
      <c r="F1575" s="171" t="s">
        <v>2853</v>
      </c>
      <c r="K1575" s="8"/>
      <c r="L1575" s="8"/>
      <c r="M1575" s="8"/>
      <c r="N1575" s="8"/>
      <c r="O1575" s="8"/>
      <c r="P1575" s="8"/>
    </row>
    <row r="1576" spans="1:16" ht="15" customHeight="1">
      <c r="A1576" s="182" t="s">
        <v>790</v>
      </c>
      <c r="B1576" s="152" t="s">
        <v>563</v>
      </c>
      <c r="C1576" s="153" t="s">
        <v>2852</v>
      </c>
      <c r="D1576" s="152" t="s">
        <v>563</v>
      </c>
      <c r="E1576" s="153" t="s">
        <v>622</v>
      </c>
      <c r="F1576" s="152" t="s">
        <v>2853</v>
      </c>
      <c r="K1576" s="8"/>
      <c r="L1576" s="8"/>
      <c r="M1576" s="8"/>
      <c r="N1576" s="8"/>
      <c r="O1576" s="8"/>
      <c r="P1576" s="8"/>
    </row>
    <row r="1577" spans="1:16" ht="15" customHeight="1">
      <c r="A1577" s="195" t="s">
        <v>789</v>
      </c>
      <c r="B1577" s="150" t="s">
        <v>562</v>
      </c>
      <c r="C1577" s="151" t="s">
        <v>2852</v>
      </c>
      <c r="D1577" s="171" t="s">
        <v>562</v>
      </c>
      <c r="E1577" s="170" t="s">
        <v>622</v>
      </c>
      <c r="F1577" s="171" t="s">
        <v>2853</v>
      </c>
      <c r="K1577" s="8"/>
      <c r="L1577" s="8"/>
      <c r="M1577" s="8"/>
      <c r="N1577" s="8"/>
      <c r="O1577" s="8"/>
      <c r="P1577" s="8"/>
    </row>
    <row r="1578" spans="1:16" ht="15" customHeight="1">
      <c r="A1578" s="182" t="s">
        <v>788</v>
      </c>
      <c r="B1578" s="152" t="s">
        <v>561</v>
      </c>
      <c r="C1578" s="153" t="s">
        <v>2852</v>
      </c>
      <c r="D1578" s="152" t="s">
        <v>561</v>
      </c>
      <c r="E1578" s="153" t="s">
        <v>622</v>
      </c>
      <c r="F1578" s="152" t="s">
        <v>2853</v>
      </c>
      <c r="K1578" s="8"/>
      <c r="L1578" s="8"/>
      <c r="M1578" s="8"/>
      <c r="N1578" s="8"/>
      <c r="O1578" s="8"/>
      <c r="P1578" s="8"/>
    </row>
    <row r="1579" spans="1:16" ht="15" customHeight="1">
      <c r="A1579" s="195" t="s">
        <v>787</v>
      </c>
      <c r="B1579" s="150" t="s">
        <v>542</v>
      </c>
      <c r="C1579" s="151" t="s">
        <v>2852</v>
      </c>
      <c r="D1579" s="171" t="s">
        <v>542</v>
      </c>
      <c r="E1579" s="170" t="s">
        <v>622</v>
      </c>
      <c r="F1579" s="171" t="s">
        <v>2853</v>
      </c>
      <c r="K1579" s="8"/>
      <c r="L1579" s="8"/>
      <c r="M1579" s="8"/>
      <c r="N1579" s="8"/>
      <c r="O1579" s="8"/>
      <c r="P1579" s="8"/>
    </row>
    <row r="1580" spans="1:16" ht="15" customHeight="1">
      <c r="A1580" s="182" t="s">
        <v>786</v>
      </c>
      <c r="B1580" s="152" t="s">
        <v>540</v>
      </c>
      <c r="C1580" s="153" t="s">
        <v>2852</v>
      </c>
      <c r="D1580" s="152" t="s">
        <v>540</v>
      </c>
      <c r="E1580" s="153" t="s">
        <v>622</v>
      </c>
      <c r="F1580" s="152" t="s">
        <v>2853</v>
      </c>
      <c r="K1580" s="8"/>
      <c r="L1580" s="8"/>
      <c r="M1580" s="8"/>
      <c r="N1580" s="8"/>
      <c r="O1580" s="8"/>
      <c r="P1580" s="8"/>
    </row>
    <row r="1581" spans="1:16" ht="15" customHeight="1">
      <c r="A1581" s="195" t="s">
        <v>785</v>
      </c>
      <c r="B1581" s="150" t="s">
        <v>519</v>
      </c>
      <c r="C1581" s="151" t="s">
        <v>2852</v>
      </c>
      <c r="D1581" s="171" t="s">
        <v>519</v>
      </c>
      <c r="E1581" s="170" t="s">
        <v>622</v>
      </c>
      <c r="F1581" s="171" t="s">
        <v>2853</v>
      </c>
      <c r="K1581" s="8"/>
      <c r="L1581" s="8"/>
      <c r="M1581" s="8"/>
      <c r="N1581" s="8"/>
      <c r="O1581" s="8"/>
      <c r="P1581" s="8"/>
    </row>
    <row r="1582" spans="1:16" ht="15" customHeight="1">
      <c r="A1582" s="182" t="s">
        <v>784</v>
      </c>
      <c r="B1582" s="152" t="s">
        <v>517</v>
      </c>
      <c r="C1582" s="153" t="s">
        <v>2852</v>
      </c>
      <c r="D1582" s="152" t="s">
        <v>517</v>
      </c>
      <c r="E1582" s="153" t="s">
        <v>622</v>
      </c>
      <c r="F1582" s="152" t="s">
        <v>2853</v>
      </c>
      <c r="K1582" s="8"/>
      <c r="L1582" s="8"/>
      <c r="M1582" s="8"/>
      <c r="N1582" s="8"/>
      <c r="O1582" s="8"/>
      <c r="P1582" s="8"/>
    </row>
    <row r="1583" spans="1:16" ht="15" customHeight="1">
      <c r="A1583" s="195" t="s">
        <v>783</v>
      </c>
      <c r="B1583" s="150" t="s">
        <v>496</v>
      </c>
      <c r="C1583" s="151" t="s">
        <v>2852</v>
      </c>
      <c r="D1583" s="171" t="s">
        <v>496</v>
      </c>
      <c r="E1583" s="170" t="s">
        <v>622</v>
      </c>
      <c r="F1583" s="171" t="s">
        <v>2853</v>
      </c>
      <c r="K1583" s="8"/>
      <c r="L1583" s="8"/>
      <c r="M1583" s="8"/>
      <c r="N1583" s="8"/>
      <c r="O1583" s="8"/>
      <c r="P1583" s="8"/>
    </row>
    <row r="1584" spans="1:16" ht="15" customHeight="1">
      <c r="A1584" s="182" t="s">
        <v>782</v>
      </c>
      <c r="B1584" s="152" t="s">
        <v>494</v>
      </c>
      <c r="C1584" s="153" t="s">
        <v>2852</v>
      </c>
      <c r="D1584" s="152" t="s">
        <v>494</v>
      </c>
      <c r="E1584" s="153" t="s">
        <v>622</v>
      </c>
      <c r="F1584" s="152" t="s">
        <v>2853</v>
      </c>
      <c r="K1584" s="8"/>
      <c r="L1584" s="8"/>
      <c r="M1584" s="8"/>
      <c r="N1584" s="8"/>
      <c r="O1584" s="8"/>
      <c r="P1584" s="8"/>
    </row>
    <row r="1585" spans="1:16" ht="15" customHeight="1">
      <c r="A1585" s="195" t="s">
        <v>781</v>
      </c>
      <c r="B1585" s="150" t="s">
        <v>493</v>
      </c>
      <c r="C1585" s="151" t="s">
        <v>2852</v>
      </c>
      <c r="D1585" s="171" t="s">
        <v>493</v>
      </c>
      <c r="E1585" s="170" t="s">
        <v>622</v>
      </c>
      <c r="F1585" s="171" t="s">
        <v>2853</v>
      </c>
      <c r="K1585" s="8"/>
      <c r="L1585" s="8"/>
      <c r="M1585" s="8"/>
      <c r="N1585" s="8"/>
      <c r="O1585" s="8"/>
      <c r="P1585" s="8"/>
    </row>
    <row r="1586" spans="1:16" ht="15" customHeight="1">
      <c r="A1586" s="182" t="s">
        <v>780</v>
      </c>
      <c r="B1586" s="152" t="s">
        <v>492</v>
      </c>
      <c r="C1586" s="153" t="s">
        <v>2852</v>
      </c>
      <c r="D1586" s="152" t="s">
        <v>492</v>
      </c>
      <c r="E1586" s="153" t="s">
        <v>622</v>
      </c>
      <c r="F1586" s="152" t="s">
        <v>2853</v>
      </c>
      <c r="K1586" s="8"/>
      <c r="L1586" s="8"/>
      <c r="M1586" s="8"/>
      <c r="N1586" s="8"/>
      <c r="O1586" s="8"/>
      <c r="P1586" s="8"/>
    </row>
    <row r="1587" spans="1:16" ht="15" customHeight="1">
      <c r="A1587" s="195" t="s">
        <v>779</v>
      </c>
      <c r="B1587" s="150" t="s">
        <v>491</v>
      </c>
      <c r="C1587" s="151" t="s">
        <v>2852</v>
      </c>
      <c r="D1587" s="171" t="s">
        <v>491</v>
      </c>
      <c r="E1587" s="170" t="s">
        <v>622</v>
      </c>
      <c r="F1587" s="171" t="s">
        <v>2853</v>
      </c>
      <c r="K1587" s="8"/>
      <c r="L1587" s="8"/>
      <c r="M1587" s="8"/>
      <c r="N1587" s="8"/>
      <c r="O1587" s="8"/>
      <c r="P1587" s="8"/>
    </row>
    <row r="1588" spans="1:16" ht="15" customHeight="1">
      <c r="A1588" s="182" t="s">
        <v>778</v>
      </c>
      <c r="B1588" s="152" t="s">
        <v>475</v>
      </c>
      <c r="C1588" s="153" t="s">
        <v>2851</v>
      </c>
      <c r="D1588" s="152" t="s">
        <v>475</v>
      </c>
      <c r="E1588" s="153" t="s">
        <v>622</v>
      </c>
      <c r="F1588" s="152" t="s">
        <v>2853</v>
      </c>
      <c r="K1588" s="8"/>
      <c r="L1588" s="8"/>
      <c r="M1588" s="8"/>
      <c r="N1588" s="8"/>
      <c r="O1588" s="8"/>
      <c r="P1588" s="8"/>
    </row>
    <row r="1589" spans="1:16" ht="15" customHeight="1">
      <c r="A1589" s="195" t="s">
        <v>777</v>
      </c>
      <c r="B1589" s="150" t="s">
        <v>474</v>
      </c>
      <c r="C1589" s="151" t="s">
        <v>2852</v>
      </c>
      <c r="D1589" s="171" t="s">
        <v>474</v>
      </c>
      <c r="E1589" s="170" t="s">
        <v>622</v>
      </c>
      <c r="F1589" s="171" t="s">
        <v>2853</v>
      </c>
      <c r="K1589" s="8"/>
      <c r="L1589" s="8"/>
      <c r="M1589" s="8"/>
      <c r="N1589" s="8"/>
      <c r="O1589" s="8"/>
      <c r="P1589" s="8"/>
    </row>
    <row r="1590" spans="1:16" ht="15" customHeight="1">
      <c r="A1590" s="182" t="s">
        <v>776</v>
      </c>
      <c r="B1590" s="152" t="s">
        <v>452</v>
      </c>
      <c r="C1590" s="153" t="s">
        <v>2852</v>
      </c>
      <c r="D1590" s="152" t="s">
        <v>452</v>
      </c>
      <c r="E1590" s="153" t="s">
        <v>622</v>
      </c>
      <c r="F1590" s="152" t="s">
        <v>2853</v>
      </c>
      <c r="K1590" s="8"/>
      <c r="L1590" s="8"/>
      <c r="M1590" s="8"/>
      <c r="N1590" s="8"/>
      <c r="O1590" s="8"/>
      <c r="P1590" s="8"/>
    </row>
    <row r="1591" spans="1:16" ht="15" customHeight="1">
      <c r="A1591" s="195" t="s">
        <v>775</v>
      </c>
      <c r="B1591" s="150" t="s">
        <v>451</v>
      </c>
      <c r="C1591" s="151" t="s">
        <v>2851</v>
      </c>
      <c r="D1591" s="171" t="s">
        <v>451</v>
      </c>
      <c r="E1591" s="170" t="s">
        <v>622</v>
      </c>
      <c r="F1591" s="171" t="s">
        <v>2853</v>
      </c>
      <c r="K1591" s="8"/>
      <c r="L1591" s="8"/>
      <c r="M1591" s="8"/>
      <c r="N1591" s="8"/>
      <c r="O1591" s="8"/>
      <c r="P1591" s="8"/>
    </row>
    <row r="1592" spans="1:16" ht="15" customHeight="1">
      <c r="A1592" s="182" t="s">
        <v>774</v>
      </c>
      <c r="B1592" s="152" t="s">
        <v>445</v>
      </c>
      <c r="C1592" s="153" t="s">
        <v>2852</v>
      </c>
      <c r="D1592" s="152" t="s">
        <v>445</v>
      </c>
      <c r="E1592" s="153" t="s">
        <v>622</v>
      </c>
      <c r="F1592" s="152" t="s">
        <v>2853</v>
      </c>
      <c r="K1592" s="8"/>
      <c r="L1592" s="8"/>
      <c r="M1592" s="8"/>
      <c r="N1592" s="8"/>
      <c r="O1592" s="8"/>
      <c r="P1592" s="8"/>
    </row>
    <row r="1593" spans="1:16" ht="15" customHeight="1">
      <c r="A1593" s="195" t="s">
        <v>773</v>
      </c>
      <c r="B1593" s="150" t="s">
        <v>444</v>
      </c>
      <c r="C1593" s="151" t="s">
        <v>2852</v>
      </c>
      <c r="D1593" s="171" t="s">
        <v>444</v>
      </c>
      <c r="E1593" s="170" t="s">
        <v>622</v>
      </c>
      <c r="F1593" s="171" t="s">
        <v>2853</v>
      </c>
      <c r="K1593" s="8"/>
      <c r="L1593" s="8"/>
      <c r="M1593" s="8"/>
      <c r="N1593" s="8"/>
      <c r="O1593" s="8"/>
      <c r="P1593" s="8"/>
    </row>
    <row r="1594" spans="1:16" ht="15" customHeight="1">
      <c r="A1594" s="182" t="s">
        <v>772</v>
      </c>
      <c r="B1594" s="152" t="s">
        <v>429</v>
      </c>
      <c r="C1594" s="153" t="s">
        <v>2852</v>
      </c>
      <c r="D1594" s="152" t="s">
        <v>429</v>
      </c>
      <c r="E1594" s="153" t="s">
        <v>622</v>
      </c>
      <c r="F1594" s="152" t="s">
        <v>2853</v>
      </c>
      <c r="K1594" s="8"/>
      <c r="L1594" s="8"/>
      <c r="M1594" s="8"/>
      <c r="N1594" s="8"/>
      <c r="O1594" s="8"/>
      <c r="P1594" s="8"/>
    </row>
    <row r="1595" spans="1:16" ht="15" customHeight="1">
      <c r="A1595" s="195" t="s">
        <v>771</v>
      </c>
      <c r="B1595" s="150" t="s">
        <v>425</v>
      </c>
      <c r="C1595" s="151" t="s">
        <v>2852</v>
      </c>
      <c r="D1595" s="171" t="s">
        <v>425</v>
      </c>
      <c r="E1595" s="170" t="s">
        <v>622</v>
      </c>
      <c r="F1595" s="171" t="s">
        <v>2853</v>
      </c>
      <c r="K1595" s="8"/>
      <c r="L1595" s="8"/>
      <c r="M1595" s="8"/>
      <c r="N1595" s="8"/>
      <c r="O1595" s="8"/>
      <c r="P1595" s="8"/>
    </row>
    <row r="1596" spans="1:16" ht="15" customHeight="1">
      <c r="A1596" s="182" t="s">
        <v>770</v>
      </c>
      <c r="B1596" s="152" t="s">
        <v>423</v>
      </c>
      <c r="C1596" s="153" t="s">
        <v>2852</v>
      </c>
      <c r="D1596" s="152" t="s">
        <v>423</v>
      </c>
      <c r="E1596" s="153" t="s">
        <v>622</v>
      </c>
      <c r="F1596" s="152" t="s">
        <v>2853</v>
      </c>
      <c r="K1596" s="8"/>
      <c r="L1596" s="8"/>
      <c r="M1596" s="8"/>
      <c r="N1596" s="8"/>
      <c r="O1596" s="8"/>
      <c r="P1596" s="8"/>
    </row>
    <row r="1597" spans="1:16" ht="15" customHeight="1">
      <c r="A1597" s="195" t="s">
        <v>769</v>
      </c>
      <c r="B1597" s="150" t="s">
        <v>421</v>
      </c>
      <c r="C1597" s="151" t="s">
        <v>2852</v>
      </c>
      <c r="D1597" s="171" t="s">
        <v>421</v>
      </c>
      <c r="E1597" s="170" t="s">
        <v>622</v>
      </c>
      <c r="F1597" s="171" t="s">
        <v>2853</v>
      </c>
      <c r="K1597" s="8"/>
      <c r="L1597" s="8"/>
      <c r="M1597" s="8"/>
      <c r="N1597" s="8"/>
      <c r="O1597" s="8"/>
      <c r="P1597" s="8"/>
    </row>
    <row r="1598" spans="1:16" ht="15" customHeight="1">
      <c r="A1598" s="182" t="s">
        <v>768</v>
      </c>
      <c r="B1598" s="152" t="s">
        <v>408</v>
      </c>
      <c r="C1598" s="153" t="s">
        <v>2852</v>
      </c>
      <c r="D1598" s="152" t="s">
        <v>408</v>
      </c>
      <c r="E1598" s="153" t="s">
        <v>622</v>
      </c>
      <c r="F1598" s="152" t="s">
        <v>2853</v>
      </c>
      <c r="K1598" s="8"/>
      <c r="L1598" s="8"/>
      <c r="M1598" s="8"/>
      <c r="N1598" s="8"/>
      <c r="O1598" s="8"/>
      <c r="P1598" s="8"/>
    </row>
    <row r="1599" spans="1:16" ht="15" customHeight="1">
      <c r="A1599" s="195" t="s">
        <v>767</v>
      </c>
      <c r="B1599" s="150" t="s">
        <v>404</v>
      </c>
      <c r="C1599" s="151" t="s">
        <v>2852</v>
      </c>
      <c r="D1599" s="171" t="s">
        <v>404</v>
      </c>
      <c r="E1599" s="170" t="s">
        <v>622</v>
      </c>
      <c r="F1599" s="171" t="s">
        <v>2853</v>
      </c>
      <c r="K1599" s="8"/>
      <c r="L1599" s="8"/>
      <c r="M1599" s="8"/>
      <c r="N1599" s="8"/>
      <c r="O1599" s="8"/>
      <c r="P1599" s="8"/>
    </row>
    <row r="1600" spans="1:16" ht="15" customHeight="1">
      <c r="A1600" s="182" t="s">
        <v>766</v>
      </c>
      <c r="B1600" s="152" t="s">
        <v>403</v>
      </c>
      <c r="C1600" s="153" t="s">
        <v>2852</v>
      </c>
      <c r="D1600" s="152" t="s">
        <v>403</v>
      </c>
      <c r="E1600" s="153" t="s">
        <v>622</v>
      </c>
      <c r="F1600" s="152" t="s">
        <v>2853</v>
      </c>
      <c r="K1600" s="8"/>
      <c r="L1600" s="8"/>
      <c r="M1600" s="8"/>
      <c r="N1600" s="8"/>
      <c r="O1600" s="8"/>
      <c r="P1600" s="8"/>
    </row>
    <row r="1601" spans="1:16" ht="15" customHeight="1">
      <c r="A1601" s="195" t="s">
        <v>765</v>
      </c>
      <c r="B1601" s="150" t="s">
        <v>399</v>
      </c>
      <c r="C1601" s="151" t="s">
        <v>2851</v>
      </c>
      <c r="D1601" s="171" t="s">
        <v>399</v>
      </c>
      <c r="E1601" s="170" t="s">
        <v>622</v>
      </c>
      <c r="F1601" s="171" t="s">
        <v>2853</v>
      </c>
      <c r="K1601" s="8"/>
      <c r="L1601" s="8"/>
      <c r="M1601" s="8"/>
      <c r="N1601" s="8"/>
      <c r="O1601" s="8"/>
      <c r="P1601" s="8"/>
    </row>
    <row r="1602" spans="1:16" ht="15" customHeight="1">
      <c r="A1602" s="182" t="s">
        <v>764</v>
      </c>
      <c r="B1602" s="152" t="s">
        <v>398</v>
      </c>
      <c r="C1602" s="153" t="s">
        <v>2852</v>
      </c>
      <c r="D1602" s="152" t="s">
        <v>398</v>
      </c>
      <c r="E1602" s="153" t="s">
        <v>622</v>
      </c>
      <c r="F1602" s="152" t="s">
        <v>2853</v>
      </c>
      <c r="K1602" s="8"/>
      <c r="L1602" s="8"/>
      <c r="M1602" s="8"/>
      <c r="N1602" s="8"/>
      <c r="O1602" s="8"/>
      <c r="P1602" s="8"/>
    </row>
    <row r="1603" spans="1:16" ht="15" customHeight="1">
      <c r="A1603" s="195" t="s">
        <v>763</v>
      </c>
      <c r="B1603" s="150" t="s">
        <v>385</v>
      </c>
      <c r="C1603" s="151" t="s">
        <v>2852</v>
      </c>
      <c r="D1603" s="171" t="s">
        <v>385</v>
      </c>
      <c r="E1603" s="170" t="s">
        <v>622</v>
      </c>
      <c r="F1603" s="171" t="s">
        <v>2853</v>
      </c>
      <c r="K1603" s="8"/>
      <c r="L1603" s="8"/>
      <c r="M1603" s="8"/>
      <c r="N1603" s="8"/>
      <c r="O1603" s="8"/>
      <c r="P1603" s="8"/>
    </row>
    <row r="1604" spans="1:16" ht="15" customHeight="1">
      <c r="A1604" s="182" t="s">
        <v>762</v>
      </c>
      <c r="B1604" s="152" t="s">
        <v>380</v>
      </c>
      <c r="C1604" s="153" t="s">
        <v>2852</v>
      </c>
      <c r="D1604" s="152" t="s">
        <v>380</v>
      </c>
      <c r="E1604" s="153" t="s">
        <v>622</v>
      </c>
      <c r="F1604" s="152" t="s">
        <v>2853</v>
      </c>
      <c r="K1604" s="8"/>
      <c r="L1604" s="8"/>
      <c r="M1604" s="8"/>
      <c r="N1604" s="8"/>
      <c r="O1604" s="8"/>
      <c r="P1604" s="8"/>
    </row>
    <row r="1605" spans="1:16" ht="15" customHeight="1">
      <c r="A1605" s="195" t="s">
        <v>761</v>
      </c>
      <c r="B1605" s="150" t="s">
        <v>379</v>
      </c>
      <c r="C1605" s="151" t="s">
        <v>2852</v>
      </c>
      <c r="D1605" s="171" t="s">
        <v>379</v>
      </c>
      <c r="E1605" s="170" t="s">
        <v>622</v>
      </c>
      <c r="F1605" s="171" t="s">
        <v>2853</v>
      </c>
      <c r="K1605" s="8"/>
      <c r="L1605" s="8"/>
      <c r="M1605" s="8"/>
      <c r="N1605" s="8"/>
      <c r="O1605" s="8"/>
      <c r="P1605" s="8"/>
    </row>
    <row r="1606" spans="1:16" ht="15" customHeight="1">
      <c r="A1606" s="182" t="s">
        <v>760</v>
      </c>
      <c r="B1606" s="152" t="s">
        <v>378</v>
      </c>
      <c r="C1606" s="153" t="s">
        <v>2852</v>
      </c>
      <c r="D1606" s="152" t="s">
        <v>378</v>
      </c>
      <c r="E1606" s="153" t="s">
        <v>622</v>
      </c>
      <c r="F1606" s="152" t="s">
        <v>2853</v>
      </c>
      <c r="K1606" s="8"/>
      <c r="L1606" s="8"/>
      <c r="M1606" s="8"/>
      <c r="N1606" s="8"/>
      <c r="O1606" s="8"/>
      <c r="P1606" s="8"/>
    </row>
    <row r="1607" spans="1:16" ht="15" customHeight="1">
      <c r="A1607" s="195" t="s">
        <v>759</v>
      </c>
      <c r="B1607" s="150" t="s">
        <v>377</v>
      </c>
      <c r="C1607" s="151" t="s">
        <v>2852</v>
      </c>
      <c r="D1607" s="171" t="s">
        <v>377</v>
      </c>
      <c r="E1607" s="170" t="s">
        <v>622</v>
      </c>
      <c r="F1607" s="171" t="s">
        <v>2853</v>
      </c>
      <c r="K1607" s="8"/>
      <c r="L1607" s="8"/>
      <c r="M1607" s="8"/>
      <c r="N1607" s="8"/>
      <c r="O1607" s="8"/>
      <c r="P1607" s="8"/>
    </row>
    <row r="1608" spans="1:16" ht="15" customHeight="1">
      <c r="A1608" s="182" t="s">
        <v>758</v>
      </c>
      <c r="B1608" s="152" t="s">
        <v>376</v>
      </c>
      <c r="C1608" s="153" t="s">
        <v>2852</v>
      </c>
      <c r="D1608" s="152" t="s">
        <v>376</v>
      </c>
      <c r="E1608" s="153" t="s">
        <v>622</v>
      </c>
      <c r="F1608" s="152" t="s">
        <v>2853</v>
      </c>
      <c r="K1608" s="8"/>
      <c r="L1608" s="8"/>
      <c r="M1608" s="8"/>
      <c r="N1608" s="8"/>
      <c r="O1608" s="8"/>
      <c r="P1608" s="8"/>
    </row>
    <row r="1609" spans="1:16" ht="15" customHeight="1">
      <c r="A1609" s="195" t="s">
        <v>757</v>
      </c>
      <c r="B1609" s="150" t="s">
        <v>361</v>
      </c>
      <c r="C1609" s="151" t="s">
        <v>2852</v>
      </c>
      <c r="D1609" s="171" t="s">
        <v>361</v>
      </c>
      <c r="E1609" s="170" t="s">
        <v>622</v>
      </c>
      <c r="F1609" s="171" t="s">
        <v>2853</v>
      </c>
      <c r="K1609" s="8"/>
      <c r="L1609" s="8"/>
      <c r="M1609" s="8"/>
      <c r="N1609" s="8"/>
      <c r="O1609" s="8"/>
      <c r="P1609" s="8"/>
    </row>
    <row r="1610" spans="1:16" ht="15" customHeight="1">
      <c r="A1610" s="182" t="s">
        <v>756</v>
      </c>
      <c r="B1610" s="152" t="s">
        <v>359</v>
      </c>
      <c r="C1610" s="153" t="s">
        <v>2852</v>
      </c>
      <c r="D1610" s="152" t="s">
        <v>359</v>
      </c>
      <c r="E1610" s="153" t="s">
        <v>622</v>
      </c>
      <c r="F1610" s="152" t="s">
        <v>2853</v>
      </c>
      <c r="K1610" s="8"/>
      <c r="L1610" s="8"/>
      <c r="M1610" s="8"/>
      <c r="N1610" s="8"/>
      <c r="O1610" s="8"/>
      <c r="P1610" s="8"/>
    </row>
    <row r="1611" spans="1:16" ht="15" customHeight="1">
      <c r="A1611" s="195" t="s">
        <v>755</v>
      </c>
      <c r="B1611" s="150" t="s">
        <v>353</v>
      </c>
      <c r="C1611" s="151" t="s">
        <v>2852</v>
      </c>
      <c r="D1611" s="171" t="s">
        <v>353</v>
      </c>
      <c r="E1611" s="170" t="s">
        <v>622</v>
      </c>
      <c r="F1611" s="171" t="s">
        <v>2853</v>
      </c>
      <c r="K1611" s="8"/>
      <c r="L1611" s="8"/>
      <c r="M1611" s="8"/>
      <c r="N1611" s="8"/>
      <c r="O1611" s="8"/>
      <c r="P1611" s="8"/>
    </row>
    <row r="1612" spans="1:16" ht="15" customHeight="1">
      <c r="A1612" s="193" t="s">
        <v>754</v>
      </c>
      <c r="B1612" s="196" t="s">
        <v>341</v>
      </c>
      <c r="C1612" s="193" t="s">
        <v>2852</v>
      </c>
      <c r="D1612" s="196" t="s">
        <v>341</v>
      </c>
      <c r="E1612" s="193" t="s">
        <v>622</v>
      </c>
      <c r="F1612" s="196" t="s">
        <v>2853</v>
      </c>
      <c r="K1612" s="8"/>
      <c r="L1612" s="8"/>
      <c r="M1612" s="8"/>
      <c r="N1612" s="8"/>
      <c r="O1612" s="8"/>
      <c r="P1612" s="8"/>
    </row>
    <row r="1613" spans="1:16" ht="15" customHeight="1">
      <c r="A1613" s="194" t="s">
        <v>752</v>
      </c>
      <c r="B1613" s="197" t="s">
        <v>340</v>
      </c>
      <c r="C1613" s="194" t="s">
        <v>2852</v>
      </c>
      <c r="D1613" s="197" t="s">
        <v>340</v>
      </c>
      <c r="E1613" s="194" t="s">
        <v>622</v>
      </c>
      <c r="F1613" s="197" t="s">
        <v>2853</v>
      </c>
      <c r="K1613" s="8"/>
      <c r="L1613" s="8"/>
      <c r="M1613" s="8"/>
      <c r="N1613" s="8"/>
      <c r="O1613" s="8"/>
      <c r="P1613" s="8"/>
    </row>
    <row r="1614" spans="1:16" ht="15" customHeight="1">
      <c r="A1614" s="193" t="s">
        <v>751</v>
      </c>
      <c r="B1614" s="196" t="s">
        <v>339</v>
      </c>
      <c r="C1614" s="193" t="s">
        <v>2852</v>
      </c>
      <c r="D1614" s="196" t="s">
        <v>339</v>
      </c>
      <c r="E1614" s="193" t="s">
        <v>622</v>
      </c>
      <c r="F1614" s="196" t="s">
        <v>2853</v>
      </c>
      <c r="K1614" s="8"/>
      <c r="L1614" s="8"/>
      <c r="M1614" s="8"/>
      <c r="N1614" s="8"/>
      <c r="O1614" s="8"/>
      <c r="P1614" s="8"/>
    </row>
    <row r="1615" spans="1:16" ht="15" customHeight="1">
      <c r="A1615" s="194" t="s">
        <v>750</v>
      </c>
      <c r="B1615" s="197" t="s">
        <v>338</v>
      </c>
      <c r="C1615" s="194" t="s">
        <v>2852</v>
      </c>
      <c r="D1615" s="197" t="s">
        <v>338</v>
      </c>
      <c r="E1615" s="194" t="s">
        <v>622</v>
      </c>
      <c r="F1615" s="197" t="s">
        <v>2853</v>
      </c>
      <c r="K1615" s="8"/>
      <c r="L1615" s="8"/>
      <c r="M1615" s="8"/>
      <c r="N1615" s="8"/>
      <c r="O1615" s="8"/>
      <c r="P1615" s="8"/>
    </row>
    <row r="1616" spans="1:16" ht="15" customHeight="1">
      <c r="A1616" s="193" t="s">
        <v>749</v>
      </c>
      <c r="B1616" s="196" t="s">
        <v>335</v>
      </c>
      <c r="C1616" s="193" t="s">
        <v>2852</v>
      </c>
      <c r="D1616" s="196" t="s">
        <v>335</v>
      </c>
      <c r="E1616" s="193" t="s">
        <v>622</v>
      </c>
      <c r="F1616" s="196" t="s">
        <v>2853</v>
      </c>
      <c r="K1616" s="8"/>
      <c r="L1616" s="8"/>
      <c r="M1616" s="8"/>
      <c r="N1616" s="8"/>
      <c r="O1616" s="8"/>
      <c r="P1616" s="8"/>
    </row>
    <row r="1617" spans="1:16" ht="15" customHeight="1">
      <c r="A1617" s="194" t="s">
        <v>748</v>
      </c>
      <c r="B1617" s="197" t="s">
        <v>332</v>
      </c>
      <c r="C1617" s="194" t="s">
        <v>2852</v>
      </c>
      <c r="D1617" s="197" t="s">
        <v>332</v>
      </c>
      <c r="E1617" s="194" t="s">
        <v>622</v>
      </c>
      <c r="F1617" s="197" t="s">
        <v>2853</v>
      </c>
      <c r="K1617" s="8"/>
      <c r="L1617" s="8"/>
      <c r="M1617" s="8"/>
      <c r="N1617" s="8"/>
      <c r="O1617" s="8"/>
      <c r="P1617" s="8"/>
    </row>
    <row r="1618" spans="1:16" ht="15" customHeight="1">
      <c r="A1618" s="193" t="s">
        <v>747</v>
      </c>
      <c r="B1618" s="196" t="s">
        <v>331</v>
      </c>
      <c r="C1618" s="193" t="s">
        <v>2852</v>
      </c>
      <c r="D1618" s="196" t="s">
        <v>331</v>
      </c>
      <c r="E1618" s="193" t="s">
        <v>622</v>
      </c>
      <c r="F1618" s="196" t="s">
        <v>2853</v>
      </c>
      <c r="K1618" s="8"/>
      <c r="L1618" s="8"/>
      <c r="M1618" s="8"/>
      <c r="N1618" s="8"/>
      <c r="O1618" s="8"/>
      <c r="P1618" s="8"/>
    </row>
    <row r="1619" spans="1:16" ht="15" customHeight="1">
      <c r="A1619" s="194" t="s">
        <v>746</v>
      </c>
      <c r="B1619" s="197" t="s">
        <v>318</v>
      </c>
      <c r="C1619" s="194" t="s">
        <v>2852</v>
      </c>
      <c r="D1619" s="197" t="s">
        <v>318</v>
      </c>
      <c r="E1619" s="194" t="s">
        <v>622</v>
      </c>
      <c r="F1619" s="197" t="s">
        <v>2853</v>
      </c>
      <c r="K1619" s="8"/>
      <c r="L1619" s="8"/>
      <c r="M1619" s="8"/>
      <c r="N1619" s="8"/>
      <c r="O1619" s="8"/>
      <c r="P1619" s="8"/>
    </row>
    <row r="1620" spans="1:16" ht="15" customHeight="1">
      <c r="A1620" s="193" t="s">
        <v>745</v>
      </c>
      <c r="B1620" s="196" t="s">
        <v>317</v>
      </c>
      <c r="C1620" s="193" t="s">
        <v>2852</v>
      </c>
      <c r="D1620" s="196" t="s">
        <v>317</v>
      </c>
      <c r="E1620" s="193" t="s">
        <v>622</v>
      </c>
      <c r="F1620" s="196" t="s">
        <v>2853</v>
      </c>
      <c r="K1620" s="8"/>
      <c r="L1620" s="8"/>
      <c r="M1620" s="8"/>
      <c r="N1620" s="8"/>
      <c r="O1620" s="8"/>
      <c r="P1620" s="8"/>
    </row>
    <row r="1621" spans="1:16" ht="15" customHeight="1">
      <c r="A1621" s="194" t="s">
        <v>744</v>
      </c>
      <c r="B1621" s="197" t="s">
        <v>315</v>
      </c>
      <c r="C1621" s="194" t="s">
        <v>2852</v>
      </c>
      <c r="D1621" s="197" t="s">
        <v>315</v>
      </c>
      <c r="E1621" s="194" t="s">
        <v>622</v>
      </c>
      <c r="F1621" s="197" t="s">
        <v>2853</v>
      </c>
      <c r="K1621" s="8"/>
      <c r="L1621" s="8"/>
      <c r="M1621" s="8"/>
      <c r="N1621" s="8"/>
      <c r="O1621" s="8"/>
      <c r="P1621" s="8"/>
    </row>
    <row r="1622" spans="1:16" ht="15" customHeight="1">
      <c r="A1622" s="193" t="s">
        <v>743</v>
      </c>
      <c r="B1622" s="196" t="s">
        <v>310</v>
      </c>
      <c r="C1622" s="193" t="s">
        <v>2851</v>
      </c>
      <c r="D1622" s="196" t="s">
        <v>310</v>
      </c>
      <c r="E1622" s="193" t="s">
        <v>622</v>
      </c>
      <c r="F1622" s="196" t="s">
        <v>2853</v>
      </c>
      <c r="K1622" s="8"/>
      <c r="L1622" s="8"/>
      <c r="M1622" s="8"/>
      <c r="N1622" s="8"/>
      <c r="O1622" s="8"/>
      <c r="P1622" s="8"/>
    </row>
    <row r="1623" spans="1:16" ht="15" customHeight="1">
      <c r="A1623" s="194" t="s">
        <v>742</v>
      </c>
      <c r="B1623" s="197" t="s">
        <v>309</v>
      </c>
      <c r="C1623" s="194" t="s">
        <v>2852</v>
      </c>
      <c r="D1623" s="197" t="s">
        <v>309</v>
      </c>
      <c r="E1623" s="194" t="s">
        <v>622</v>
      </c>
      <c r="F1623" s="197" t="s">
        <v>2853</v>
      </c>
      <c r="K1623" s="8"/>
      <c r="L1623" s="8"/>
      <c r="M1623" s="8"/>
      <c r="N1623" s="8"/>
      <c r="O1623" s="8"/>
      <c r="P1623" s="8"/>
    </row>
    <row r="1624" spans="1:16" ht="15" customHeight="1">
      <c r="A1624" s="193" t="s">
        <v>741</v>
      </c>
      <c r="B1624" s="196" t="s">
        <v>308</v>
      </c>
      <c r="C1624" s="193" t="s">
        <v>2852</v>
      </c>
      <c r="D1624" s="196" t="s">
        <v>308</v>
      </c>
      <c r="E1624" s="193" t="s">
        <v>622</v>
      </c>
      <c r="F1624" s="196" t="s">
        <v>2853</v>
      </c>
      <c r="K1624" s="8"/>
      <c r="L1624" s="8"/>
      <c r="M1624" s="8"/>
      <c r="N1624" s="8"/>
      <c r="O1624" s="8"/>
      <c r="P1624" s="8"/>
    </row>
    <row r="1625" spans="1:16" ht="15" customHeight="1">
      <c r="A1625" s="194" t="s">
        <v>740</v>
      </c>
      <c r="B1625" s="197" t="s">
        <v>307</v>
      </c>
      <c r="C1625" s="194" t="s">
        <v>2852</v>
      </c>
      <c r="D1625" s="197" t="s">
        <v>307</v>
      </c>
      <c r="E1625" s="194" t="s">
        <v>622</v>
      </c>
      <c r="F1625" s="197" t="s">
        <v>2853</v>
      </c>
      <c r="K1625" s="8"/>
      <c r="L1625" s="8"/>
      <c r="M1625" s="8"/>
      <c r="N1625" s="8"/>
      <c r="O1625" s="8"/>
      <c r="P1625" s="8"/>
    </row>
    <row r="1626" spans="1:16" ht="15" customHeight="1">
      <c r="A1626" s="193" t="s">
        <v>739</v>
      </c>
      <c r="B1626" s="196" t="s">
        <v>295</v>
      </c>
      <c r="C1626" s="193" t="s">
        <v>2851</v>
      </c>
      <c r="D1626" s="196" t="s">
        <v>295</v>
      </c>
      <c r="E1626" s="193" t="s">
        <v>622</v>
      </c>
      <c r="F1626" s="196" t="s">
        <v>2853</v>
      </c>
      <c r="K1626" s="8"/>
      <c r="L1626" s="8"/>
      <c r="M1626" s="8"/>
      <c r="N1626" s="8"/>
      <c r="O1626" s="8"/>
      <c r="P1626" s="8"/>
    </row>
    <row r="1627" spans="1:16" ht="15" customHeight="1">
      <c r="A1627" s="194" t="s">
        <v>738</v>
      </c>
      <c r="B1627" s="197" t="s">
        <v>294</v>
      </c>
      <c r="C1627" s="194" t="s">
        <v>2852</v>
      </c>
      <c r="D1627" s="197" t="s">
        <v>294</v>
      </c>
      <c r="E1627" s="194" t="s">
        <v>622</v>
      </c>
      <c r="F1627" s="197" t="s">
        <v>2853</v>
      </c>
      <c r="K1627" s="8"/>
      <c r="L1627" s="8"/>
      <c r="M1627" s="8"/>
      <c r="N1627" s="8"/>
      <c r="O1627" s="8"/>
      <c r="P1627" s="8"/>
    </row>
    <row r="1628" spans="1:16" ht="15" customHeight="1">
      <c r="A1628" s="193" t="s">
        <v>737</v>
      </c>
      <c r="B1628" s="196" t="s">
        <v>293</v>
      </c>
      <c r="C1628" s="193" t="s">
        <v>2851</v>
      </c>
      <c r="D1628" s="196" t="s">
        <v>293</v>
      </c>
      <c r="E1628" s="193" t="s">
        <v>622</v>
      </c>
      <c r="F1628" s="196" t="s">
        <v>2853</v>
      </c>
      <c r="K1628" s="8"/>
      <c r="L1628" s="8"/>
      <c r="M1628" s="8"/>
      <c r="N1628" s="8"/>
      <c r="O1628" s="8"/>
      <c r="P1628" s="8"/>
    </row>
    <row r="1629" spans="1:16" ht="15" customHeight="1">
      <c r="A1629" s="194" t="s">
        <v>736</v>
      </c>
      <c r="B1629" s="197" t="s">
        <v>292</v>
      </c>
      <c r="C1629" s="194" t="s">
        <v>2852</v>
      </c>
      <c r="D1629" s="197" t="s">
        <v>292</v>
      </c>
      <c r="E1629" s="194" t="s">
        <v>622</v>
      </c>
      <c r="F1629" s="197" t="s">
        <v>2853</v>
      </c>
      <c r="K1629" s="8"/>
      <c r="L1629" s="8"/>
      <c r="M1629" s="8"/>
      <c r="N1629" s="8"/>
      <c r="O1629" s="8"/>
      <c r="P1629" s="8"/>
    </row>
    <row r="1630" spans="1:16" ht="15" customHeight="1">
      <c r="A1630" s="193" t="s">
        <v>735</v>
      </c>
      <c r="B1630" s="196" t="s">
        <v>291</v>
      </c>
      <c r="C1630" s="193" t="s">
        <v>2852</v>
      </c>
      <c r="D1630" s="196" t="s">
        <v>291</v>
      </c>
      <c r="E1630" s="193" t="s">
        <v>622</v>
      </c>
      <c r="F1630" s="196" t="s">
        <v>2853</v>
      </c>
      <c r="K1630" s="8"/>
      <c r="L1630" s="8"/>
      <c r="M1630" s="8"/>
      <c r="N1630" s="8"/>
      <c r="O1630" s="8"/>
      <c r="P1630" s="8"/>
    </row>
    <row r="1631" spans="1:16" ht="15" customHeight="1">
      <c r="A1631" s="194" t="s">
        <v>734</v>
      </c>
      <c r="B1631" s="197" t="s">
        <v>287</v>
      </c>
      <c r="C1631" s="194" t="s">
        <v>2852</v>
      </c>
      <c r="D1631" s="197" t="s">
        <v>287</v>
      </c>
      <c r="E1631" s="194" t="s">
        <v>622</v>
      </c>
      <c r="F1631" s="197" t="s">
        <v>2853</v>
      </c>
      <c r="K1631" s="8"/>
      <c r="L1631" s="8"/>
      <c r="M1631" s="8"/>
      <c r="N1631" s="8"/>
      <c r="O1631" s="8"/>
      <c r="P1631" s="8"/>
    </row>
    <row r="1632" spans="1:16" ht="15" customHeight="1">
      <c r="A1632" s="193" t="s">
        <v>733</v>
      </c>
      <c r="B1632" s="196" t="s">
        <v>286</v>
      </c>
      <c r="C1632" s="193" t="s">
        <v>2852</v>
      </c>
      <c r="D1632" s="196" t="s">
        <v>286</v>
      </c>
      <c r="E1632" s="193" t="s">
        <v>622</v>
      </c>
      <c r="F1632" s="196" t="s">
        <v>2853</v>
      </c>
      <c r="K1632" s="8"/>
      <c r="L1632" s="8"/>
      <c r="M1632" s="8"/>
      <c r="N1632" s="8"/>
      <c r="O1632" s="8"/>
      <c r="P1632" s="8"/>
    </row>
    <row r="1633" spans="1:16" ht="15" customHeight="1">
      <c r="A1633" s="194" t="s">
        <v>732</v>
      </c>
      <c r="B1633" s="197" t="s">
        <v>285</v>
      </c>
      <c r="C1633" s="194" t="s">
        <v>2852</v>
      </c>
      <c r="D1633" s="197" t="s">
        <v>285</v>
      </c>
      <c r="E1633" s="194" t="s">
        <v>622</v>
      </c>
      <c r="F1633" s="197" t="s">
        <v>2853</v>
      </c>
      <c r="K1633" s="8"/>
      <c r="L1633" s="8"/>
      <c r="M1633" s="8"/>
      <c r="N1633" s="8"/>
      <c r="O1633" s="8"/>
      <c r="P1633" s="8"/>
    </row>
    <row r="1634" spans="1:16" ht="15" customHeight="1">
      <c r="A1634" s="193" t="s">
        <v>731</v>
      </c>
      <c r="B1634" s="196" t="s">
        <v>274</v>
      </c>
      <c r="C1634" s="193" t="s">
        <v>2851</v>
      </c>
      <c r="D1634" s="196" t="s">
        <v>274</v>
      </c>
      <c r="E1634" s="193" t="s">
        <v>622</v>
      </c>
      <c r="F1634" s="196" t="s">
        <v>2853</v>
      </c>
      <c r="K1634" s="8"/>
      <c r="L1634" s="8"/>
      <c r="M1634" s="8"/>
      <c r="N1634" s="8"/>
      <c r="O1634" s="8"/>
      <c r="P1634" s="8"/>
    </row>
    <row r="1635" spans="1:16" ht="15" customHeight="1">
      <c r="A1635" s="194" t="s">
        <v>730</v>
      </c>
      <c r="B1635" s="197" t="s">
        <v>272</v>
      </c>
      <c r="C1635" s="194" t="s">
        <v>2852</v>
      </c>
      <c r="D1635" s="197" t="s">
        <v>272</v>
      </c>
      <c r="E1635" s="194" t="s">
        <v>622</v>
      </c>
      <c r="F1635" s="197" t="s">
        <v>2853</v>
      </c>
      <c r="K1635" s="8"/>
      <c r="L1635" s="8"/>
      <c r="M1635" s="8"/>
      <c r="N1635" s="8"/>
      <c r="O1635" s="8"/>
      <c r="P1635" s="8"/>
    </row>
    <row r="1636" spans="1:16" ht="15" customHeight="1">
      <c r="A1636" s="193" t="s">
        <v>729</v>
      </c>
      <c r="B1636" s="196" t="s">
        <v>271</v>
      </c>
      <c r="C1636" s="193" t="s">
        <v>2852</v>
      </c>
      <c r="D1636" s="196" t="s">
        <v>271</v>
      </c>
      <c r="E1636" s="193" t="s">
        <v>622</v>
      </c>
      <c r="F1636" s="196" t="s">
        <v>2853</v>
      </c>
      <c r="K1636" s="8"/>
      <c r="L1636" s="8"/>
      <c r="M1636" s="8"/>
      <c r="N1636" s="8"/>
      <c r="O1636" s="8"/>
      <c r="P1636" s="8"/>
    </row>
    <row r="1637" spans="1:16" ht="15" customHeight="1">
      <c r="A1637" s="194" t="s">
        <v>728</v>
      </c>
      <c r="B1637" s="197" t="s">
        <v>265</v>
      </c>
      <c r="C1637" s="194" t="s">
        <v>2852</v>
      </c>
      <c r="D1637" s="197" t="s">
        <v>265</v>
      </c>
      <c r="E1637" s="194" t="s">
        <v>622</v>
      </c>
      <c r="F1637" s="197" t="s">
        <v>2853</v>
      </c>
      <c r="K1637" s="8"/>
      <c r="L1637" s="8"/>
      <c r="M1637" s="8"/>
      <c r="N1637" s="8"/>
      <c r="O1637" s="8"/>
      <c r="P1637" s="8"/>
    </row>
    <row r="1638" spans="1:16" ht="15" customHeight="1">
      <c r="A1638" s="193" t="s">
        <v>727</v>
      </c>
      <c r="B1638" s="196" t="s">
        <v>263</v>
      </c>
      <c r="C1638" s="193" t="s">
        <v>2852</v>
      </c>
      <c r="D1638" s="196" t="s">
        <v>263</v>
      </c>
      <c r="E1638" s="193" t="s">
        <v>622</v>
      </c>
      <c r="F1638" s="196" t="s">
        <v>2853</v>
      </c>
      <c r="K1638" s="8"/>
      <c r="L1638" s="8"/>
      <c r="M1638" s="8"/>
      <c r="N1638" s="8"/>
      <c r="O1638" s="8"/>
      <c r="P1638" s="8"/>
    </row>
    <row r="1639" spans="1:16">
      <c r="A1639" s="210"/>
    </row>
    <row r="1640" spans="1:16">
      <c r="A1640" s="210"/>
    </row>
    <row r="1641" spans="1:16">
      <c r="A1641" s="210"/>
    </row>
    <row r="1642" spans="1:16">
      <c r="A1642" s="210"/>
    </row>
    <row r="1643" spans="1:16">
      <c r="A1643" s="210"/>
    </row>
    <row r="1644" spans="1:16">
      <c r="A1644" s="210"/>
    </row>
    <row r="1645" spans="1:16">
      <c r="A1645" s="210"/>
    </row>
    <row r="1646" spans="1:16">
      <c r="A1646" s="210"/>
    </row>
    <row r="1647" spans="1:16">
      <c r="A1647" s="210"/>
    </row>
    <row r="1648" spans="1:16">
      <c r="A1648" s="210"/>
    </row>
    <row r="1649" spans="1:1">
      <c r="A1649" s="210"/>
    </row>
    <row r="1650" spans="1:1">
      <c r="A1650" s="210"/>
    </row>
    <row r="1651" spans="1:1">
      <c r="A1651" s="210"/>
    </row>
    <row r="1652" spans="1:1">
      <c r="A1652" s="210"/>
    </row>
    <row r="1653" spans="1:1">
      <c r="A1653" s="210"/>
    </row>
    <row r="1654" spans="1:1">
      <c r="A1654" s="210"/>
    </row>
    <row r="1655" spans="1:1">
      <c r="A1655" s="210"/>
    </row>
    <row r="1656" spans="1:1">
      <c r="A1656" s="210"/>
    </row>
    <row r="1657" spans="1:1">
      <c r="A1657" s="210"/>
    </row>
    <row r="1658" spans="1:1">
      <c r="A1658" s="210"/>
    </row>
    <row r="1659" spans="1:1">
      <c r="A1659" s="210"/>
    </row>
    <row r="1660" spans="1:1">
      <c r="A1660" s="210"/>
    </row>
    <row r="1661" spans="1:1">
      <c r="A1661" s="210"/>
    </row>
    <row r="1662" spans="1:1">
      <c r="A1662" s="210"/>
    </row>
    <row r="1663" spans="1:1">
      <c r="A1663" s="210"/>
    </row>
    <row r="1664" spans="1:1">
      <c r="A1664" s="210"/>
    </row>
    <row r="1665" spans="1:1">
      <c r="A1665" s="210"/>
    </row>
    <row r="1666" spans="1:1">
      <c r="A1666" s="210"/>
    </row>
    <row r="1667" spans="1:1">
      <c r="A1667" s="210"/>
    </row>
    <row r="1668" spans="1:1">
      <c r="A1668" s="210"/>
    </row>
    <row r="1669" spans="1:1">
      <c r="A1669" s="210"/>
    </row>
    <row r="1670" spans="1:1">
      <c r="A1670" s="210"/>
    </row>
    <row r="1671" spans="1:1">
      <c r="A1671" s="210"/>
    </row>
    <row r="1672" spans="1:1">
      <c r="A1672" s="210"/>
    </row>
    <row r="1673" spans="1:1">
      <c r="A1673" s="210"/>
    </row>
    <row r="1674" spans="1:1">
      <c r="A1674" s="210"/>
    </row>
    <row r="1675" spans="1:1">
      <c r="A1675" s="210"/>
    </row>
    <row r="1676" spans="1:1">
      <c r="A1676" s="210"/>
    </row>
    <row r="1677" spans="1:1">
      <c r="A1677" s="210"/>
    </row>
    <row r="1678" spans="1:1">
      <c r="A1678" s="210"/>
    </row>
    <row r="1679" spans="1:1">
      <c r="A1679" s="210"/>
    </row>
    <row r="1680" spans="1:1">
      <c r="A1680" s="210"/>
    </row>
    <row r="1681" spans="1:1">
      <c r="A1681" s="210"/>
    </row>
    <row r="1682" spans="1:1">
      <c r="A1682" s="210"/>
    </row>
    <row r="1683" spans="1:1">
      <c r="A1683" s="210"/>
    </row>
    <row r="1684" spans="1:1">
      <c r="A1684" s="210"/>
    </row>
    <row r="1685" spans="1:1">
      <c r="A1685" s="210"/>
    </row>
    <row r="1686" spans="1:1">
      <c r="A1686" s="210"/>
    </row>
    <row r="1687" spans="1:1">
      <c r="A1687" s="210"/>
    </row>
    <row r="1688" spans="1:1">
      <c r="A1688" s="210"/>
    </row>
    <row r="1689" spans="1:1">
      <c r="A1689" s="210"/>
    </row>
    <row r="1690" spans="1:1">
      <c r="A1690" s="210"/>
    </row>
    <row r="1691" spans="1:1">
      <c r="A1691" s="210"/>
    </row>
    <row r="1692" spans="1:1">
      <c r="A1692" s="210"/>
    </row>
    <row r="1693" spans="1:1">
      <c r="A1693" s="210"/>
    </row>
    <row r="1694" spans="1:1">
      <c r="A1694" s="210"/>
    </row>
    <row r="1695" spans="1:1">
      <c r="A1695" s="210"/>
    </row>
    <row r="1696" spans="1:1">
      <c r="A1696" s="210"/>
    </row>
    <row r="1697" spans="1:1">
      <c r="A1697" s="210"/>
    </row>
    <row r="1698" spans="1:1">
      <c r="A1698" s="210"/>
    </row>
    <row r="1699" spans="1:1">
      <c r="A1699" s="210"/>
    </row>
    <row r="1700" spans="1:1">
      <c r="A1700" s="210"/>
    </row>
    <row r="1701" spans="1:1">
      <c r="A1701" s="210"/>
    </row>
    <row r="1702" spans="1:1">
      <c r="A1702" s="210"/>
    </row>
    <row r="1703" spans="1:1">
      <c r="A1703" s="210"/>
    </row>
    <row r="1704" spans="1:1">
      <c r="A1704" s="210"/>
    </row>
    <row r="1705" spans="1:1">
      <c r="A1705" s="210"/>
    </row>
    <row r="1706" spans="1:1">
      <c r="A1706" s="210"/>
    </row>
    <row r="1707" spans="1:1">
      <c r="A1707" s="210"/>
    </row>
    <row r="1708" spans="1:1">
      <c r="A1708" s="210"/>
    </row>
    <row r="1709" spans="1:1">
      <c r="A1709" s="210"/>
    </row>
    <row r="1710" spans="1:1">
      <c r="A1710" s="210"/>
    </row>
    <row r="1711" spans="1:1">
      <c r="A1711" s="210"/>
    </row>
    <row r="1712" spans="1:1">
      <c r="A1712" s="210"/>
    </row>
    <row r="1713" spans="1:1">
      <c r="A1713" s="210"/>
    </row>
    <row r="1714" spans="1:1">
      <c r="A1714" s="210"/>
    </row>
    <row r="1715" spans="1:1">
      <c r="A1715" s="210"/>
    </row>
    <row r="1716" spans="1:1">
      <c r="A1716" s="210"/>
    </row>
    <row r="1717" spans="1:1">
      <c r="A1717" s="210"/>
    </row>
    <row r="1718" spans="1:1">
      <c r="A1718" s="210"/>
    </row>
    <row r="1719" spans="1:1">
      <c r="A1719" s="210"/>
    </row>
    <row r="1720" spans="1:1">
      <c r="A1720" s="210"/>
    </row>
    <row r="1721" spans="1:1">
      <c r="A1721" s="210"/>
    </row>
    <row r="1722" spans="1:1">
      <c r="A1722" s="210"/>
    </row>
    <row r="1723" spans="1:1">
      <c r="A1723" s="210"/>
    </row>
    <row r="1724" spans="1:1">
      <c r="A1724" s="210"/>
    </row>
    <row r="1725" spans="1:1">
      <c r="A1725" s="210"/>
    </row>
    <row r="1726" spans="1:1">
      <c r="A1726" s="210"/>
    </row>
    <row r="1727" spans="1:1">
      <c r="A1727" s="210"/>
    </row>
    <row r="1728" spans="1:1">
      <c r="A1728" s="210"/>
    </row>
    <row r="1729" spans="1:1">
      <c r="A1729" s="210"/>
    </row>
    <row r="1730" spans="1:1">
      <c r="A1730" s="210"/>
    </row>
    <row r="1731" spans="1:1">
      <c r="A1731" s="210"/>
    </row>
    <row r="1732" spans="1:1">
      <c r="A1732" s="210"/>
    </row>
    <row r="1733" spans="1:1">
      <c r="A1733" s="210"/>
    </row>
    <row r="1734" spans="1:1">
      <c r="A1734" s="210"/>
    </row>
    <row r="1735" spans="1:1">
      <c r="A1735" s="210"/>
    </row>
    <row r="1736" spans="1:1">
      <c r="A1736" s="210"/>
    </row>
    <row r="1737" spans="1:1">
      <c r="A1737" s="210"/>
    </row>
    <row r="1738" spans="1:1">
      <c r="A1738" s="210"/>
    </row>
    <row r="1739" spans="1:1">
      <c r="A1739" s="210"/>
    </row>
    <row r="1740" spans="1:1">
      <c r="A1740" s="210"/>
    </row>
    <row r="1741" spans="1:1">
      <c r="A1741" s="210"/>
    </row>
    <row r="1742" spans="1:1">
      <c r="A1742" s="210"/>
    </row>
    <row r="1743" spans="1:1">
      <c r="A1743" s="210"/>
    </row>
    <row r="1744" spans="1:1">
      <c r="A1744" s="210"/>
    </row>
    <row r="1745" spans="1:1">
      <c r="A1745" s="210"/>
    </row>
    <row r="1746" spans="1:1">
      <c r="A1746" s="210"/>
    </row>
    <row r="1747" spans="1:1">
      <c r="A1747" s="210"/>
    </row>
    <row r="1748" spans="1:1">
      <c r="A1748" s="210"/>
    </row>
    <row r="1749" spans="1:1">
      <c r="A1749" s="210"/>
    </row>
    <row r="1750" spans="1:1">
      <c r="A1750" s="210"/>
    </row>
    <row r="1751" spans="1:1">
      <c r="A1751" s="210"/>
    </row>
    <row r="1752" spans="1:1">
      <c r="A1752" s="210"/>
    </row>
    <row r="1753" spans="1:1">
      <c r="A1753" s="210"/>
    </row>
    <row r="1754" spans="1:1">
      <c r="A1754" s="210"/>
    </row>
    <row r="1755" spans="1:1">
      <c r="A1755" s="210"/>
    </row>
    <row r="1756" spans="1:1">
      <c r="A1756" s="210"/>
    </row>
    <row r="1757" spans="1:1">
      <c r="A1757" s="210"/>
    </row>
    <row r="1758" spans="1:1">
      <c r="A1758" s="210"/>
    </row>
    <row r="1759" spans="1:1">
      <c r="A1759" s="210"/>
    </row>
    <row r="1760" spans="1:1">
      <c r="A1760" s="210"/>
    </row>
    <row r="1761" spans="1:1">
      <c r="A1761" s="210"/>
    </row>
    <row r="1762" spans="1:1">
      <c r="A1762" s="210"/>
    </row>
    <row r="1763" spans="1:1">
      <c r="A1763" s="210"/>
    </row>
    <row r="1764" spans="1:1">
      <c r="A1764" s="210"/>
    </row>
    <row r="1765" spans="1:1">
      <c r="A1765" s="210"/>
    </row>
    <row r="1766" spans="1:1">
      <c r="A1766" s="210"/>
    </row>
    <row r="1767" spans="1:1">
      <c r="A1767" s="210"/>
    </row>
    <row r="1768" spans="1:1">
      <c r="A1768" s="210"/>
    </row>
    <row r="1769" spans="1:1">
      <c r="A1769" s="210"/>
    </row>
    <row r="1770" spans="1:1">
      <c r="A1770" s="210"/>
    </row>
    <row r="1771" spans="1:1">
      <c r="A1771" s="210"/>
    </row>
    <row r="1772" spans="1:1">
      <c r="A1772" s="210"/>
    </row>
    <row r="1773" spans="1:1">
      <c r="A1773" s="210"/>
    </row>
    <row r="1774" spans="1:1">
      <c r="A1774" s="210"/>
    </row>
    <row r="1775" spans="1:1">
      <c r="A1775" s="210"/>
    </row>
    <row r="1776" spans="1:1">
      <c r="A1776" s="210"/>
    </row>
    <row r="1777" spans="1:1">
      <c r="A1777" s="210"/>
    </row>
    <row r="1778" spans="1:1">
      <c r="A1778" s="210"/>
    </row>
    <row r="1779" spans="1:1">
      <c r="A1779" s="210"/>
    </row>
    <row r="1780" spans="1:1">
      <c r="A1780" s="210"/>
    </row>
    <row r="1781" spans="1:1">
      <c r="A1781" s="210"/>
    </row>
    <row r="1782" spans="1:1">
      <c r="A1782" s="210"/>
    </row>
    <row r="1783" spans="1:1">
      <c r="A1783" s="210"/>
    </row>
    <row r="1784" spans="1:1">
      <c r="A1784" s="210"/>
    </row>
    <row r="1785" spans="1:1">
      <c r="A1785" s="210"/>
    </row>
    <row r="1786" spans="1:1">
      <c r="A1786" s="210"/>
    </row>
    <row r="1787" spans="1:1">
      <c r="A1787" s="210"/>
    </row>
    <row r="1788" spans="1:1">
      <c r="A1788" s="210"/>
    </row>
    <row r="1789" spans="1:1">
      <c r="A1789" s="210"/>
    </row>
    <row r="1790" spans="1:1">
      <c r="A1790" s="210"/>
    </row>
    <row r="1791" spans="1:1">
      <c r="A1791" s="210"/>
    </row>
    <row r="1792" spans="1:1">
      <c r="A1792" s="210"/>
    </row>
    <row r="1793" spans="1:1">
      <c r="A1793" s="210"/>
    </row>
    <row r="1794" spans="1:1">
      <c r="A1794" s="210"/>
    </row>
    <row r="1795" spans="1:1">
      <c r="A1795" s="210"/>
    </row>
    <row r="1796" spans="1:1">
      <c r="A1796" s="210"/>
    </row>
    <row r="1797" spans="1:1">
      <c r="A1797" s="210"/>
    </row>
    <row r="1798" spans="1:1">
      <c r="A1798" s="210"/>
    </row>
    <row r="1799" spans="1:1">
      <c r="A1799" s="210"/>
    </row>
    <row r="1800" spans="1:1">
      <c r="A1800" s="210"/>
    </row>
    <row r="1801" spans="1:1">
      <c r="A1801" s="210"/>
    </row>
    <row r="1802" spans="1:1">
      <c r="A1802" s="210"/>
    </row>
    <row r="1803" spans="1:1">
      <c r="A1803" s="210"/>
    </row>
    <row r="1804" spans="1:1">
      <c r="A1804" s="210"/>
    </row>
    <row r="1805" spans="1:1">
      <c r="A1805" s="210"/>
    </row>
    <row r="1806" spans="1:1">
      <c r="A1806" s="210"/>
    </row>
    <row r="1807" spans="1:1">
      <c r="A1807" s="210"/>
    </row>
    <row r="1808" spans="1:1">
      <c r="A1808" s="210"/>
    </row>
    <row r="1809" spans="1:1">
      <c r="A1809" s="210"/>
    </row>
    <row r="1810" spans="1:1">
      <c r="A1810" s="210"/>
    </row>
    <row r="1811" spans="1:1">
      <c r="A1811" s="210"/>
    </row>
    <row r="1812" spans="1:1">
      <c r="A1812" s="210"/>
    </row>
    <row r="1813" spans="1:1">
      <c r="A1813" s="210"/>
    </row>
    <row r="1814" spans="1:1">
      <c r="A1814" s="210"/>
    </row>
    <row r="1815" spans="1:1">
      <c r="A1815" s="210"/>
    </row>
    <row r="1816" spans="1:1">
      <c r="A1816" s="210"/>
    </row>
    <row r="1817" spans="1:1">
      <c r="A1817" s="210"/>
    </row>
    <row r="1818" spans="1:1">
      <c r="A1818" s="210"/>
    </row>
    <row r="1819" spans="1:1">
      <c r="A1819" s="210"/>
    </row>
    <row r="1820" spans="1:1">
      <c r="A1820" s="210"/>
    </row>
    <row r="1821" spans="1:1">
      <c r="A1821" s="210"/>
    </row>
    <row r="1822" spans="1:1">
      <c r="A1822" s="210"/>
    </row>
    <row r="1823" spans="1:1">
      <c r="A1823" s="210"/>
    </row>
    <row r="1824" spans="1:1">
      <c r="A1824" s="210"/>
    </row>
    <row r="1825" spans="1:1">
      <c r="A1825" s="210"/>
    </row>
    <row r="1826" spans="1:1">
      <c r="A1826" s="210"/>
    </row>
    <row r="1827" spans="1:1">
      <c r="A1827" s="210"/>
    </row>
    <row r="1828" spans="1:1">
      <c r="A1828" s="210"/>
    </row>
    <row r="1829" spans="1:1">
      <c r="A1829" s="210"/>
    </row>
    <row r="1830" spans="1:1">
      <c r="A1830" s="210"/>
    </row>
    <row r="1831" spans="1:1">
      <c r="A1831" s="210"/>
    </row>
    <row r="1832" spans="1:1">
      <c r="A1832" s="210"/>
    </row>
    <row r="1833" spans="1:1">
      <c r="A1833" s="210"/>
    </row>
    <row r="1834" spans="1:1">
      <c r="A1834" s="210"/>
    </row>
    <row r="1835" spans="1:1">
      <c r="A1835" s="210"/>
    </row>
    <row r="1836" spans="1:1">
      <c r="A1836" s="210"/>
    </row>
    <row r="1837" spans="1:1">
      <c r="A1837" s="210"/>
    </row>
    <row r="1838" spans="1:1">
      <c r="A1838" s="210"/>
    </row>
    <row r="1839" spans="1:1">
      <c r="A1839" s="210"/>
    </row>
    <row r="1840" spans="1:1">
      <c r="A1840" s="210"/>
    </row>
    <row r="1841" spans="1:1">
      <c r="A1841" s="210"/>
    </row>
    <row r="1842" spans="1:1">
      <c r="A1842" s="210"/>
    </row>
    <row r="1843" spans="1:1">
      <c r="A1843" s="210"/>
    </row>
    <row r="1844" spans="1:1">
      <c r="A1844" s="210"/>
    </row>
    <row r="1845" spans="1:1">
      <c r="A1845" s="210"/>
    </row>
    <row r="1846" spans="1:1">
      <c r="A1846" s="210"/>
    </row>
    <row r="1847" spans="1:1">
      <c r="A1847" s="210"/>
    </row>
    <row r="1848" spans="1:1">
      <c r="A1848" s="210"/>
    </row>
    <row r="1849" spans="1:1">
      <c r="A1849" s="210"/>
    </row>
    <row r="1850" spans="1:1">
      <c r="A1850" s="210"/>
    </row>
    <row r="1851" spans="1:1">
      <c r="A1851" s="210"/>
    </row>
    <row r="1852" spans="1:1">
      <c r="A1852" s="210"/>
    </row>
    <row r="1853" spans="1:1">
      <c r="A1853" s="210"/>
    </row>
    <row r="1854" spans="1:1">
      <c r="A1854" s="210"/>
    </row>
    <row r="1855" spans="1:1">
      <c r="A1855" s="210"/>
    </row>
    <row r="1856" spans="1:1">
      <c r="A1856" s="210"/>
    </row>
    <row r="1857" spans="1:1">
      <c r="A1857" s="210"/>
    </row>
    <row r="1858" spans="1:1">
      <c r="A1858" s="210"/>
    </row>
    <row r="1859" spans="1:1">
      <c r="A1859" s="210"/>
    </row>
    <row r="1860" spans="1:1">
      <c r="A1860" s="210"/>
    </row>
    <row r="1861" spans="1:1">
      <c r="A1861" s="210"/>
    </row>
    <row r="1862" spans="1:1">
      <c r="A1862" s="210"/>
    </row>
    <row r="1863" spans="1:1">
      <c r="A1863" s="210"/>
    </row>
    <row r="1864" spans="1:1">
      <c r="A1864" s="210"/>
    </row>
    <row r="1865" spans="1:1">
      <c r="A1865" s="210"/>
    </row>
    <row r="1866" spans="1:1">
      <c r="A1866" s="210"/>
    </row>
    <row r="1867" spans="1:1">
      <c r="A1867" s="210"/>
    </row>
    <row r="1868" spans="1:1">
      <c r="A1868" s="210"/>
    </row>
    <row r="1869" spans="1:1">
      <c r="A1869" s="210"/>
    </row>
    <row r="1870" spans="1:1">
      <c r="A1870" s="210"/>
    </row>
    <row r="1871" spans="1:1">
      <c r="A1871" s="210"/>
    </row>
    <row r="1872" spans="1:1">
      <c r="A1872" s="210"/>
    </row>
    <row r="1873" spans="1:1">
      <c r="A1873" s="210"/>
    </row>
    <row r="1874" spans="1:1">
      <c r="A1874" s="210"/>
    </row>
    <row r="1875" spans="1:1">
      <c r="A1875" s="210"/>
    </row>
    <row r="1876" spans="1:1">
      <c r="A1876" s="210"/>
    </row>
    <row r="1877" spans="1:1">
      <c r="A1877" s="210"/>
    </row>
    <row r="1878" spans="1:1">
      <c r="A1878" s="210"/>
    </row>
    <row r="1879" spans="1:1">
      <c r="A1879" s="210"/>
    </row>
    <row r="1880" spans="1:1">
      <c r="A1880" s="210"/>
    </row>
    <row r="1881" spans="1:1">
      <c r="A1881" s="210"/>
    </row>
    <row r="1882" spans="1:1">
      <c r="A1882" s="210"/>
    </row>
    <row r="1883" spans="1:1">
      <c r="A1883" s="210"/>
    </row>
    <row r="1884" spans="1:1">
      <c r="A1884" s="210"/>
    </row>
    <row r="1885" spans="1:1">
      <c r="A1885" s="210"/>
    </row>
    <row r="1886" spans="1:1">
      <c r="A1886" s="210"/>
    </row>
    <row r="1887" spans="1:1">
      <c r="A1887" s="210"/>
    </row>
    <row r="1888" spans="1:1">
      <c r="A1888" s="210"/>
    </row>
    <row r="1889" spans="1:1">
      <c r="A1889" s="210"/>
    </row>
    <row r="1890" spans="1:1">
      <c r="A1890" s="210"/>
    </row>
    <row r="1891" spans="1:1">
      <c r="A1891" s="210"/>
    </row>
    <row r="1892" spans="1:1">
      <c r="A1892" s="210"/>
    </row>
    <row r="1893" spans="1:1">
      <c r="A1893" s="210"/>
    </row>
    <row r="1894" spans="1:1">
      <c r="A1894" s="210"/>
    </row>
    <row r="1895" spans="1:1">
      <c r="A1895" s="210"/>
    </row>
    <row r="1896" spans="1:1">
      <c r="A1896" s="210"/>
    </row>
    <row r="1897" spans="1:1">
      <c r="A1897" s="210"/>
    </row>
    <row r="1898" spans="1:1">
      <c r="A1898" s="210"/>
    </row>
    <row r="1899" spans="1:1">
      <c r="A1899" s="210"/>
    </row>
    <row r="1900" spans="1:1">
      <c r="A1900" s="210"/>
    </row>
    <row r="1901" spans="1:1">
      <c r="A1901" s="210"/>
    </row>
    <row r="1902" spans="1:1">
      <c r="A1902" s="210"/>
    </row>
    <row r="1903" spans="1:1">
      <c r="A1903" s="210"/>
    </row>
    <row r="1904" spans="1:1">
      <c r="A1904" s="210"/>
    </row>
    <row r="1905" spans="1:1">
      <c r="A1905" s="210"/>
    </row>
    <row r="1906" spans="1:1">
      <c r="A1906" s="210"/>
    </row>
    <row r="1907" spans="1:1">
      <c r="A1907" s="210"/>
    </row>
    <row r="1908" spans="1:1">
      <c r="A1908" s="210"/>
    </row>
    <row r="1909" spans="1:1">
      <c r="A1909" s="210"/>
    </row>
    <row r="1910" spans="1:1">
      <c r="A1910" s="210"/>
    </row>
    <row r="1911" spans="1:1">
      <c r="A1911" s="210"/>
    </row>
    <row r="1912" spans="1:1">
      <c r="A1912" s="210"/>
    </row>
    <row r="1913" spans="1:1">
      <c r="A1913" s="210"/>
    </row>
    <row r="1914" spans="1:1">
      <c r="A1914" s="210"/>
    </row>
    <row r="1915" spans="1:1">
      <c r="A1915" s="210"/>
    </row>
    <row r="1916" spans="1:1">
      <c r="A1916" s="210"/>
    </row>
    <row r="1917" spans="1:1">
      <c r="A1917" s="210"/>
    </row>
    <row r="1918" spans="1:1">
      <c r="A1918" s="210"/>
    </row>
    <row r="1919" spans="1:1">
      <c r="A1919" s="210"/>
    </row>
    <row r="1920" spans="1:1">
      <c r="A1920" s="210"/>
    </row>
    <row r="1921" spans="1:1">
      <c r="A1921" s="210"/>
    </row>
    <row r="1922" spans="1:1">
      <c r="A1922" s="210"/>
    </row>
    <row r="1923" spans="1:1">
      <c r="A1923" s="210"/>
    </row>
    <row r="1924" spans="1:1">
      <c r="A1924" s="210"/>
    </row>
    <row r="1925" spans="1:1">
      <c r="A1925" s="210"/>
    </row>
    <row r="1926" spans="1:1">
      <c r="A1926" s="210"/>
    </row>
    <row r="1927" spans="1:1">
      <c r="A1927" s="210"/>
    </row>
    <row r="1928" spans="1:1">
      <c r="A1928" s="210"/>
    </row>
    <row r="1929" spans="1:1">
      <c r="A1929" s="210"/>
    </row>
    <row r="1930" spans="1:1">
      <c r="A1930" s="210"/>
    </row>
    <row r="1931" spans="1:1">
      <c r="A1931" s="210"/>
    </row>
    <row r="1932" spans="1:1">
      <c r="A1932" s="210"/>
    </row>
    <row r="1933" spans="1:1">
      <c r="A1933" s="210"/>
    </row>
    <row r="1934" spans="1:1">
      <c r="A1934" s="210"/>
    </row>
    <row r="1935" spans="1:1">
      <c r="A1935" s="210"/>
    </row>
    <row r="1936" spans="1:1">
      <c r="A1936" s="210"/>
    </row>
    <row r="1937" spans="1:1">
      <c r="A1937" s="210"/>
    </row>
    <row r="1938" spans="1:1">
      <c r="A1938" s="210"/>
    </row>
    <row r="1939" spans="1:1">
      <c r="A1939" s="210"/>
    </row>
    <row r="1940" spans="1:1">
      <c r="A1940" s="210"/>
    </row>
    <row r="1941" spans="1:1">
      <c r="A1941" s="210"/>
    </row>
    <row r="1942" spans="1:1">
      <c r="A1942" s="210"/>
    </row>
    <row r="1943" spans="1:1">
      <c r="A1943" s="210"/>
    </row>
    <row r="1944" spans="1:1">
      <c r="A1944" s="210"/>
    </row>
    <row r="1945" spans="1:1">
      <c r="A1945" s="210"/>
    </row>
    <row r="1946" spans="1:1">
      <c r="A1946" s="210"/>
    </row>
    <row r="1947" spans="1:1">
      <c r="A1947" s="210"/>
    </row>
    <row r="1948" spans="1:1">
      <c r="A1948" s="210"/>
    </row>
    <row r="1949" spans="1:1">
      <c r="A1949" s="210"/>
    </row>
    <row r="1950" spans="1:1">
      <c r="A1950" s="210"/>
    </row>
    <row r="1951" spans="1:1">
      <c r="A1951" s="210"/>
    </row>
    <row r="1952" spans="1:1">
      <c r="A1952" s="210"/>
    </row>
    <row r="1953" spans="1:1">
      <c r="A1953" s="210"/>
    </row>
    <row r="1954" spans="1:1">
      <c r="A1954" s="210"/>
    </row>
    <row r="1955" spans="1:1">
      <c r="A1955" s="210"/>
    </row>
    <row r="1956" spans="1:1">
      <c r="A1956" s="210"/>
    </row>
    <row r="1957" spans="1:1">
      <c r="A1957" s="210"/>
    </row>
    <row r="1958" spans="1:1">
      <c r="A1958" s="210"/>
    </row>
    <row r="1959" spans="1:1">
      <c r="A1959" s="210"/>
    </row>
    <row r="1960" spans="1:1">
      <c r="A1960" s="210"/>
    </row>
    <row r="1961" spans="1:1">
      <c r="A1961" s="210"/>
    </row>
    <row r="1962" spans="1:1">
      <c r="A1962" s="210"/>
    </row>
    <row r="1963" spans="1:1">
      <c r="A1963" s="210"/>
    </row>
    <row r="1964" spans="1:1">
      <c r="A1964" s="210"/>
    </row>
    <row r="1965" spans="1:1">
      <c r="A1965" s="210"/>
    </row>
    <row r="1966" spans="1:1">
      <c r="A1966" s="210"/>
    </row>
    <row r="1967" spans="1:1">
      <c r="A1967" s="210"/>
    </row>
    <row r="1968" spans="1:1">
      <c r="A1968" s="210"/>
    </row>
    <row r="1969" spans="1:1">
      <c r="A1969" s="210"/>
    </row>
    <row r="1970" spans="1:1">
      <c r="A1970" s="210"/>
    </row>
    <row r="1971" spans="1:1">
      <c r="A1971" s="210"/>
    </row>
    <row r="1972" spans="1:1">
      <c r="A1972" s="210"/>
    </row>
    <row r="1973" spans="1:1">
      <c r="A1973" s="210"/>
    </row>
    <row r="1974" spans="1:1">
      <c r="A1974" s="210"/>
    </row>
    <row r="1975" spans="1:1">
      <c r="A1975" s="210"/>
    </row>
    <row r="1976" spans="1:1">
      <c r="A1976" s="210"/>
    </row>
    <row r="1977" spans="1:1">
      <c r="A1977" s="210"/>
    </row>
    <row r="1978" spans="1:1">
      <c r="A1978" s="210"/>
    </row>
    <row r="1979" spans="1:1">
      <c r="A1979" s="210"/>
    </row>
    <row r="1980" spans="1:1">
      <c r="A1980" s="210"/>
    </row>
    <row r="1981" spans="1:1">
      <c r="A1981" s="210"/>
    </row>
    <row r="1982" spans="1:1">
      <c r="A1982" s="210"/>
    </row>
    <row r="1983" spans="1:1">
      <c r="A1983" s="210"/>
    </row>
    <row r="1984" spans="1:1">
      <c r="A1984" s="210"/>
    </row>
    <row r="1985" spans="1:1">
      <c r="A1985" s="210"/>
    </row>
    <row r="1986" spans="1:1">
      <c r="A1986" s="210"/>
    </row>
    <row r="1987" spans="1:1">
      <c r="A1987" s="210"/>
    </row>
    <row r="1988" spans="1:1">
      <c r="A1988" s="210"/>
    </row>
    <row r="1989" spans="1:1">
      <c r="A1989" s="210"/>
    </row>
    <row r="1990" spans="1:1">
      <c r="A1990" s="210"/>
    </row>
    <row r="1991" spans="1:1">
      <c r="A1991" s="210"/>
    </row>
    <row r="1992" spans="1:1">
      <c r="A1992" s="210"/>
    </row>
    <row r="1993" spans="1:1">
      <c r="A1993" s="210"/>
    </row>
    <row r="1994" spans="1:1">
      <c r="A1994" s="210"/>
    </row>
    <row r="1995" spans="1:1">
      <c r="A1995" s="210"/>
    </row>
    <row r="1996" spans="1:1">
      <c r="A1996" s="210"/>
    </row>
    <row r="1997" spans="1:1">
      <c r="A1997" s="210"/>
    </row>
    <row r="1998" spans="1:1">
      <c r="A1998" s="210"/>
    </row>
    <row r="1999" spans="1:1">
      <c r="A1999" s="210"/>
    </row>
    <row r="2000" spans="1:1">
      <c r="A2000" s="210"/>
    </row>
    <row r="2001" spans="1:1">
      <c r="A2001" s="210"/>
    </row>
    <row r="2002" spans="1:1">
      <c r="A2002" s="210"/>
    </row>
    <row r="2003" spans="1:1">
      <c r="A2003" s="210"/>
    </row>
    <row r="2004" spans="1:1">
      <c r="A2004" s="210"/>
    </row>
    <row r="2005" spans="1:1">
      <c r="A2005" s="210"/>
    </row>
    <row r="2006" spans="1:1">
      <c r="A2006" s="210"/>
    </row>
    <row r="2007" spans="1:1">
      <c r="A2007" s="210"/>
    </row>
    <row r="2008" spans="1:1">
      <c r="A2008" s="210"/>
    </row>
    <row r="2009" spans="1:1">
      <c r="A2009" s="210"/>
    </row>
    <row r="2010" spans="1:1">
      <c r="A2010" s="210"/>
    </row>
    <row r="2011" spans="1:1">
      <c r="A2011" s="210"/>
    </row>
    <row r="2012" spans="1:1">
      <c r="A2012" s="210"/>
    </row>
    <row r="2013" spans="1:1">
      <c r="A2013" s="210"/>
    </row>
    <row r="2014" spans="1:1">
      <c r="A2014" s="210"/>
    </row>
    <row r="2015" spans="1:1">
      <c r="A2015" s="210"/>
    </row>
    <row r="2016" spans="1:1">
      <c r="A2016" s="210"/>
    </row>
    <row r="2017" spans="1:1">
      <c r="A2017" s="210"/>
    </row>
    <row r="2018" spans="1:1">
      <c r="A2018" s="210"/>
    </row>
    <row r="2019" spans="1:1">
      <c r="A2019" s="210"/>
    </row>
    <row r="2020" spans="1:1">
      <c r="A2020" s="210"/>
    </row>
    <row r="2021" spans="1:1">
      <c r="A2021" s="210"/>
    </row>
    <row r="2022" spans="1:1">
      <c r="A2022" s="210"/>
    </row>
    <row r="2023" spans="1:1">
      <c r="A2023" s="210"/>
    </row>
    <row r="2024" spans="1:1">
      <c r="A2024" s="210"/>
    </row>
    <row r="2025" spans="1:1">
      <c r="A2025" s="210"/>
    </row>
    <row r="2026" spans="1:1">
      <c r="A2026" s="210"/>
    </row>
    <row r="2027" spans="1:1">
      <c r="A2027" s="210"/>
    </row>
    <row r="2028" spans="1:1">
      <c r="A2028" s="210"/>
    </row>
    <row r="2029" spans="1:1">
      <c r="A2029" s="210"/>
    </row>
    <row r="2030" spans="1:1">
      <c r="A2030" s="210"/>
    </row>
    <row r="2031" spans="1:1">
      <c r="A2031" s="210"/>
    </row>
    <row r="2032" spans="1:1">
      <c r="A2032" s="210"/>
    </row>
    <row r="2033" spans="1:1">
      <c r="A2033" s="210"/>
    </row>
    <row r="2034" spans="1:1">
      <c r="A2034" s="210"/>
    </row>
    <row r="2035" spans="1:1">
      <c r="A2035" s="210"/>
    </row>
    <row r="2036" spans="1:1">
      <c r="A2036" s="210"/>
    </row>
    <row r="2037" spans="1:1">
      <c r="A2037" s="210"/>
    </row>
    <row r="2038" spans="1:1">
      <c r="A2038" s="210"/>
    </row>
    <row r="2039" spans="1:1">
      <c r="A2039" s="210"/>
    </row>
    <row r="2040" spans="1:1">
      <c r="A2040" s="210"/>
    </row>
    <row r="2041" spans="1:1">
      <c r="A2041" s="210"/>
    </row>
    <row r="2042" spans="1:1">
      <c r="A2042" s="210"/>
    </row>
    <row r="2043" spans="1:1">
      <c r="A2043" s="210"/>
    </row>
    <row r="2044" spans="1:1">
      <c r="A2044" s="210"/>
    </row>
    <row r="2045" spans="1:1">
      <c r="A2045" s="210"/>
    </row>
    <row r="2046" spans="1:1">
      <c r="A2046" s="210"/>
    </row>
    <row r="2047" spans="1:1">
      <c r="A2047" s="210"/>
    </row>
    <row r="2048" spans="1:1">
      <c r="A2048" s="210"/>
    </row>
    <row r="2049" spans="1:1">
      <c r="A2049" s="210"/>
    </row>
    <row r="2050" spans="1:1">
      <c r="A2050" s="210"/>
    </row>
    <row r="2051" spans="1:1">
      <c r="A2051" s="210"/>
    </row>
    <row r="2052" spans="1:1">
      <c r="A2052" s="210"/>
    </row>
    <row r="2053" spans="1:1">
      <c r="A2053" s="210"/>
    </row>
    <row r="2054" spans="1:1">
      <c r="A2054" s="210"/>
    </row>
    <row r="2055" spans="1:1">
      <c r="A2055" s="210"/>
    </row>
    <row r="2056" spans="1:1">
      <c r="A2056" s="210"/>
    </row>
    <row r="2057" spans="1:1">
      <c r="A2057" s="210"/>
    </row>
    <row r="2058" spans="1:1">
      <c r="A2058" s="210"/>
    </row>
    <row r="2059" spans="1:1">
      <c r="A2059" s="210"/>
    </row>
    <row r="2060" spans="1:1">
      <c r="A2060" s="210"/>
    </row>
    <row r="2061" spans="1:1">
      <c r="A2061" s="210"/>
    </row>
    <row r="2062" spans="1:1">
      <c r="A2062" s="210"/>
    </row>
    <row r="2063" spans="1:1">
      <c r="A2063" s="210"/>
    </row>
    <row r="2064" spans="1:1">
      <c r="A2064" s="210"/>
    </row>
    <row r="2065" spans="1:1">
      <c r="A2065" s="210"/>
    </row>
    <row r="2066" spans="1:1">
      <c r="A2066" s="210"/>
    </row>
    <row r="2067" spans="1:1">
      <c r="A2067" s="210"/>
    </row>
    <row r="2068" spans="1:1">
      <c r="A2068" s="210"/>
    </row>
    <row r="2069" spans="1:1">
      <c r="A2069" s="210"/>
    </row>
    <row r="2070" spans="1:1">
      <c r="A2070" s="210"/>
    </row>
    <row r="2071" spans="1:1">
      <c r="A2071" s="210"/>
    </row>
    <row r="2072" spans="1:1">
      <c r="A2072" s="210"/>
    </row>
    <row r="2073" spans="1:1">
      <c r="A2073" s="210"/>
    </row>
    <row r="2074" spans="1:1">
      <c r="A2074" s="210"/>
    </row>
    <row r="2075" spans="1:1">
      <c r="A2075" s="210"/>
    </row>
    <row r="2076" spans="1:1">
      <c r="A2076" s="210"/>
    </row>
    <row r="2077" spans="1:1">
      <c r="A2077" s="210"/>
    </row>
    <row r="2078" spans="1:1">
      <c r="A2078" s="210"/>
    </row>
    <row r="2079" spans="1:1">
      <c r="A2079" s="210"/>
    </row>
    <row r="2080" spans="1:1">
      <c r="A2080" s="210"/>
    </row>
    <row r="2081" spans="1:1">
      <c r="A2081" s="210"/>
    </row>
    <row r="2082" spans="1:1">
      <c r="A2082" s="210"/>
    </row>
    <row r="2083" spans="1:1">
      <c r="A2083" s="210"/>
    </row>
    <row r="2084" spans="1:1">
      <c r="A2084" s="210"/>
    </row>
    <row r="2085" spans="1:1">
      <c r="A2085" s="210"/>
    </row>
    <row r="2086" spans="1:1">
      <c r="A2086" s="210"/>
    </row>
    <row r="2087" spans="1:1">
      <c r="A2087" s="210"/>
    </row>
    <row r="2088" spans="1:1">
      <c r="A2088" s="210"/>
    </row>
    <row r="2089" spans="1:1">
      <c r="A2089" s="210"/>
    </row>
    <row r="2090" spans="1:1">
      <c r="A2090" s="210"/>
    </row>
    <row r="2091" spans="1:1">
      <c r="A2091" s="210"/>
    </row>
    <row r="2092" spans="1:1">
      <c r="A2092" s="210"/>
    </row>
    <row r="2093" spans="1:1">
      <c r="A2093" s="210"/>
    </row>
    <row r="2094" spans="1:1">
      <c r="A2094" s="210"/>
    </row>
    <row r="2095" spans="1:1">
      <c r="A2095" s="210"/>
    </row>
    <row r="2096" spans="1:1">
      <c r="A2096" s="210"/>
    </row>
    <row r="2097" spans="1:1">
      <c r="A2097" s="210"/>
    </row>
    <row r="2098" spans="1:1">
      <c r="A2098" s="210"/>
    </row>
    <row r="2099" spans="1:1">
      <c r="A2099" s="210"/>
    </row>
    <row r="2100" spans="1:1">
      <c r="A2100" s="210"/>
    </row>
    <row r="2101" spans="1:1">
      <c r="A2101" s="210"/>
    </row>
    <row r="2102" spans="1:1">
      <c r="A2102" s="210"/>
    </row>
    <row r="2103" spans="1:1">
      <c r="A2103" s="210"/>
    </row>
    <row r="2104" spans="1:1">
      <c r="A2104" s="210"/>
    </row>
    <row r="2105" spans="1:1">
      <c r="A2105" s="210"/>
    </row>
    <row r="2106" spans="1:1">
      <c r="A2106" s="210"/>
    </row>
    <row r="2107" spans="1:1">
      <c r="A2107" s="210"/>
    </row>
    <row r="2108" spans="1:1">
      <c r="A2108" s="210"/>
    </row>
    <row r="2109" spans="1:1">
      <c r="A2109" s="210"/>
    </row>
    <row r="2110" spans="1:1">
      <c r="A2110" s="210"/>
    </row>
    <row r="2111" spans="1:1">
      <c r="A2111" s="210"/>
    </row>
    <row r="2112" spans="1:1">
      <c r="A2112" s="210"/>
    </row>
    <row r="2113" spans="1:1">
      <c r="A2113" s="210"/>
    </row>
    <row r="2114" spans="1:1">
      <c r="A2114" s="210"/>
    </row>
    <row r="2115" spans="1:1">
      <c r="A2115" s="210"/>
    </row>
    <row r="2116" spans="1:1">
      <c r="A2116" s="210"/>
    </row>
    <row r="2117" spans="1:1">
      <c r="A2117" s="210"/>
    </row>
    <row r="2118" spans="1:1">
      <c r="A2118" s="210"/>
    </row>
    <row r="2119" spans="1:1">
      <c r="A2119" s="210"/>
    </row>
    <row r="2120" spans="1:1">
      <c r="A2120" s="210"/>
    </row>
    <row r="2121" spans="1:1">
      <c r="A2121" s="210"/>
    </row>
    <row r="2122" spans="1:1">
      <c r="A2122" s="210"/>
    </row>
    <row r="2123" spans="1:1">
      <c r="A2123" s="210"/>
    </row>
    <row r="2124" spans="1:1">
      <c r="A2124" s="210"/>
    </row>
    <row r="2125" spans="1:1">
      <c r="A2125" s="210"/>
    </row>
    <row r="2126" spans="1:1">
      <c r="A2126" s="210"/>
    </row>
    <row r="2127" spans="1:1">
      <c r="A2127" s="210"/>
    </row>
    <row r="2128" spans="1:1">
      <c r="A2128" s="210"/>
    </row>
    <row r="2129" spans="1:1">
      <c r="A2129" s="210"/>
    </row>
    <row r="2130" spans="1:1">
      <c r="A2130" s="210"/>
    </row>
    <row r="2131" spans="1:1">
      <c r="A2131" s="210"/>
    </row>
    <row r="2132" spans="1:1">
      <c r="A2132" s="210"/>
    </row>
    <row r="2133" spans="1:1">
      <c r="A2133" s="210"/>
    </row>
    <row r="2134" spans="1:1">
      <c r="A2134" s="210"/>
    </row>
    <row r="2135" spans="1:1">
      <c r="A2135" s="210"/>
    </row>
    <row r="2136" spans="1:1">
      <c r="A2136" s="210"/>
    </row>
    <row r="2137" spans="1:1">
      <c r="A2137" s="210"/>
    </row>
    <row r="2138" spans="1:1">
      <c r="A2138" s="210"/>
    </row>
    <row r="2139" spans="1:1">
      <c r="A2139" s="210"/>
    </row>
    <row r="2140" spans="1:1">
      <c r="A2140" s="210"/>
    </row>
    <row r="2141" spans="1:1">
      <c r="A2141" s="210"/>
    </row>
    <row r="2142" spans="1:1">
      <c r="A2142" s="210"/>
    </row>
    <row r="2143" spans="1:1">
      <c r="A2143" s="210"/>
    </row>
    <row r="2144" spans="1:1">
      <c r="A2144" s="210"/>
    </row>
    <row r="2145" spans="1:1">
      <c r="A2145" s="210"/>
    </row>
    <row r="2146" spans="1:1">
      <c r="A2146" s="210"/>
    </row>
    <row r="2147" spans="1:1">
      <c r="A2147" s="210"/>
    </row>
    <row r="2148" spans="1:1">
      <c r="A2148" s="210"/>
    </row>
    <row r="2149" spans="1:1">
      <c r="A2149" s="210"/>
    </row>
    <row r="2150" spans="1:1">
      <c r="A2150" s="210"/>
    </row>
    <row r="2151" spans="1:1">
      <c r="A2151" s="210"/>
    </row>
    <row r="2152" spans="1:1">
      <c r="A2152" s="210"/>
    </row>
    <row r="2153" spans="1:1">
      <c r="A2153" s="210"/>
    </row>
    <row r="2154" spans="1:1">
      <c r="A2154" s="210"/>
    </row>
    <row r="2155" spans="1:1">
      <c r="A2155" s="210"/>
    </row>
    <row r="2156" spans="1:1">
      <c r="A2156" s="210"/>
    </row>
    <row r="2157" spans="1:1">
      <c r="A2157" s="210"/>
    </row>
    <row r="2158" spans="1:1">
      <c r="A2158" s="210"/>
    </row>
    <row r="2159" spans="1:1">
      <c r="A2159" s="210"/>
    </row>
    <row r="2160" spans="1:1">
      <c r="A2160" s="210"/>
    </row>
    <row r="2161" spans="1:1">
      <c r="A2161" s="210"/>
    </row>
    <row r="2162" spans="1:1">
      <c r="A2162" s="210"/>
    </row>
    <row r="2163" spans="1:1">
      <c r="A2163" s="210"/>
    </row>
    <row r="2164" spans="1:1">
      <c r="A2164" s="210"/>
    </row>
    <row r="2165" spans="1:1">
      <c r="A2165" s="210"/>
    </row>
    <row r="2166" spans="1:1">
      <c r="A2166" s="210"/>
    </row>
    <row r="2167" spans="1:1">
      <c r="A2167" s="210"/>
    </row>
    <row r="2168" spans="1:1">
      <c r="A2168" s="210"/>
    </row>
    <row r="2169" spans="1:1">
      <c r="A2169" s="210"/>
    </row>
    <row r="2170" spans="1:1">
      <c r="A2170" s="210"/>
    </row>
    <row r="2171" spans="1:1">
      <c r="A2171" s="210"/>
    </row>
    <row r="2172" spans="1:1">
      <c r="A2172" s="210"/>
    </row>
    <row r="2173" spans="1:1">
      <c r="A2173" s="210"/>
    </row>
    <row r="2174" spans="1:1">
      <c r="A2174" s="210"/>
    </row>
    <row r="2175" spans="1:1">
      <c r="A2175" s="210"/>
    </row>
    <row r="2176" spans="1:1">
      <c r="A2176" s="210"/>
    </row>
    <row r="2177" spans="1:1">
      <c r="A2177" s="210"/>
    </row>
    <row r="2178" spans="1:1">
      <c r="A2178" s="210"/>
    </row>
    <row r="2179" spans="1:1">
      <c r="A2179" s="210"/>
    </row>
    <row r="2180" spans="1:1">
      <c r="A2180" s="210"/>
    </row>
    <row r="2181" spans="1:1">
      <c r="A2181" s="210"/>
    </row>
    <row r="2182" spans="1:1">
      <c r="A2182" s="210"/>
    </row>
    <row r="2183" spans="1:1">
      <c r="A2183" s="210"/>
    </row>
    <row r="2184" spans="1:1">
      <c r="A2184" s="210"/>
    </row>
    <row r="2185" spans="1:1">
      <c r="A2185" s="210"/>
    </row>
    <row r="2186" spans="1:1">
      <c r="A2186" s="210"/>
    </row>
    <row r="2187" spans="1:1">
      <c r="A2187" s="210"/>
    </row>
    <row r="2188" spans="1:1">
      <c r="A2188" s="210"/>
    </row>
    <row r="2189" spans="1:1">
      <c r="A2189" s="210"/>
    </row>
    <row r="2190" spans="1:1">
      <c r="A2190" s="210"/>
    </row>
    <row r="2191" spans="1:1">
      <c r="A2191" s="210"/>
    </row>
    <row r="2192" spans="1:1">
      <c r="A2192" s="210"/>
    </row>
    <row r="2193" spans="1:1">
      <c r="A2193" s="210"/>
    </row>
    <row r="2194" spans="1:1">
      <c r="A2194" s="210"/>
    </row>
    <row r="2195" spans="1:1">
      <c r="A2195" s="210"/>
    </row>
    <row r="2196" spans="1:1">
      <c r="A2196" s="210"/>
    </row>
    <row r="2197" spans="1:1">
      <c r="A2197" s="210"/>
    </row>
    <row r="2198" spans="1:1">
      <c r="A2198" s="210"/>
    </row>
    <row r="2199" spans="1:1">
      <c r="A2199" s="210"/>
    </row>
    <row r="2200" spans="1:1">
      <c r="A2200" s="210"/>
    </row>
    <row r="2201" spans="1:1">
      <c r="A2201" s="210"/>
    </row>
    <row r="2202" spans="1:1">
      <c r="A2202" s="210"/>
    </row>
    <row r="2203" spans="1:1">
      <c r="A2203" s="210"/>
    </row>
    <row r="2204" spans="1:1">
      <c r="A2204" s="210"/>
    </row>
    <row r="2205" spans="1:1">
      <c r="A2205" s="210"/>
    </row>
    <row r="2206" spans="1:1">
      <c r="A2206" s="210"/>
    </row>
    <row r="2207" spans="1:1">
      <c r="A2207" s="210"/>
    </row>
    <row r="2208" spans="1:1">
      <c r="A2208" s="210"/>
    </row>
    <row r="2209" spans="1:1">
      <c r="A2209" s="210"/>
    </row>
    <row r="2210" spans="1:1">
      <c r="A2210" s="210"/>
    </row>
    <row r="2211" spans="1:1">
      <c r="A2211" s="210"/>
    </row>
    <row r="2212" spans="1:1">
      <c r="A2212" s="210"/>
    </row>
    <row r="2213" spans="1:1">
      <c r="A2213" s="210"/>
    </row>
    <row r="2214" spans="1:1">
      <c r="A2214" s="210"/>
    </row>
    <row r="2215" spans="1:1">
      <c r="A2215" s="210"/>
    </row>
    <row r="2216" spans="1:1">
      <c r="A2216" s="210"/>
    </row>
    <row r="2217" spans="1:1">
      <c r="A2217" s="210"/>
    </row>
    <row r="2218" spans="1:1">
      <c r="A2218" s="210"/>
    </row>
    <row r="2219" spans="1:1">
      <c r="A2219" s="210"/>
    </row>
    <row r="2220" spans="1:1">
      <c r="A2220" s="210"/>
    </row>
    <row r="2221" spans="1:1">
      <c r="A2221" s="210"/>
    </row>
    <row r="2222" spans="1:1">
      <c r="A2222" s="210"/>
    </row>
    <row r="2223" spans="1:1">
      <c r="A2223" s="210"/>
    </row>
    <row r="2224" spans="1:1">
      <c r="A2224" s="210"/>
    </row>
    <row r="2225" spans="1:1">
      <c r="A2225" s="210"/>
    </row>
    <row r="2226" spans="1:1">
      <c r="A2226" s="210"/>
    </row>
    <row r="2227" spans="1:1">
      <c r="A2227" s="210"/>
    </row>
    <row r="2228" spans="1:1">
      <c r="A2228" s="210"/>
    </row>
    <row r="2229" spans="1:1">
      <c r="A2229" s="210"/>
    </row>
    <row r="2230" spans="1:1">
      <c r="A2230" s="210"/>
    </row>
    <row r="2231" spans="1:1">
      <c r="A2231" s="210"/>
    </row>
    <row r="2232" spans="1:1">
      <c r="A2232" s="210"/>
    </row>
    <row r="2233" spans="1:1">
      <c r="A2233" s="210"/>
    </row>
    <row r="2234" spans="1:1">
      <c r="A2234" s="210"/>
    </row>
    <row r="2235" spans="1:1">
      <c r="A2235" s="210"/>
    </row>
    <row r="2236" spans="1:1">
      <c r="A2236" s="210"/>
    </row>
    <row r="2237" spans="1:1">
      <c r="A2237" s="210"/>
    </row>
    <row r="2238" spans="1:1">
      <c r="A2238" s="210"/>
    </row>
    <row r="2239" spans="1:1">
      <c r="A2239" s="210"/>
    </row>
    <row r="2240" spans="1:1">
      <c r="A2240" s="210"/>
    </row>
    <row r="2241" spans="1:1">
      <c r="A2241" s="210"/>
    </row>
    <row r="2242" spans="1:1">
      <c r="A2242" s="210"/>
    </row>
    <row r="2243" spans="1:1">
      <c r="A2243" s="210"/>
    </row>
    <row r="2244" spans="1:1">
      <c r="A2244" s="210"/>
    </row>
    <row r="2245" spans="1:1">
      <c r="A2245" s="210"/>
    </row>
    <row r="2246" spans="1:1">
      <c r="A2246" s="210"/>
    </row>
    <row r="2247" spans="1:1">
      <c r="A2247" s="210"/>
    </row>
    <row r="2248" spans="1:1">
      <c r="A2248" s="210"/>
    </row>
    <row r="2249" spans="1:1">
      <c r="A2249" s="210"/>
    </row>
    <row r="2250" spans="1:1">
      <c r="A2250" s="210"/>
    </row>
    <row r="2251" spans="1:1">
      <c r="A2251" s="210"/>
    </row>
    <row r="2252" spans="1:1">
      <c r="A2252" s="210"/>
    </row>
    <row r="2253" spans="1:1">
      <c r="A2253" s="210"/>
    </row>
    <row r="2254" spans="1:1">
      <c r="A2254" s="210"/>
    </row>
    <row r="2255" spans="1:1">
      <c r="A2255" s="210"/>
    </row>
    <row r="2256" spans="1:1">
      <c r="A2256" s="210"/>
    </row>
    <row r="2257" spans="1:1">
      <c r="A2257" s="210"/>
    </row>
    <row r="2258" spans="1:1">
      <c r="A2258" s="210"/>
    </row>
    <row r="2259" spans="1:1">
      <c r="A2259" s="210"/>
    </row>
    <row r="2260" spans="1:1">
      <c r="A2260" s="210"/>
    </row>
    <row r="2261" spans="1:1">
      <c r="A2261" s="210"/>
    </row>
    <row r="2262" spans="1:1">
      <c r="A2262" s="210"/>
    </row>
    <row r="2263" spans="1:1">
      <c r="A2263" s="210"/>
    </row>
    <row r="2264" spans="1:1">
      <c r="A2264" s="210"/>
    </row>
    <row r="2265" spans="1:1">
      <c r="A2265" s="210"/>
    </row>
    <row r="2266" spans="1:1">
      <c r="A2266" s="210"/>
    </row>
    <row r="2267" spans="1:1">
      <c r="A2267" s="210"/>
    </row>
    <row r="2268" spans="1:1">
      <c r="A2268" s="210"/>
    </row>
    <row r="2269" spans="1:1">
      <c r="A2269" s="210"/>
    </row>
    <row r="2270" spans="1:1">
      <c r="A2270" s="210"/>
    </row>
    <row r="2271" spans="1:1">
      <c r="A2271" s="210"/>
    </row>
    <row r="2272" spans="1:1">
      <c r="A2272" s="210"/>
    </row>
    <row r="2273" spans="1:1">
      <c r="A2273" s="210"/>
    </row>
    <row r="2274" spans="1:1">
      <c r="A2274" s="210"/>
    </row>
    <row r="2275" spans="1:1">
      <c r="A2275" s="210"/>
    </row>
    <row r="2276" spans="1:1">
      <c r="A2276" s="210"/>
    </row>
    <row r="2277" spans="1:1">
      <c r="A2277" s="210"/>
    </row>
    <row r="2278" spans="1:1">
      <c r="A2278" s="210"/>
    </row>
    <row r="2279" spans="1:1">
      <c r="A2279" s="210"/>
    </row>
    <row r="2280" spans="1:1">
      <c r="A2280" s="210"/>
    </row>
    <row r="2281" spans="1:1">
      <c r="A2281" s="210"/>
    </row>
    <row r="2282" spans="1:1">
      <c r="A2282" s="210"/>
    </row>
    <row r="2283" spans="1:1">
      <c r="A2283" s="210"/>
    </row>
    <row r="2284" spans="1:1">
      <c r="A2284" s="210"/>
    </row>
    <row r="2285" spans="1:1">
      <c r="A2285" s="210"/>
    </row>
    <row r="2286" spans="1:1">
      <c r="A2286" s="210"/>
    </row>
    <row r="2287" spans="1:1">
      <c r="A2287" s="210"/>
    </row>
    <row r="2288" spans="1:1">
      <c r="A2288" s="210"/>
    </row>
    <row r="2289" spans="1:1">
      <c r="A2289" s="210"/>
    </row>
    <row r="2290" spans="1:1">
      <c r="A2290" s="210"/>
    </row>
    <row r="2291" spans="1:1">
      <c r="A2291" s="210"/>
    </row>
    <row r="2292" spans="1:1">
      <c r="A2292" s="210"/>
    </row>
    <row r="2293" spans="1:1">
      <c r="A2293" s="210"/>
    </row>
    <row r="2294" spans="1:1">
      <c r="A2294" s="210"/>
    </row>
    <row r="2295" spans="1:1">
      <c r="A2295" s="210"/>
    </row>
    <row r="2296" spans="1:1">
      <c r="A2296" s="210"/>
    </row>
    <row r="2297" spans="1:1">
      <c r="A2297" s="210"/>
    </row>
    <row r="2298" spans="1:1">
      <c r="A2298" s="210"/>
    </row>
    <row r="2299" spans="1:1">
      <c r="A2299" s="210"/>
    </row>
    <row r="2300" spans="1:1">
      <c r="A2300" s="210"/>
    </row>
    <row r="2301" spans="1:1">
      <c r="A2301" s="210"/>
    </row>
    <row r="2302" spans="1:1">
      <c r="A2302" s="210"/>
    </row>
    <row r="2303" spans="1:1">
      <c r="A2303" s="210"/>
    </row>
    <row r="2304" spans="1:1">
      <c r="A2304" s="210"/>
    </row>
    <row r="2305" spans="1:1">
      <c r="A2305" s="210"/>
    </row>
    <row r="2306" spans="1:1">
      <c r="A2306" s="210"/>
    </row>
    <row r="2307" spans="1:1">
      <c r="A2307" s="210"/>
    </row>
    <row r="2308" spans="1:1">
      <c r="A2308" s="210"/>
    </row>
    <row r="2309" spans="1:1">
      <c r="A2309" s="210"/>
    </row>
    <row r="2310" spans="1:1">
      <c r="A2310" s="210"/>
    </row>
    <row r="2311" spans="1:1">
      <c r="A2311" s="210"/>
    </row>
    <row r="2312" spans="1:1">
      <c r="A2312" s="210"/>
    </row>
    <row r="2313" spans="1:1">
      <c r="A2313" s="210"/>
    </row>
    <row r="2314" spans="1:1">
      <c r="A2314" s="210"/>
    </row>
    <row r="2315" spans="1:1">
      <c r="A2315" s="210"/>
    </row>
    <row r="2316" spans="1:1">
      <c r="A2316" s="210"/>
    </row>
    <row r="2317" spans="1:1">
      <c r="A2317" s="210"/>
    </row>
    <row r="2318" spans="1:1">
      <c r="A2318" s="210"/>
    </row>
    <row r="2319" spans="1:1">
      <c r="A2319" s="210"/>
    </row>
    <row r="2320" spans="1:1">
      <c r="A2320" s="210"/>
    </row>
    <row r="2321" spans="1:1">
      <c r="A2321" s="210"/>
    </row>
    <row r="2322" spans="1:1">
      <c r="A2322" s="210"/>
    </row>
    <row r="2323" spans="1:1">
      <c r="A2323" s="210"/>
    </row>
    <row r="2324" spans="1:1">
      <c r="A2324" s="210"/>
    </row>
    <row r="2325" spans="1:1">
      <c r="A2325" s="210"/>
    </row>
    <row r="2326" spans="1:1">
      <c r="A2326" s="210"/>
    </row>
    <row r="2327" spans="1:1">
      <c r="A2327" s="210"/>
    </row>
    <row r="2328" spans="1:1">
      <c r="A2328" s="210"/>
    </row>
    <row r="2329" spans="1:1">
      <c r="A2329" s="210"/>
    </row>
    <row r="2330" spans="1:1">
      <c r="A2330" s="210"/>
    </row>
    <row r="2331" spans="1:1">
      <c r="A2331" s="210"/>
    </row>
    <row r="2332" spans="1:1">
      <c r="A2332" s="210"/>
    </row>
    <row r="2333" spans="1:1">
      <c r="A2333" s="210"/>
    </row>
    <row r="2334" spans="1:1">
      <c r="A2334" s="210"/>
    </row>
    <row r="2335" spans="1:1">
      <c r="A2335" s="210"/>
    </row>
    <row r="2336" spans="1:1">
      <c r="A2336" s="210"/>
    </row>
    <row r="2337" spans="1:1">
      <c r="A2337" s="210"/>
    </row>
    <row r="2338" spans="1:1">
      <c r="A2338" s="210"/>
    </row>
    <row r="2339" spans="1:1">
      <c r="A2339" s="210"/>
    </row>
    <row r="2340" spans="1:1">
      <c r="A2340" s="210"/>
    </row>
    <row r="2341" spans="1:1">
      <c r="A2341" s="210"/>
    </row>
    <row r="2342" spans="1:1">
      <c r="A2342" s="210"/>
    </row>
    <row r="2343" spans="1:1">
      <c r="A2343" s="210"/>
    </row>
    <row r="2344" spans="1:1">
      <c r="A2344" s="210"/>
    </row>
    <row r="2345" spans="1:1">
      <c r="A2345" s="210"/>
    </row>
    <row r="2346" spans="1:1">
      <c r="A2346" s="210"/>
    </row>
    <row r="2347" spans="1:1">
      <c r="A2347" s="210"/>
    </row>
    <row r="2348" spans="1:1">
      <c r="A2348" s="210"/>
    </row>
    <row r="2349" spans="1:1">
      <c r="A2349" s="210"/>
    </row>
    <row r="2350" spans="1:1">
      <c r="A2350" s="210"/>
    </row>
    <row r="2351" spans="1:1">
      <c r="A2351" s="210"/>
    </row>
    <row r="2352" spans="1:1">
      <c r="A2352" s="210"/>
    </row>
    <row r="2353" spans="1:1">
      <c r="A2353" s="210"/>
    </row>
    <row r="2354" spans="1:1">
      <c r="A2354" s="210"/>
    </row>
    <row r="2355" spans="1:1">
      <c r="A2355" s="210"/>
    </row>
    <row r="2356" spans="1:1">
      <c r="A2356" s="210"/>
    </row>
    <row r="2357" spans="1:1">
      <c r="A2357" s="210"/>
    </row>
    <row r="2358" spans="1:1">
      <c r="A2358" s="210"/>
    </row>
    <row r="2359" spans="1:1">
      <c r="A2359" s="210"/>
    </row>
    <row r="2360" spans="1:1">
      <c r="A2360" s="210"/>
    </row>
    <row r="2361" spans="1:1">
      <c r="A2361" s="210"/>
    </row>
    <row r="2362" spans="1:1">
      <c r="A2362" s="210"/>
    </row>
    <row r="2363" spans="1:1">
      <c r="A2363" s="210"/>
    </row>
    <row r="2364" spans="1:1">
      <c r="A2364" s="210"/>
    </row>
    <row r="2365" spans="1:1">
      <c r="A2365" s="210"/>
    </row>
    <row r="2366" spans="1:1">
      <c r="A2366" s="210"/>
    </row>
    <row r="2367" spans="1:1">
      <c r="A2367" s="210"/>
    </row>
    <row r="2368" spans="1:1">
      <c r="A2368" s="210"/>
    </row>
    <row r="2369" spans="1:1">
      <c r="A2369" s="210"/>
    </row>
    <row r="2370" spans="1:1">
      <c r="A2370" s="210"/>
    </row>
    <row r="2371" spans="1:1">
      <c r="A2371" s="210"/>
    </row>
    <row r="2372" spans="1:1">
      <c r="A2372" s="210"/>
    </row>
    <row r="2373" spans="1:1">
      <c r="A2373" s="210"/>
    </row>
    <row r="2374" spans="1:1">
      <c r="A2374" s="210"/>
    </row>
    <row r="2375" spans="1:1">
      <c r="A2375" s="210"/>
    </row>
    <row r="2376" spans="1:1">
      <c r="A2376" s="210"/>
    </row>
    <row r="2377" spans="1:1">
      <c r="A2377" s="210"/>
    </row>
    <row r="2378" spans="1:1">
      <c r="A2378" s="210"/>
    </row>
    <row r="2379" spans="1:1">
      <c r="A2379" s="210"/>
    </row>
    <row r="2380" spans="1:1">
      <c r="A2380" s="210"/>
    </row>
    <row r="2381" spans="1:1">
      <c r="A2381" s="210"/>
    </row>
    <row r="2382" spans="1:1">
      <c r="A2382" s="210"/>
    </row>
    <row r="2383" spans="1:1">
      <c r="A2383" s="210"/>
    </row>
    <row r="2384" spans="1:1">
      <c r="A2384" s="210"/>
    </row>
    <row r="2385" spans="1:1">
      <c r="A2385" s="210"/>
    </row>
    <row r="2386" spans="1:1">
      <c r="A2386" s="210"/>
    </row>
    <row r="2387" spans="1:1">
      <c r="A2387" s="210"/>
    </row>
    <row r="2388" spans="1:1">
      <c r="A2388" s="210"/>
    </row>
    <row r="2389" spans="1:1">
      <c r="A2389" s="210"/>
    </row>
    <row r="2390" spans="1:1">
      <c r="A2390" s="210"/>
    </row>
    <row r="2391" spans="1:1">
      <c r="A2391" s="210"/>
    </row>
    <row r="2392" spans="1:1">
      <c r="A2392" s="210"/>
    </row>
    <row r="2393" spans="1:1">
      <c r="A2393" s="210"/>
    </row>
    <row r="2394" spans="1:1">
      <c r="A2394" s="210"/>
    </row>
    <row r="2395" spans="1:1">
      <c r="A2395" s="210"/>
    </row>
    <row r="2396" spans="1:1">
      <c r="A2396" s="210"/>
    </row>
    <row r="2397" spans="1:1">
      <c r="A2397" s="210"/>
    </row>
    <row r="2398" spans="1:1">
      <c r="A2398" s="210"/>
    </row>
    <row r="2399" spans="1:1">
      <c r="A2399" s="210"/>
    </row>
    <row r="2400" spans="1:1">
      <c r="A2400" s="210"/>
    </row>
    <row r="2401" spans="1:1">
      <c r="A2401" s="210"/>
    </row>
    <row r="2402" spans="1:1">
      <c r="A2402" s="210"/>
    </row>
    <row r="2403" spans="1:1">
      <c r="A2403" s="210"/>
    </row>
    <row r="2404" spans="1:1">
      <c r="A2404" s="210"/>
    </row>
    <row r="2405" spans="1:1">
      <c r="A2405" s="210"/>
    </row>
    <row r="2406" spans="1:1">
      <c r="A2406" s="210"/>
    </row>
    <row r="2407" spans="1:1">
      <c r="A2407" s="210"/>
    </row>
    <row r="2408" spans="1:1">
      <c r="A2408" s="210"/>
    </row>
    <row r="2409" spans="1:1">
      <c r="A2409" s="210"/>
    </row>
    <row r="2410" spans="1:1">
      <c r="A2410" s="210"/>
    </row>
    <row r="2411" spans="1:1">
      <c r="A2411" s="210"/>
    </row>
    <row r="2412" spans="1:1">
      <c r="A2412" s="210"/>
    </row>
    <row r="2413" spans="1:1">
      <c r="A2413" s="210"/>
    </row>
    <row r="2414" spans="1:1">
      <c r="A2414" s="210"/>
    </row>
    <row r="2415" spans="1:1">
      <c r="A2415" s="210"/>
    </row>
    <row r="2416" spans="1:1">
      <c r="A2416" s="210"/>
    </row>
    <row r="2417" spans="1:1">
      <c r="A2417" s="210"/>
    </row>
    <row r="2418" spans="1:1">
      <c r="A2418" s="210"/>
    </row>
    <row r="2419" spans="1:1">
      <c r="A2419" s="210"/>
    </row>
    <row r="2420" spans="1:1">
      <c r="A2420" s="210"/>
    </row>
    <row r="2421" spans="1:1">
      <c r="A2421" s="210"/>
    </row>
    <row r="2422" spans="1:1">
      <c r="A2422" s="210"/>
    </row>
    <row r="2423" spans="1:1">
      <c r="A2423" s="210"/>
    </row>
    <row r="2424" spans="1:1">
      <c r="A2424" s="210"/>
    </row>
    <row r="2425" spans="1:1">
      <c r="A2425" s="210"/>
    </row>
    <row r="2426" spans="1:1">
      <c r="A2426" s="210"/>
    </row>
    <row r="2427" spans="1:1">
      <c r="A2427" s="210"/>
    </row>
    <row r="2428" spans="1:1">
      <c r="A2428" s="210"/>
    </row>
    <row r="2429" spans="1:1">
      <c r="A2429" s="210"/>
    </row>
    <row r="2430" spans="1:1">
      <c r="A2430" s="210"/>
    </row>
    <row r="2431" spans="1:1">
      <c r="A2431" s="210"/>
    </row>
    <row r="2432" spans="1:1">
      <c r="A2432" s="210"/>
    </row>
    <row r="2433" spans="1:1">
      <c r="A2433" s="210"/>
    </row>
    <row r="2434" spans="1:1">
      <c r="A2434" s="210"/>
    </row>
    <row r="2435" spans="1:1">
      <c r="A2435" s="210"/>
    </row>
    <row r="2436" spans="1:1">
      <c r="A2436" s="210"/>
    </row>
    <row r="2437" spans="1:1">
      <c r="A2437" s="210"/>
    </row>
    <row r="2438" spans="1:1">
      <c r="A2438" s="210"/>
    </row>
    <row r="2439" spans="1:1">
      <c r="A2439" s="210"/>
    </row>
    <row r="2440" spans="1:1">
      <c r="A2440" s="210"/>
    </row>
    <row r="2441" spans="1:1">
      <c r="A2441" s="210"/>
    </row>
    <row r="2442" spans="1:1">
      <c r="A2442" s="210"/>
    </row>
    <row r="2443" spans="1:1">
      <c r="A2443" s="210"/>
    </row>
    <row r="2444" spans="1:1">
      <c r="A2444" s="210"/>
    </row>
    <row r="2445" spans="1:1">
      <c r="A2445" s="210"/>
    </row>
    <row r="2446" spans="1:1">
      <c r="A2446" s="210"/>
    </row>
    <row r="2447" spans="1:1">
      <c r="A2447" s="210"/>
    </row>
    <row r="2448" spans="1:1">
      <c r="A2448" s="210"/>
    </row>
    <row r="2449" spans="1:1">
      <c r="A2449" s="210"/>
    </row>
    <row r="2450" spans="1:1">
      <c r="A2450" s="210"/>
    </row>
    <row r="2451" spans="1:1">
      <c r="A2451" s="210"/>
    </row>
    <row r="2452" spans="1:1">
      <c r="A2452" s="210"/>
    </row>
    <row r="2453" spans="1:1">
      <c r="A2453" s="210"/>
    </row>
    <row r="2454" spans="1:1">
      <c r="A2454" s="210"/>
    </row>
    <row r="2455" spans="1:1">
      <c r="A2455" s="210"/>
    </row>
    <row r="2456" spans="1:1">
      <c r="A2456" s="210"/>
    </row>
    <row r="2457" spans="1:1">
      <c r="A2457" s="210"/>
    </row>
    <row r="2458" spans="1:1">
      <c r="A2458" s="210"/>
    </row>
    <row r="2459" spans="1:1">
      <c r="A2459" s="210"/>
    </row>
    <row r="2460" spans="1:1">
      <c r="A2460" s="210"/>
    </row>
    <row r="2461" spans="1:1">
      <c r="A2461" s="210"/>
    </row>
    <row r="2462" spans="1:1">
      <c r="A2462" s="210"/>
    </row>
    <row r="2463" spans="1:1">
      <c r="A2463" s="210"/>
    </row>
    <row r="2464" spans="1:1">
      <c r="A2464" s="210"/>
    </row>
    <row r="2465" spans="1:1">
      <c r="A2465" s="210"/>
    </row>
    <row r="2466" spans="1:1">
      <c r="A2466" s="210"/>
    </row>
    <row r="2467" spans="1:1">
      <c r="A2467" s="210"/>
    </row>
    <row r="2468" spans="1:1">
      <c r="A2468" s="210"/>
    </row>
    <row r="2469" spans="1:1">
      <c r="A2469" s="210"/>
    </row>
    <row r="2470" spans="1:1">
      <c r="A2470" s="210"/>
    </row>
    <row r="2471" spans="1:1">
      <c r="A2471" s="210"/>
    </row>
    <row r="2472" spans="1:1">
      <c r="A2472" s="210"/>
    </row>
    <row r="2473" spans="1:1">
      <c r="A2473" s="210"/>
    </row>
    <row r="2474" spans="1:1">
      <c r="A2474" s="210"/>
    </row>
    <row r="2475" spans="1:1">
      <c r="A2475" s="210"/>
    </row>
    <row r="2476" spans="1:1">
      <c r="A2476" s="210"/>
    </row>
    <row r="2477" spans="1:1">
      <c r="A2477" s="210"/>
    </row>
    <row r="2478" spans="1:1">
      <c r="A2478" s="210"/>
    </row>
    <row r="2479" spans="1:1">
      <c r="A2479" s="210"/>
    </row>
    <row r="2480" spans="1:1">
      <c r="A2480" s="210"/>
    </row>
    <row r="2481" spans="1:1">
      <c r="A2481" s="210"/>
    </row>
    <row r="2482" spans="1:1">
      <c r="A2482" s="210"/>
    </row>
    <row r="2483" spans="1:1">
      <c r="A2483" s="210"/>
    </row>
    <row r="2484" spans="1:1">
      <c r="A2484" s="210"/>
    </row>
    <row r="2485" spans="1:1">
      <c r="A2485" s="210"/>
    </row>
    <row r="2486" spans="1:1">
      <c r="A2486" s="210"/>
    </row>
    <row r="2487" spans="1:1">
      <c r="A2487" s="210"/>
    </row>
    <row r="2488" spans="1:1">
      <c r="A2488" s="210"/>
    </row>
    <row r="2489" spans="1:1">
      <c r="A2489" s="210"/>
    </row>
    <row r="2490" spans="1:1">
      <c r="A2490" s="210"/>
    </row>
    <row r="2491" spans="1:1">
      <c r="A2491" s="210"/>
    </row>
    <row r="2492" spans="1:1">
      <c r="A2492" s="210"/>
    </row>
    <row r="2493" spans="1:1">
      <c r="A2493" s="210"/>
    </row>
    <row r="2494" spans="1:1">
      <c r="A2494" s="210"/>
    </row>
    <row r="2495" spans="1:1">
      <c r="A2495" s="210"/>
    </row>
    <row r="2496" spans="1:1">
      <c r="A2496" s="210"/>
    </row>
    <row r="2497" spans="1:1">
      <c r="A2497" s="210"/>
    </row>
    <row r="2498" spans="1:1">
      <c r="A2498" s="210"/>
    </row>
    <row r="2499" spans="1:1">
      <c r="A2499" s="210"/>
    </row>
    <row r="2500" spans="1:1">
      <c r="A2500" s="210"/>
    </row>
    <row r="2501" spans="1:1">
      <c r="A2501" s="210"/>
    </row>
    <row r="2502" spans="1:1">
      <c r="A2502" s="210"/>
    </row>
    <row r="2503" spans="1:1">
      <c r="A2503" s="210"/>
    </row>
    <row r="2504" spans="1:1">
      <c r="A2504" s="210"/>
    </row>
    <row r="2505" spans="1:1">
      <c r="A2505" s="210"/>
    </row>
    <row r="2506" spans="1:1">
      <c r="A2506" s="210"/>
    </row>
    <row r="2507" spans="1:1">
      <c r="A2507" s="210"/>
    </row>
    <row r="2508" spans="1:1">
      <c r="A2508" s="210"/>
    </row>
    <row r="2509" spans="1:1">
      <c r="A2509" s="210"/>
    </row>
    <row r="2510" spans="1:1">
      <c r="A2510" s="210"/>
    </row>
    <row r="2511" spans="1:1">
      <c r="A2511" s="210"/>
    </row>
    <row r="2512" spans="1:1">
      <c r="A2512" s="210"/>
    </row>
    <row r="2513" spans="1:1">
      <c r="A2513" s="210"/>
    </row>
    <row r="2514" spans="1:1">
      <c r="A2514" s="210"/>
    </row>
    <row r="2515" spans="1:1">
      <c r="A2515" s="210"/>
    </row>
    <row r="2516" spans="1:1">
      <c r="A2516" s="210"/>
    </row>
    <row r="2517" spans="1:1">
      <c r="A2517" s="210"/>
    </row>
    <row r="2518" spans="1:1">
      <c r="A2518" s="210"/>
    </row>
    <row r="2519" spans="1:1">
      <c r="A2519" s="210"/>
    </row>
    <row r="2520" spans="1:1">
      <c r="A2520" s="210"/>
    </row>
    <row r="2521" spans="1:1">
      <c r="A2521" s="210"/>
    </row>
    <row r="2522" spans="1:1">
      <c r="A2522" s="210"/>
    </row>
    <row r="2523" spans="1:1">
      <c r="A2523" s="210"/>
    </row>
    <row r="2524" spans="1:1">
      <c r="A2524" s="210"/>
    </row>
    <row r="2525" spans="1:1">
      <c r="A2525" s="210"/>
    </row>
    <row r="2526" spans="1:1">
      <c r="A2526" s="210"/>
    </row>
    <row r="2527" spans="1:1">
      <c r="A2527" s="210"/>
    </row>
    <row r="2528" spans="1:1">
      <c r="A2528" s="210"/>
    </row>
    <row r="2529" spans="1:1">
      <c r="A2529" s="210"/>
    </row>
    <row r="2530" spans="1:1">
      <c r="A2530" s="210"/>
    </row>
    <row r="2531" spans="1:1">
      <c r="A2531" s="210"/>
    </row>
    <row r="2532" spans="1:1">
      <c r="A2532" s="210"/>
    </row>
    <row r="2533" spans="1:1">
      <c r="A2533" s="210"/>
    </row>
    <row r="2534" spans="1:1">
      <c r="A2534" s="210"/>
    </row>
    <row r="2535" spans="1:1">
      <c r="A2535" s="210"/>
    </row>
    <row r="2536" spans="1:1">
      <c r="A2536" s="210"/>
    </row>
    <row r="2537" spans="1:1">
      <c r="A2537" s="210"/>
    </row>
    <row r="2538" spans="1:1">
      <c r="A2538" s="210"/>
    </row>
    <row r="2539" spans="1:1">
      <c r="A2539" s="210"/>
    </row>
    <row r="2540" spans="1:1">
      <c r="A2540" s="210"/>
    </row>
    <row r="2541" spans="1:1">
      <c r="A2541" s="210"/>
    </row>
    <row r="2542" spans="1:1">
      <c r="A2542" s="210"/>
    </row>
    <row r="2543" spans="1:1">
      <c r="A2543" s="210"/>
    </row>
    <row r="2544" spans="1:1">
      <c r="A2544" s="210"/>
    </row>
    <row r="2545" spans="1:1">
      <c r="A2545" s="210"/>
    </row>
    <row r="2546" spans="1:1">
      <c r="A2546" s="210"/>
    </row>
    <row r="2547" spans="1:1">
      <c r="A2547" s="210"/>
    </row>
    <row r="2548" spans="1:1">
      <c r="A2548" s="210"/>
    </row>
    <row r="2549" spans="1:1">
      <c r="A2549" s="210"/>
    </row>
    <row r="2550" spans="1:1">
      <c r="A2550" s="210"/>
    </row>
    <row r="2551" spans="1:1">
      <c r="A2551" s="210"/>
    </row>
    <row r="2552" spans="1:1">
      <c r="A2552" s="210"/>
    </row>
    <row r="2553" spans="1:1">
      <c r="A2553" s="210"/>
    </row>
    <row r="2554" spans="1:1">
      <c r="A2554" s="210"/>
    </row>
    <row r="2555" spans="1:1">
      <c r="A2555" s="210"/>
    </row>
    <row r="2556" spans="1:1">
      <c r="A2556" s="210"/>
    </row>
    <row r="2557" spans="1:1">
      <c r="A2557" s="210"/>
    </row>
    <row r="2558" spans="1:1">
      <c r="A2558" s="210"/>
    </row>
    <row r="2559" spans="1:1">
      <c r="A2559" s="210"/>
    </row>
    <row r="2560" spans="1:1">
      <c r="A2560" s="210"/>
    </row>
    <row r="2561" spans="1:1">
      <c r="A2561" s="210"/>
    </row>
    <row r="2562" spans="1:1">
      <c r="A2562" s="210"/>
    </row>
    <row r="2563" spans="1:1">
      <c r="A2563" s="210"/>
    </row>
    <row r="2564" spans="1:1">
      <c r="A2564" s="210"/>
    </row>
    <row r="2565" spans="1:1">
      <c r="A2565" s="210"/>
    </row>
    <row r="2566" spans="1:1">
      <c r="A2566" s="210"/>
    </row>
    <row r="2567" spans="1:1">
      <c r="A2567" s="210"/>
    </row>
    <row r="2568" spans="1:1">
      <c r="A2568" s="210"/>
    </row>
    <row r="2569" spans="1:1">
      <c r="A2569" s="210"/>
    </row>
    <row r="2570" spans="1:1">
      <c r="A2570" s="210"/>
    </row>
    <row r="2571" spans="1:1">
      <c r="A2571" s="210"/>
    </row>
    <row r="2572" spans="1:1">
      <c r="A2572" s="210"/>
    </row>
    <row r="2573" spans="1:1">
      <c r="A2573" s="210"/>
    </row>
    <row r="2574" spans="1:1">
      <c r="A2574" s="210"/>
    </row>
    <row r="2575" spans="1:1">
      <c r="A2575" s="210"/>
    </row>
    <row r="2576" spans="1:1">
      <c r="A2576" s="210"/>
    </row>
    <row r="2577" spans="1:1">
      <c r="A2577" s="210"/>
    </row>
    <row r="2578" spans="1:1">
      <c r="A2578" s="210"/>
    </row>
    <row r="2579" spans="1:1">
      <c r="A2579" s="210"/>
    </row>
    <row r="2580" spans="1:1">
      <c r="A2580" s="210"/>
    </row>
    <row r="2581" spans="1:1">
      <c r="A2581" s="210"/>
    </row>
    <row r="2582" spans="1:1">
      <c r="A2582" s="210"/>
    </row>
    <row r="2583" spans="1:1">
      <c r="A2583" s="210"/>
    </row>
    <row r="2584" spans="1:1">
      <c r="A2584" s="210"/>
    </row>
    <row r="2585" spans="1:1">
      <c r="A2585" s="210"/>
    </row>
    <row r="2586" spans="1:1">
      <c r="A2586" s="210"/>
    </row>
    <row r="2587" spans="1:1">
      <c r="A2587" s="210"/>
    </row>
    <row r="2588" spans="1:1">
      <c r="A2588" s="210"/>
    </row>
    <row r="2589" spans="1:1">
      <c r="A2589" s="210"/>
    </row>
    <row r="2590" spans="1:1">
      <c r="A2590" s="210"/>
    </row>
    <row r="2591" spans="1:1">
      <c r="A2591" s="210"/>
    </row>
    <row r="2592" spans="1:1">
      <c r="A2592" s="210"/>
    </row>
    <row r="2593" spans="1:1">
      <c r="A2593" s="210"/>
    </row>
    <row r="2594" spans="1:1">
      <c r="A2594" s="210"/>
    </row>
    <row r="2595" spans="1:1">
      <c r="A2595" s="210"/>
    </row>
    <row r="2596" spans="1:1">
      <c r="A2596" s="210"/>
    </row>
    <row r="2597" spans="1:1">
      <c r="A2597" s="210"/>
    </row>
    <row r="2598" spans="1:1">
      <c r="A2598" s="210"/>
    </row>
    <row r="2599" spans="1:1">
      <c r="A2599" s="210"/>
    </row>
    <row r="2600" spans="1:1">
      <c r="A2600" s="210"/>
    </row>
    <row r="2601" spans="1:1">
      <c r="A2601" s="210"/>
    </row>
    <row r="2602" spans="1:1">
      <c r="A2602" s="210"/>
    </row>
    <row r="2603" spans="1:1">
      <c r="A2603" s="210"/>
    </row>
    <row r="2604" spans="1:1">
      <c r="A2604" s="210"/>
    </row>
    <row r="2605" spans="1:1">
      <c r="A2605" s="210"/>
    </row>
    <row r="2606" spans="1:1">
      <c r="A2606" s="210"/>
    </row>
    <row r="2607" spans="1:1">
      <c r="A2607" s="210"/>
    </row>
    <row r="2608" spans="1:1">
      <c r="A2608" s="210"/>
    </row>
    <row r="2609" spans="1:2">
      <c r="A2609" s="210"/>
    </row>
    <row r="2610" spans="1:2">
      <c r="A2610" s="210"/>
    </row>
    <row r="2611" spans="1:2">
      <c r="A2611" s="210"/>
      <c r="B2611" s="134"/>
    </row>
    <row r="2612" spans="1:2">
      <c r="A2612" s="210"/>
    </row>
    <row r="2613" spans="1:2">
      <c r="A2613" s="210"/>
    </row>
    <row r="2614" spans="1:2">
      <c r="A2614" s="210"/>
    </row>
    <row r="2615" spans="1:2">
      <c r="A2615" s="210"/>
    </row>
    <row r="2616" spans="1:2">
      <c r="A2616" s="210"/>
    </row>
    <row r="2617" spans="1:2">
      <c r="A2617" s="210"/>
    </row>
    <row r="2618" spans="1:2">
      <c r="A2618" s="210"/>
    </row>
    <row r="2619" spans="1:2">
      <c r="A2619" s="210"/>
    </row>
    <row r="2620" spans="1:2">
      <c r="A2620" s="210"/>
    </row>
    <row r="2621" spans="1:2">
      <c r="A2621" s="210"/>
    </row>
    <row r="2622" spans="1:2">
      <c r="A2622" s="210"/>
    </row>
    <row r="2623" spans="1:2">
      <c r="A2623" s="210"/>
    </row>
    <row r="2624" spans="1:2">
      <c r="A2624" s="210"/>
    </row>
    <row r="2625" spans="1:1">
      <c r="A2625" s="210"/>
    </row>
    <row r="2626" spans="1:1">
      <c r="A2626" s="210"/>
    </row>
    <row r="2627" spans="1:1">
      <c r="A2627" s="210"/>
    </row>
    <row r="2628" spans="1:1">
      <c r="A2628" s="210"/>
    </row>
  </sheetData>
  <sheetProtection password="DD74" sheet="1" objects="1" scenarios="1" formatCells="0" formatColumns="0" formatRows="0"/>
  <autoFilter ref="A2:R1638"/>
  <mergeCells count="479">
    <mergeCell ref="B980:B988"/>
    <mergeCell ref="A980:A988"/>
    <mergeCell ref="B962:B970"/>
    <mergeCell ref="A962:A970"/>
    <mergeCell ref="B989:B996"/>
    <mergeCell ref="A989:A996"/>
    <mergeCell ref="B997:B1005"/>
    <mergeCell ref="A997:A1005"/>
    <mergeCell ref="B1006:B1014"/>
    <mergeCell ref="A1006:A1014"/>
    <mergeCell ref="B1031:B1038"/>
    <mergeCell ref="A1031:A1038"/>
    <mergeCell ref="A1065:A1074"/>
    <mergeCell ref="A1075:A1084"/>
    <mergeCell ref="A1085:A1095"/>
    <mergeCell ref="B1280:B1289"/>
    <mergeCell ref="A1280:A1289"/>
    <mergeCell ref="B1245:B1253"/>
    <mergeCell ref="A1245:A1253"/>
    <mergeCell ref="B1254:B1262"/>
    <mergeCell ref="A1254:A1262"/>
    <mergeCell ref="A1263:A1270"/>
    <mergeCell ref="B1263:B1270"/>
    <mergeCell ref="B1271:B1279"/>
    <mergeCell ref="A1271:A1279"/>
    <mergeCell ref="A1107:A1116"/>
    <mergeCell ref="A1117:A1123"/>
    <mergeCell ref="B1107:B1116"/>
    <mergeCell ref="B1117:B1123"/>
    <mergeCell ref="B1124:B1129"/>
    <mergeCell ref="B1130:B1136"/>
    <mergeCell ref="B1137:B1144"/>
    <mergeCell ref="B1145:B1150"/>
    <mergeCell ref="B1151:B1159"/>
    <mergeCell ref="B868:B880"/>
    <mergeCell ref="A1096:A1106"/>
    <mergeCell ref="B881:B893"/>
    <mergeCell ref="B894:B904"/>
    <mergeCell ref="B905:B914"/>
    <mergeCell ref="B915:B924"/>
    <mergeCell ref="B925:B935"/>
    <mergeCell ref="B971:B979"/>
    <mergeCell ref="A971:A979"/>
    <mergeCell ref="B936:B948"/>
    <mergeCell ref="A936:A948"/>
    <mergeCell ref="B949:B959"/>
    <mergeCell ref="A949:A959"/>
    <mergeCell ref="B1039:B1046"/>
    <mergeCell ref="B1047:B1054"/>
    <mergeCell ref="B1055:B1064"/>
    <mergeCell ref="B1065:B1074"/>
    <mergeCell ref="B1075:B1084"/>
    <mergeCell ref="B1085:B1095"/>
    <mergeCell ref="B1096:B1106"/>
    <mergeCell ref="B1015:B1022"/>
    <mergeCell ref="A1015:A1022"/>
    <mergeCell ref="B1023:B1030"/>
    <mergeCell ref="A1023:A1030"/>
    <mergeCell ref="B727:B734"/>
    <mergeCell ref="A727:A734"/>
    <mergeCell ref="B735:B739"/>
    <mergeCell ref="A735:A739"/>
    <mergeCell ref="B740:B746"/>
    <mergeCell ref="A740:A746"/>
    <mergeCell ref="B747:B753"/>
    <mergeCell ref="A747:A753"/>
    <mergeCell ref="B754:B758"/>
    <mergeCell ref="A754:A758"/>
    <mergeCell ref="B682:B689"/>
    <mergeCell ref="A682:A689"/>
    <mergeCell ref="B690:B696"/>
    <mergeCell ref="A690:A696"/>
    <mergeCell ref="B707:B713"/>
    <mergeCell ref="A707:A713"/>
    <mergeCell ref="B721:B726"/>
    <mergeCell ref="A721:A726"/>
    <mergeCell ref="A699:A706"/>
    <mergeCell ref="B699:B706"/>
    <mergeCell ref="B714:B720"/>
    <mergeCell ref="B638:B645"/>
    <mergeCell ref="A638:A645"/>
    <mergeCell ref="B646:B654"/>
    <mergeCell ref="A646:A654"/>
    <mergeCell ref="B655:B663"/>
    <mergeCell ref="A655:A663"/>
    <mergeCell ref="B664:B671"/>
    <mergeCell ref="A664:A671"/>
    <mergeCell ref="B672:B681"/>
    <mergeCell ref="A672:A681"/>
    <mergeCell ref="B581:B588"/>
    <mergeCell ref="A581:A588"/>
    <mergeCell ref="B589:B591"/>
    <mergeCell ref="A589:A591"/>
    <mergeCell ref="B592:B594"/>
    <mergeCell ref="A592:A594"/>
    <mergeCell ref="B630:B637"/>
    <mergeCell ref="A630:A637"/>
    <mergeCell ref="A599:A603"/>
    <mergeCell ref="A604:A611"/>
    <mergeCell ref="A612:A619"/>
    <mergeCell ref="B612:B619"/>
    <mergeCell ref="B599:B603"/>
    <mergeCell ref="B604:B611"/>
    <mergeCell ref="B620:B629"/>
    <mergeCell ref="B557:B561"/>
    <mergeCell ref="A557:A561"/>
    <mergeCell ref="B562:B566"/>
    <mergeCell ref="A562:A566"/>
    <mergeCell ref="B567:B572"/>
    <mergeCell ref="A567:A572"/>
    <mergeCell ref="B573:B580"/>
    <mergeCell ref="A573:A580"/>
    <mergeCell ref="B552:B556"/>
    <mergeCell ref="B509:B513"/>
    <mergeCell ref="A509:A513"/>
    <mergeCell ref="B514:B519"/>
    <mergeCell ref="B520:B524"/>
    <mergeCell ref="B525:B529"/>
    <mergeCell ref="B548:B551"/>
    <mergeCell ref="A548:A551"/>
    <mergeCell ref="A538:A542"/>
    <mergeCell ref="A543:A547"/>
    <mergeCell ref="A514:A519"/>
    <mergeCell ref="A520:A524"/>
    <mergeCell ref="A525:A529"/>
    <mergeCell ref="A530:A533"/>
    <mergeCell ref="A534:A537"/>
    <mergeCell ref="A377:A382"/>
    <mergeCell ref="B383:B388"/>
    <mergeCell ref="A383:A388"/>
    <mergeCell ref="B395:B401"/>
    <mergeCell ref="A395:A401"/>
    <mergeCell ref="B389:B394"/>
    <mergeCell ref="A389:A394"/>
    <mergeCell ref="B504:B508"/>
    <mergeCell ref="A504:A508"/>
    <mergeCell ref="A434:A441"/>
    <mergeCell ref="B434:B441"/>
    <mergeCell ref="B442:B450"/>
    <mergeCell ref="A442:A450"/>
    <mergeCell ref="B451:B459"/>
    <mergeCell ref="A451:A459"/>
    <mergeCell ref="A470:A471"/>
    <mergeCell ref="A472:A473"/>
    <mergeCell ref="A474:A477"/>
    <mergeCell ref="A478:A480"/>
    <mergeCell ref="A481:A482"/>
    <mergeCell ref="A483:A485"/>
    <mergeCell ref="A497:A499"/>
    <mergeCell ref="A500:A502"/>
    <mergeCell ref="A486:A487"/>
    <mergeCell ref="B284:B287"/>
    <mergeCell ref="A284:A287"/>
    <mergeCell ref="B280:B283"/>
    <mergeCell ref="A280:A283"/>
    <mergeCell ref="B288:B291"/>
    <mergeCell ref="A288:A291"/>
    <mergeCell ref="B274:B277"/>
    <mergeCell ref="B321:B322"/>
    <mergeCell ref="A321:A322"/>
    <mergeCell ref="B278:B279"/>
    <mergeCell ref="C1:F1"/>
    <mergeCell ref="A1:A2"/>
    <mergeCell ref="B20:B23"/>
    <mergeCell ref="A20:A23"/>
    <mergeCell ref="B24:B27"/>
    <mergeCell ref="A24:A27"/>
    <mergeCell ref="B28:B31"/>
    <mergeCell ref="A28:A31"/>
    <mergeCell ref="A4:A7"/>
    <mergeCell ref="B4:B7"/>
    <mergeCell ref="B12:B15"/>
    <mergeCell ref="A12:A15"/>
    <mergeCell ref="B8:B11"/>
    <mergeCell ref="A8:A11"/>
    <mergeCell ref="B16:B19"/>
    <mergeCell ref="A16:A19"/>
    <mergeCell ref="B1:B2"/>
    <mergeCell ref="A56:A59"/>
    <mergeCell ref="B56:B59"/>
    <mergeCell ref="B32:B35"/>
    <mergeCell ref="A32:A35"/>
    <mergeCell ref="B36:B39"/>
    <mergeCell ref="A36:A39"/>
    <mergeCell ref="B40:B43"/>
    <mergeCell ref="A40:A43"/>
    <mergeCell ref="B44:B47"/>
    <mergeCell ref="A44:A47"/>
    <mergeCell ref="A48:A49"/>
    <mergeCell ref="B48:B49"/>
    <mergeCell ref="B50:B51"/>
    <mergeCell ref="A50:A51"/>
    <mergeCell ref="B52:B55"/>
    <mergeCell ref="A52:A55"/>
    <mergeCell ref="A60:A63"/>
    <mergeCell ref="B60:B63"/>
    <mergeCell ref="A64:A67"/>
    <mergeCell ref="B64:B67"/>
    <mergeCell ref="A68:A71"/>
    <mergeCell ref="B68:B71"/>
    <mergeCell ref="A72:A75"/>
    <mergeCell ref="B72:B75"/>
    <mergeCell ref="A76:A79"/>
    <mergeCell ref="B76:B79"/>
    <mergeCell ref="B108:B111"/>
    <mergeCell ref="A108:A111"/>
    <mergeCell ref="B104:B107"/>
    <mergeCell ref="A104:A107"/>
    <mergeCell ref="A80:A83"/>
    <mergeCell ref="B80:B83"/>
    <mergeCell ref="A84:A87"/>
    <mergeCell ref="B84:B87"/>
    <mergeCell ref="A88:A91"/>
    <mergeCell ref="B88:B91"/>
    <mergeCell ref="A92:A95"/>
    <mergeCell ref="B92:B95"/>
    <mergeCell ref="B96:B97"/>
    <mergeCell ref="A96:A97"/>
    <mergeCell ref="B98:B99"/>
    <mergeCell ref="A98:A99"/>
    <mergeCell ref="B100:B103"/>
    <mergeCell ref="A100:A103"/>
    <mergeCell ref="B138:B141"/>
    <mergeCell ref="A138:A141"/>
    <mergeCell ref="B136:B137"/>
    <mergeCell ref="A136:A137"/>
    <mergeCell ref="B128:B131"/>
    <mergeCell ref="A128:A131"/>
    <mergeCell ref="B124:B127"/>
    <mergeCell ref="A124:A127"/>
    <mergeCell ref="A112:A115"/>
    <mergeCell ref="B112:B115"/>
    <mergeCell ref="B120:B123"/>
    <mergeCell ref="A120:A123"/>
    <mergeCell ref="B116:B119"/>
    <mergeCell ref="A116:A119"/>
    <mergeCell ref="B132:B135"/>
    <mergeCell ref="A132:A135"/>
    <mergeCell ref="B142:B145"/>
    <mergeCell ref="A142:A145"/>
    <mergeCell ref="B146:B149"/>
    <mergeCell ref="A146:A149"/>
    <mergeCell ref="B150:B153"/>
    <mergeCell ref="A150:A153"/>
    <mergeCell ref="B154:B157"/>
    <mergeCell ref="A154:A157"/>
    <mergeCell ref="B158:B161"/>
    <mergeCell ref="A158:A161"/>
    <mergeCell ref="B162:B165"/>
    <mergeCell ref="A162:A165"/>
    <mergeCell ref="B166:B169"/>
    <mergeCell ref="A166:A169"/>
    <mergeCell ref="B170:B173"/>
    <mergeCell ref="A170:A173"/>
    <mergeCell ref="B174:B177"/>
    <mergeCell ref="A174:A177"/>
    <mergeCell ref="B178:B181"/>
    <mergeCell ref="A178:A181"/>
    <mergeCell ref="B182:B185"/>
    <mergeCell ref="A182:A185"/>
    <mergeCell ref="B186:B189"/>
    <mergeCell ref="A186:A189"/>
    <mergeCell ref="B190:B191"/>
    <mergeCell ref="A190:A191"/>
    <mergeCell ref="B192:B193"/>
    <mergeCell ref="A192:A193"/>
    <mergeCell ref="B194:B197"/>
    <mergeCell ref="A194:A197"/>
    <mergeCell ref="B198:B201"/>
    <mergeCell ref="A198:A201"/>
    <mergeCell ref="B202:B205"/>
    <mergeCell ref="A202:A205"/>
    <mergeCell ref="B206:B209"/>
    <mergeCell ref="A206:A209"/>
    <mergeCell ref="B210:B213"/>
    <mergeCell ref="A210:A213"/>
    <mergeCell ref="B214:B217"/>
    <mergeCell ref="A214:A217"/>
    <mergeCell ref="B218:B221"/>
    <mergeCell ref="A218:A221"/>
    <mergeCell ref="B222:B225"/>
    <mergeCell ref="A222:A225"/>
    <mergeCell ref="B226:B229"/>
    <mergeCell ref="A226:A229"/>
    <mergeCell ref="B230:B233"/>
    <mergeCell ref="A230:A233"/>
    <mergeCell ref="B234:B237"/>
    <mergeCell ref="A234:A237"/>
    <mergeCell ref="B240:B241"/>
    <mergeCell ref="B238:B239"/>
    <mergeCell ref="A238:A239"/>
    <mergeCell ref="A240:A241"/>
    <mergeCell ref="B242:B245"/>
    <mergeCell ref="A242:A245"/>
    <mergeCell ref="B246:B249"/>
    <mergeCell ref="A246:A249"/>
    <mergeCell ref="B250:B253"/>
    <mergeCell ref="A250:A253"/>
    <mergeCell ref="B254:B257"/>
    <mergeCell ref="A254:A257"/>
    <mergeCell ref="B258:B261"/>
    <mergeCell ref="A258:A261"/>
    <mergeCell ref="B262:B265"/>
    <mergeCell ref="A262:A265"/>
    <mergeCell ref="B266:B269"/>
    <mergeCell ref="A266:A269"/>
    <mergeCell ref="B270:B273"/>
    <mergeCell ref="A270:A273"/>
    <mergeCell ref="A327:A332"/>
    <mergeCell ref="B327:B332"/>
    <mergeCell ref="A333:A338"/>
    <mergeCell ref="B323:B324"/>
    <mergeCell ref="A323:A324"/>
    <mergeCell ref="A371:A376"/>
    <mergeCell ref="A404:A413"/>
    <mergeCell ref="A414:A424"/>
    <mergeCell ref="B425:B433"/>
    <mergeCell ref="A425:A433"/>
    <mergeCell ref="B404:B413"/>
    <mergeCell ref="B414:B424"/>
    <mergeCell ref="B339:B344"/>
    <mergeCell ref="A339:A344"/>
    <mergeCell ref="A345:A350"/>
    <mergeCell ref="B345:B350"/>
    <mergeCell ref="B351:B357"/>
    <mergeCell ref="A351:A357"/>
    <mergeCell ref="B358:B364"/>
    <mergeCell ref="A358:A364"/>
    <mergeCell ref="B365:B370"/>
    <mergeCell ref="A365:A370"/>
    <mergeCell ref="B371:B376"/>
    <mergeCell ref="B377:B382"/>
    <mergeCell ref="A488:A490"/>
    <mergeCell ref="A491:A493"/>
    <mergeCell ref="A494:A496"/>
    <mergeCell ref="A759:A763"/>
    <mergeCell ref="A764:A770"/>
    <mergeCell ref="A771:A777"/>
    <mergeCell ref="A778:A781"/>
    <mergeCell ref="A782:A787"/>
    <mergeCell ref="A788:A793"/>
    <mergeCell ref="A552:A556"/>
    <mergeCell ref="A714:A720"/>
    <mergeCell ref="A620:A629"/>
    <mergeCell ref="A794:A799"/>
    <mergeCell ref="A800:A807"/>
    <mergeCell ref="A856:A867"/>
    <mergeCell ref="A825:A834"/>
    <mergeCell ref="A835:A844"/>
    <mergeCell ref="A845:A855"/>
    <mergeCell ref="A1039:A1046"/>
    <mergeCell ref="A1047:A1054"/>
    <mergeCell ref="A1055:A1064"/>
    <mergeCell ref="A925:A935"/>
    <mergeCell ref="A868:A880"/>
    <mergeCell ref="A808:A816"/>
    <mergeCell ref="A817:A822"/>
    <mergeCell ref="A881:A893"/>
    <mergeCell ref="A894:A904"/>
    <mergeCell ref="A905:A914"/>
    <mergeCell ref="A915:A924"/>
    <mergeCell ref="A1290:A1296"/>
    <mergeCell ref="A1193:A1201"/>
    <mergeCell ref="A1226:A1234"/>
    <mergeCell ref="A1202:A1212"/>
    <mergeCell ref="A1213:A1222"/>
    <mergeCell ref="A1235:A1244"/>
    <mergeCell ref="A1340:A1342"/>
    <mergeCell ref="A1337:A1339"/>
    <mergeCell ref="A1334:A1336"/>
    <mergeCell ref="A1331:A1333"/>
    <mergeCell ref="A1315:A1317"/>
    <mergeCell ref="A1318:A1320"/>
    <mergeCell ref="A1321:A1323"/>
    <mergeCell ref="A1324:A1326"/>
    <mergeCell ref="A1124:A1129"/>
    <mergeCell ref="A1130:A1136"/>
    <mergeCell ref="A1137:A1144"/>
    <mergeCell ref="A1145:A1150"/>
    <mergeCell ref="A1151:A1159"/>
    <mergeCell ref="A1160:A1168"/>
    <mergeCell ref="A1169:A1176"/>
    <mergeCell ref="A1177:A1184"/>
    <mergeCell ref="A1185:A1192"/>
    <mergeCell ref="A1366:A1367"/>
    <mergeCell ref="A1368:A1369"/>
    <mergeCell ref="A1370:A1371"/>
    <mergeCell ref="A1372:A1373"/>
    <mergeCell ref="A1374:A1375"/>
    <mergeCell ref="A1358:A1359"/>
    <mergeCell ref="A1360:A1361"/>
    <mergeCell ref="A1362:A1363"/>
    <mergeCell ref="A1364:A1365"/>
    <mergeCell ref="A1347:A1348"/>
    <mergeCell ref="A1349:A1350"/>
    <mergeCell ref="A1351:A1352"/>
    <mergeCell ref="A1353:A1354"/>
    <mergeCell ref="A1376:A1377"/>
    <mergeCell ref="A1378:A1379"/>
    <mergeCell ref="B333:B338"/>
    <mergeCell ref="B470:B471"/>
    <mergeCell ref="B497:B499"/>
    <mergeCell ref="B500:B502"/>
    <mergeCell ref="B472:B473"/>
    <mergeCell ref="B474:B477"/>
    <mergeCell ref="B478:B480"/>
    <mergeCell ref="B481:B482"/>
    <mergeCell ref="B483:B485"/>
    <mergeCell ref="B486:B487"/>
    <mergeCell ref="B488:B490"/>
    <mergeCell ref="B491:B493"/>
    <mergeCell ref="B494:B496"/>
    <mergeCell ref="B530:B533"/>
    <mergeCell ref="B534:B537"/>
    <mergeCell ref="B538:B542"/>
    <mergeCell ref="B543:B547"/>
    <mergeCell ref="B759:B763"/>
    <mergeCell ref="B764:B770"/>
    <mergeCell ref="B771:B777"/>
    <mergeCell ref="B778:B781"/>
    <mergeCell ref="B782:B787"/>
    <mergeCell ref="B788:B793"/>
    <mergeCell ref="B794:B799"/>
    <mergeCell ref="B800:B807"/>
    <mergeCell ref="B856:B867"/>
    <mergeCell ref="B825:B834"/>
    <mergeCell ref="B835:B844"/>
    <mergeCell ref="B845:B855"/>
    <mergeCell ref="B808:B816"/>
    <mergeCell ref="B817:B822"/>
    <mergeCell ref="B1160:B1168"/>
    <mergeCell ref="B1169:B1176"/>
    <mergeCell ref="B1177:B1184"/>
    <mergeCell ref="B1185:B1192"/>
    <mergeCell ref="B1315:B1317"/>
    <mergeCell ref="B1318:B1320"/>
    <mergeCell ref="B1321:B1323"/>
    <mergeCell ref="B1324:B1326"/>
    <mergeCell ref="B1370:B1371"/>
    <mergeCell ref="B1347:B1348"/>
    <mergeCell ref="B1349:B1350"/>
    <mergeCell ref="B1351:B1352"/>
    <mergeCell ref="B1353:B1354"/>
    <mergeCell ref="B1358:B1359"/>
    <mergeCell ref="B1290:B1296"/>
    <mergeCell ref="B1193:B1201"/>
    <mergeCell ref="B1202:B1212"/>
    <mergeCell ref="B1213:B1222"/>
    <mergeCell ref="B1226:B1234"/>
    <mergeCell ref="B1235:B1244"/>
    <mergeCell ref="B1340:B1342"/>
    <mergeCell ref="B1337:B1339"/>
    <mergeCell ref="B1334:B1336"/>
    <mergeCell ref="B1331:B1333"/>
    <mergeCell ref="B1372:B1373"/>
    <mergeCell ref="B1374:B1375"/>
    <mergeCell ref="B1376:B1377"/>
    <mergeCell ref="B1378:B1379"/>
    <mergeCell ref="B1360:B1361"/>
    <mergeCell ref="B1362:B1363"/>
    <mergeCell ref="B1364:B1365"/>
    <mergeCell ref="B1366:B1367"/>
    <mergeCell ref="B1368:B1369"/>
    <mergeCell ref="A1422:A1423"/>
    <mergeCell ref="A1424:A1425"/>
    <mergeCell ref="A1426:A1427"/>
    <mergeCell ref="A1428:A1429"/>
    <mergeCell ref="B1422:B1423"/>
    <mergeCell ref="B1424:B1425"/>
    <mergeCell ref="B1426:B1427"/>
    <mergeCell ref="B1428:B1429"/>
    <mergeCell ref="B1404:B1405"/>
    <mergeCell ref="B1406:B1407"/>
    <mergeCell ref="B1408:B1409"/>
    <mergeCell ref="B1410:B1411"/>
    <mergeCell ref="A1408:A1409"/>
    <mergeCell ref="A1410:A1411"/>
    <mergeCell ref="A1406:A1407"/>
    <mergeCell ref="A1404:A1405"/>
  </mergeCells>
  <phoneticPr fontId="2" type="noConversion"/>
  <conditionalFormatting sqref="A1639:A1048576">
    <cfRule type="expression" dxfId="0" priority="1">
      <formula>MOD(COUNTA($A$2:$A1640),2)=1</formula>
    </cfRule>
  </conditionalFormatting>
  <dataValidations count="2">
    <dataValidation allowBlank="1" showInputMessage="1" showErrorMessage="1" promptTitle="I,O,IO,P,G" sqref="E2:E3 E1639:E1048576 D310:D317 F3:F1638"/>
    <dataValidation type="list" allowBlank="1" showInputMessage="1" showErrorMessage="1" promptTitle="I,O,IO,P,G" sqref="E4:E1638">
      <formula1>"I,O,B,P,G,- -"</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00.CoverPage</vt:lpstr>
      <vt:lpstr>01.Statement</vt:lpstr>
      <vt:lpstr>02.Revision History</vt:lpstr>
      <vt:lpstr>03.Description</vt:lpstr>
      <vt:lpstr>04.Ball Map</vt:lpstr>
      <vt:lpstr>05.PinOut List</vt:lpstr>
      <vt:lpstr>06.PinOut Information</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86137</dc:creator>
  <cp:lastModifiedBy>86137</cp:lastModifiedBy>
  <dcterms:created xsi:type="dcterms:W3CDTF">2025-12-03T02:56:44Z</dcterms:created>
  <dcterms:modified xsi:type="dcterms:W3CDTF">2026-04-10T06:37:43Z</dcterms:modified>
</cp:coreProperties>
</file>